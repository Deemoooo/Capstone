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Steven Williams\Desktop\async_flask-master\static\template\"/>
    </mc:Choice>
  </mc:AlternateContent>
  <xr:revisionPtr revIDLastSave="0" documentId="13_ncr:1_{4EE8AF4E-3FCB-408C-95D9-563240680FFF}" xr6:coauthVersionLast="41" xr6:coauthVersionMax="41" xr10:uidLastSave="{00000000-0000-0000-0000-000000000000}"/>
  <bookViews>
    <workbookView xWindow="-98" yWindow="-98" windowWidth="21795" windowHeight="13096" activeTab="1" xr2:uid="{00000000-000D-0000-FFFF-FFFF00000000}"/>
  </bookViews>
  <sheets>
    <sheet name="Introduction" sheetId="3" r:id="rId1"/>
    <sheet name="Summary" sheetId="6" r:id="rId2"/>
    <sheet name="NAICS" sheetId="1" state="hidden" r:id="rId3"/>
    <sheet name="SIC" sheetId="2" state="hidden" r:id="rId4"/>
  </sheets>
  <externalReferences>
    <externalReference r:id="rId5"/>
    <externalReference r:id="rId6"/>
    <externalReference r:id="rId7"/>
    <externalReference r:id="rId8"/>
    <externalReference r:id="rId9"/>
  </externalReferences>
  <definedNames>
    <definedName name="aCSC">#REF!</definedName>
    <definedName name="ALLOWED_PERIOD_LIST">#REF!</definedName>
    <definedName name="ANNUAL_CV">#REF!</definedName>
    <definedName name="ANNUAL_DI">#REF!</definedName>
    <definedName name="ANNUAL_OV">#REF!</definedName>
    <definedName name="ANNUAL_SL_CV">#REF!</definedName>
    <definedName name="ANNUAL_SL_DI">#REF!</definedName>
    <definedName name="ANNUAL_SL_OV">#REF!</definedName>
    <definedName name="ANNUALIZED_CV">#REF!</definedName>
    <definedName name="ANNUALIZED_DI">#REF!</definedName>
    <definedName name="ANNUALIZED_OV">#REF!</definedName>
    <definedName name="ANNUALIZED_SL_CV">#REF!</definedName>
    <definedName name="ANNUALIZED_SL_DI">#REF!</definedName>
    <definedName name="ANNUALIZED_SL_OV">#REF!</definedName>
    <definedName name="cac_abftest">[1]RR_Cri_CAC!$B$57</definedName>
    <definedName name="cac_salespct">[1]RR_Cri_CAC!$B$56</definedName>
    <definedName name="cac_tot_gar">[1]RR_Cri_CAC!$B$54</definedName>
    <definedName name="cactable">[1]RR_Cri_CAC!$A$7:$AO$51</definedName>
    <definedName name="calccTr">#REF!</definedName>
    <definedName name="calcTr">[2]RR_Pregrading!$L$90</definedName>
    <definedName name="capcol">[2]RR_CAC!$W$31</definedName>
    <definedName name="CAT_DRM_INPUT_ANNUAL_CV">#REF!</definedName>
    <definedName name="CAT_DRM_INPUT_ANNUALIZED_CV">#REF!</definedName>
    <definedName name="CAT_DRM_INPUT_LI">#REF!</definedName>
    <definedName name="CAT_DRM_INPUT_LTM_Q_CV">#REF!</definedName>
    <definedName name="CAT_DRM_INPUT_TF">#REF!</definedName>
    <definedName name="CAT_DRM_RISK_FLAGS_ANNUAL_CV">#REF!</definedName>
    <definedName name="CAT_DRM_RISK_FLAGS_ANNUALIZED_CV">#REF!</definedName>
    <definedName name="CAT_DRM_RISK_FLAGS_LTM_Q_CV">#REF!</definedName>
    <definedName name="CAT_LI_ID">#REF!</definedName>
    <definedName name="CAT_SL_LI_ID">#REF!</definedName>
    <definedName name="col_gbf">[1]RR_GBFCol!$L$37</definedName>
    <definedName name="COMPARATIVE_VALUES_IN_RELATIVE_RANK">#REF!</definedName>
    <definedName name="COMPARATIVE_VALUES_IN_RELATIVE_RANK_VALUES">#REF!</definedName>
    <definedName name="cri_abf_omn_n">#REF!</definedName>
    <definedName name="cri_abf_omn_y">#REF!</definedName>
    <definedName name="cri_cln_omn_n">#REF!</definedName>
    <definedName name="cri_cln_omn_y">#REF!</definedName>
    <definedName name="cri_cwc_omn_n">#REF!</definedName>
    <definedName name="cri_cwc_omn_y">#REF!</definedName>
    <definedName name="cri_omn_n">#REF!</definedName>
    <definedName name="cri_pse_omn_n">#REF!</definedName>
    <definedName name="cri_pse_omn_y">#REF!</definedName>
    <definedName name="cri_sup_omn_n">#REF!</definedName>
    <definedName name="cri_sup_omn_y">#REF!</definedName>
    <definedName name="CRITICAL_RATIOS">#REF!</definedName>
    <definedName name="CRITICAL_RATIOS_VALUES">#REF!</definedName>
    <definedName name="d_bu">#REF!</definedName>
    <definedName name="d_Fnum">#REF!</definedName>
    <definedName name="d_ORR">#REF!</definedName>
    <definedName name="d_tier">#REF!</definedName>
    <definedName name="dev_a">#REF!</definedName>
    <definedName name="dev_c">#REF!</definedName>
    <definedName name="dev_f">#REF!</definedName>
    <definedName name="dev_p">#REF!</definedName>
    <definedName name="dev_r">#REF!</definedName>
    <definedName name="dev_t">#REF!</definedName>
    <definedName name="dev_title">#REF!</definedName>
    <definedName name="devname_a">#REF!</definedName>
    <definedName name="devname_c">#REF!</definedName>
    <definedName name="devname_f">#REF!</definedName>
    <definedName name="devname_p">#REF!</definedName>
    <definedName name="devname_r">#REF!</definedName>
    <definedName name="devname_t">#REF!</definedName>
    <definedName name="DRM_BASELINE_ORR_GRADE">#REF!</definedName>
    <definedName name="DRM_INPUT_OUTPUT_SHEET">#REF!</definedName>
    <definedName name="DRM_INSTANCE_HDR">#REF!</definedName>
    <definedName name="DRM_MODEL_CODE">#REF!</definedName>
    <definedName name="DRM_OUTPUT_AUDIT">#REF!</definedName>
    <definedName name="DRM_OVERALL_FINANCIAL_RATING">#REF!</definedName>
    <definedName name="DRM_RATINGS_OP">#REF!</definedName>
    <definedName name="DRM_RATINGS_OP_REF">#REF!</definedName>
    <definedName name="DRM_RATINGS_OP_SYS">#REF!</definedName>
    <definedName name="DRM_THIRD_PD">#REF!</definedName>
    <definedName name="fac_abf">#REF!</definedName>
    <definedName name="fac_cln">#REF!</definedName>
    <definedName name="fac_cwc">#REF!</definedName>
    <definedName name="fac_pse">#REF!</definedName>
    <definedName name="fac_sup">#REF!</definedName>
    <definedName name="fieindr">#REF!</definedName>
    <definedName name="fill_cash">[2]RR_CAC!$L$79</definedName>
    <definedName name="fill_gbf_fac">[2]RR_CAC!$K$36:$K$62</definedName>
    <definedName name="fill_sales">[2]RR_CAC!$S$25</definedName>
    <definedName name="fill_sblc">[2]RR_CAC!$I$79</definedName>
    <definedName name="grader">#REF!</definedName>
    <definedName name="HIDE_COL_INFO">#REF!</definedName>
    <definedName name="HIDE_COLMS_INFO">#REF!</definedName>
    <definedName name="iCcy">[2]RR_Pregrading!$G$28</definedName>
    <definedName name="icInd">#REF!</definedName>
    <definedName name="iConsol">[2]RR_Pregrading!$K$29</definedName>
    <definedName name="iFSF">[2]RR_Pregrading!$G$29</definedName>
    <definedName name="iGAR">[2]RR_Pregrading!$F$63</definedName>
    <definedName name="iInd">[2]RR_Pregrading!$K$28</definedName>
    <definedName name="INSTANCE_HDR_AN_CV">#REF!</definedName>
    <definedName name="INSTANCE_HDR_AN_DI">#REF!</definedName>
    <definedName name="INSTANCE_HDR_AN_OV">#REF!</definedName>
    <definedName name="INSTANCE_HDR_AU_CV">#REF!</definedName>
    <definedName name="INSTANCE_HDR_AU_DI">#REF!</definedName>
    <definedName name="INSTANCE_HDR_AU_OV">#REF!</definedName>
    <definedName name="INSTANCE_HDR_ID">#REF!</definedName>
    <definedName name="INSTANCE_HDR_LTM_Q_CV">#REF!</definedName>
    <definedName name="INSTANCE_HDR_LTM_Q_DI">#REF!</definedName>
    <definedName name="INSTANCE_HDR_LTM_Q_OV">#REF!</definedName>
    <definedName name="INSTANCE_HDR_PR_YTD_CV">#REF!</definedName>
    <definedName name="INSTANCE_HDR_PR_YTD_DI">#REF!</definedName>
    <definedName name="INSTANCE_HDR_PR_YTD_OV">#REF!</definedName>
    <definedName name="INSTANCE_HDR_PR_YTD_Q_CV">#REF!</definedName>
    <definedName name="INSTANCE_HDR_PR_YTD_Q_DI">#REF!</definedName>
    <definedName name="INSTANCE_HDR_PR_YTD_Q_OV">#REF!</definedName>
    <definedName name="INSTANCE_HDR_Q_CV">#REF!</definedName>
    <definedName name="INSTANCE_HDR_Q_DI">#REF!</definedName>
    <definedName name="INSTANCE_HDR_Q_OV">#REF!</definedName>
    <definedName name="INSTANCE_HDR_YTD_CV">#REF!</definedName>
    <definedName name="INSTANCE_HDR_YTD_DI">#REF!</definedName>
    <definedName name="INSTANCE_HDR_YTD_OV">#REF!</definedName>
    <definedName name="INSTANCE_HDR_YTD_Q_CV">#REF!</definedName>
    <definedName name="INSTANCE_HDR_YTD_Q_DI">#REF!</definedName>
    <definedName name="INSTANCE_HDR_YTD_Q_OV">#REF!</definedName>
    <definedName name="iORR">[2]RR_Pregrading!$C$61</definedName>
    <definedName name="iTier">#REF!</definedName>
    <definedName name="LTM_Q_CV">#REF!</definedName>
    <definedName name="LTM_Q_DI">#REF!</definedName>
    <definedName name="LTM_Q_OV">#REF!</definedName>
    <definedName name="LTM_Q_SL_CV">#REF!</definedName>
    <definedName name="LTM_Q_SL_DI">#REF!</definedName>
    <definedName name="LTM_Q_SL_OV">#REF!</definedName>
    <definedName name="msg_err">#REF!</definedName>
    <definedName name="msg_exclar">#REF!</definedName>
    <definedName name="msg_headerr">#REF!</definedName>
    <definedName name="msg_inclar">#REF!</definedName>
    <definedName name="msg_isomn">#REF!</definedName>
    <definedName name="msg_ofwhich">#REF!</definedName>
    <definedName name="msg_omnerr">#REF!</definedName>
    <definedName name="msg_pls">#REF!</definedName>
    <definedName name="msg_riskmgr">#REF!</definedName>
    <definedName name="nacheck">[2]RR_CAC!$J$32</definedName>
    <definedName name="odb">#REF!</definedName>
    <definedName name="odblabel_col">#REF!</definedName>
    <definedName name="odblabel_colpct">#REF!</definedName>
    <definedName name="odblabel_fac">#REF!</definedName>
    <definedName name="odblabel_omn">#REF!</definedName>
    <definedName name="odblabel_prod">#REF!</definedName>
    <definedName name="odblabel_riskcat">#REF!</definedName>
    <definedName name="omnblkcheck">[2]RR_CAC!$V$36:$V$66</definedName>
    <definedName name="omncheck">[2]RR_CAC!$M$67</definedName>
    <definedName name="ORR_GENERATION_STARTED">#REF!</definedName>
    <definedName name="PERIOD_POPULATED">#REF!</definedName>
    <definedName name="PERIOD_POPULATED_PR_YTD">#REF!</definedName>
    <definedName name="PERIOD_POPULATED_PR_YTDQ">#REF!</definedName>
    <definedName name="PERIOD_SELECTION">#REF!</definedName>
    <definedName name="PLACE_HOLDER_TEMPLATE">#REF!</definedName>
    <definedName name="PLACEHOLDER_LABEL_COL_NAME">#REF!</definedName>
    <definedName name="PQR_OUTPUT">#REF!</definedName>
    <definedName name="PREV_YTD_CV">#REF!</definedName>
    <definedName name="PREV_YTD_DI">#REF!</definedName>
    <definedName name="PREV_YTD_OV">#REF!</definedName>
    <definedName name="PREV_YTD_Q_CV">#REF!</definedName>
    <definedName name="PREV_YTD_Q_DI">#REF!</definedName>
    <definedName name="PREV_YTD_Q_OV">#REF!</definedName>
    <definedName name="PREV_YTD_Q_SL_CV">#REF!</definedName>
    <definedName name="PREV_YTD_Q_SL_DI">#REF!</definedName>
    <definedName name="PREV_YTD_Q_SL_OV">#REF!</definedName>
    <definedName name="PREV_YTD_SL_CV">#REF!</definedName>
    <definedName name="PREV_YTD_SL_DI">#REF!</definedName>
    <definedName name="PREV_YTD_SL_OV">#REF!</definedName>
    <definedName name="QUAL_QSTN_ANS">#REF!</definedName>
    <definedName name="QUAL_QSTN_LI">#REF!</definedName>
    <definedName name="QUARTER_CV">#REF!</definedName>
    <definedName name="QUARTER_DI">#REF!</definedName>
    <definedName name="QUARTER_OV">#REF!</definedName>
    <definedName name="QUARTER_SL_CV">#REF!</definedName>
    <definedName name="QUARTER_SL_DI">#REF!</definedName>
    <definedName name="QUARTER_SL_OV">#REF!</definedName>
    <definedName name="rc_abf">#REF!</definedName>
    <definedName name="rc_cln">#REF!</definedName>
    <definedName name="rc_cwc">#REF!</definedName>
    <definedName name="rc_PSE">#REF!</definedName>
    <definedName name="rc_sup">#REF!</definedName>
    <definedName name="rCSC">#REF!</definedName>
    <definedName name="rCSCLF">#REF!</definedName>
    <definedName name="RDAP_REASON">#REF!</definedName>
    <definedName name="rFXR">[1]RR_Ref_CSC!$E$26:$F$33</definedName>
    <definedName name="rGr">[1]RR_Ref_CSC!$F$5:$F$8</definedName>
    <definedName name="rMth">[2]RR_Ref_CSC!$F$12:$F$23</definedName>
    <definedName name="RR_colfac_cln">[2]RR_GBFCol!$D$4:$D$13</definedName>
    <definedName name="RR_colfac_cwc">[2]RR_GBFCol!$D$14:$D$25</definedName>
    <definedName name="RR_colfac_sup">[2]RR_GBFCol!$D$26:$D$34</definedName>
    <definedName name="RR_colpct_cln">[2]RR_GBFCol!$E$4:$E$13</definedName>
    <definedName name="RR_colpct_cwc">[2]RR_GBFCol!$E$14:$E$25</definedName>
    <definedName name="RR_colpct_sup">[2]RR_GBFCol!$E$26:$E$34</definedName>
    <definedName name="RR_d_analyst">#REF!</definedName>
    <definedName name="RR_d_approver">#REF!</definedName>
    <definedName name="RR_d_cotype">#REF!</definedName>
    <definedName name="RR_d_cu">#REF!</definedName>
    <definedName name="RR_d_deviation">#REF!</definedName>
    <definedName name="RR_d_gap">#REF!</definedName>
    <definedName name="RR_d_grade">#REF!</definedName>
    <definedName name="RR_d_level">#REF!</definedName>
    <definedName name="RR_d_sc">#REF!</definedName>
    <definedName name="RR_d_sctype">#REF!</definedName>
    <definedName name="RR_d_YN">#REF!</definedName>
    <definedName name="RR_rCcy">[1]RR_Ref_CSC!$E$26:$E$33</definedName>
    <definedName name="RR_rCSCList">#REF!</definedName>
    <definedName name="RR_rFS">[1]RR_Ref_CSC!$C$19:$C$21</definedName>
    <definedName name="RR_rInd">[1]RR_Ref_CSC!$B$19:$B$21</definedName>
    <definedName name="RR_rOOR">[1]RR_Ref_CSC!$H$5:$H$32</definedName>
    <definedName name="RR_rYN">[1]RR_Ref_CSC!$B$11:$B$12</definedName>
    <definedName name="RRS_calcTr">#REF!</definedName>
    <definedName name="RRS_iCcy">#REF!</definedName>
    <definedName name="RRS_iConsol">#REF!</definedName>
    <definedName name="RRS_iFSF">#REF!</definedName>
    <definedName name="RRS_iInd">#REF!</definedName>
    <definedName name="RRS_iIndFlag">#REF!</definedName>
    <definedName name="RRS_iMth">#REF!</definedName>
    <definedName name="RRS_iORR">#REF!</definedName>
    <definedName name="RRS_Pass">#REF!</definedName>
    <definedName name="RRS_rCcy">#REF!</definedName>
    <definedName name="RRS_rFS">#REF!</definedName>
    <definedName name="RRS_rFSCFie">#REF!</definedName>
    <definedName name="RRS_rFXR">#REF!</definedName>
    <definedName name="RRS_rGAR">#REF!</definedName>
    <definedName name="RRS_rGARInt">#REF!</definedName>
    <definedName name="RRS_rGr">#REF!</definedName>
    <definedName name="RRS_rInd">#REF!</definedName>
    <definedName name="RRS_rIndFlag">#REF!</definedName>
    <definedName name="RRS_rMet">#REF!</definedName>
    <definedName name="RRS_rMth">#REF!</definedName>
    <definedName name="RRS_rNMC">#REF!</definedName>
    <definedName name="RRS_rOO">#REF!</definedName>
    <definedName name="RRS_rORR">#REF!</definedName>
    <definedName name="RRS_rTr">#REF!</definedName>
    <definedName name="RRS_rYN">#REF!</definedName>
    <definedName name="RRS_rYr">#REF!</definedName>
    <definedName name="RRS_vAnl">#REF!</definedName>
    <definedName name="RRS_vAuto">#REF!</definedName>
    <definedName name="RRS_vFIE">#REF!</definedName>
    <definedName name="RRS_vFSCn">#REF!</definedName>
    <definedName name="RRS_vFSTw">#REF!</definedName>
    <definedName name="RRS_vFSW">#REF!</definedName>
    <definedName name="RRS_vIndGIT">#REF!</definedName>
    <definedName name="RRS_vIndM">#REF!</definedName>
    <definedName name="RRS_vIndWT">#REF!</definedName>
    <definedName name="RRS_vInf">#REF!</definedName>
    <definedName name="RRS_vLF">#REF!</definedName>
    <definedName name="RRS_vLocal">#REF!</definedName>
    <definedName name="RRS_vMet">#REF!</definedName>
    <definedName name="RRS_vMetNot">#REF!</definedName>
    <definedName name="RRS_vNA">#REF!</definedName>
    <definedName name="RRS_vNo">#REF!</definedName>
    <definedName name="RRS_vOff">#REF!</definedName>
    <definedName name="RRS_vOn">#REF!</definedName>
    <definedName name="RRS_vsAnl">#REF!</definedName>
    <definedName name="RRS_vYes">#REF!</definedName>
    <definedName name="rTr">[1]RR_Ref_CSC!$E$5:$E$8</definedName>
    <definedName name="STATIC_HDR_ALL">#REF!</definedName>
    <definedName name="STATIC_HDR_CV">#REF!</definedName>
    <definedName name="STATIC_HDR_DI">#REF!</definedName>
    <definedName name="STATIC_HDR_OV">#REF!</definedName>
    <definedName name="SUBLINE_COL_INFO">#REF!</definedName>
    <definedName name="tbd">#REF!</definedName>
    <definedName name="tcapcln">#REF!</definedName>
    <definedName name="tcaptot">#REF!</definedName>
    <definedName name="tdays">#REF!</definedName>
    <definedName name="tfailed">#REF!</definedName>
    <definedName name="tfi">[2]RR_CAC!$L$26</definedName>
    <definedName name="tgr">[2]RR_CAC!$L$28</definedName>
    <definedName name="Tier0">[1]RR_Ref_CSC!$E$7</definedName>
    <definedName name="TierI">[1]RR_Ref_CSC!$E$7</definedName>
    <definedName name="TierII">[1]RR_Ref_CSC!$E$6</definedName>
    <definedName name="TierIII">[1]RR_Ref_CSC!$E$5</definedName>
    <definedName name="tierr">#REF!</definedName>
    <definedName name="tmonths">#REF!</definedName>
    <definedName name="tno">#REF!</definedName>
    <definedName name="tnofull">#REF!</definedName>
    <definedName name="tnr_days">#REF!</definedName>
    <definedName name="tnr_months">#REF!</definedName>
    <definedName name="tpassed">#REF!</definedName>
    <definedName name="tti">[2]RR_CAC!$L$25</definedName>
    <definedName name="twBoth">#REF!</definedName>
    <definedName name="twCP">#REF!</definedName>
    <definedName name="twPSE">#REF!</definedName>
    <definedName name="tyes">#REF!</definedName>
    <definedName name="tyesfull">#REF!</definedName>
    <definedName name="UNSORTED_QUARTER">#REF!</definedName>
    <definedName name="vAnl">[1]RR_Ref_CSC!$C$4</definedName>
    <definedName name="vfi">[2]RR_CAC!$W$26</definedName>
    <definedName name="vFSCn">[1]RR_Ref_CSC!$C$19</definedName>
    <definedName name="vFSW">[1]RR_Ref_CSC!$C$20</definedName>
    <definedName name="vgr">[2]RR_CAC!$W$28</definedName>
    <definedName name="vIndGIT">[1]RR_Ref_CSC!$B$19</definedName>
    <definedName name="vIndM">[1]RR_Ref_CSC!$B$20</definedName>
    <definedName name="vIndWT">[1]RR_Ref_CSC!$B$21</definedName>
    <definedName name="vInf">[1]RR_Ref_CSC!$B$8</definedName>
    <definedName name="vNo">[2]RR_Ref_CSC!$B$12</definedName>
    <definedName name="vOff">[2]RR_Ref_CSC!$C$12</definedName>
    <definedName name="vOn">[2]RR_Ref_CSC!$C$11</definedName>
    <definedName name="vsAnl">[1]RR_Ref_CSC!$C$5</definedName>
    <definedName name="vStd4Dscr">#REF!</definedName>
    <definedName name="vti">[2]RR_CAC!$W$27</definedName>
    <definedName name="YTD_CV">#REF!</definedName>
    <definedName name="YTD_DI">#REF!</definedName>
    <definedName name="YTD_OV">#REF!</definedName>
    <definedName name="YTD_Q_CV">#REF!</definedName>
    <definedName name="YTD_Q_DI">#REF!</definedName>
    <definedName name="YTD_Q_OV">#REF!</definedName>
    <definedName name="YTD_Q_SL_CV">#REF!</definedName>
    <definedName name="YTD_Q_SL_DI">#REF!</definedName>
    <definedName name="YTD_Q_SL_OV">#REF!</definedName>
    <definedName name="YTD_SL_CV">#REF!</definedName>
    <definedName name="YTD_SL_DI">#REF!</definedName>
    <definedName name="YTD_SL_OV">#REF!</definedName>
  </definedNames>
  <calcPr calcId="191029" concurrentCalc="0" concurrentManualCount="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6" l="1"/>
  <c r="E8" i="6"/>
  <c r="D19" i="6"/>
  <c r="D20" i="6"/>
  <c r="D21" i="6"/>
  <c r="D23" i="6"/>
  <c r="D24" i="6"/>
  <c r="D25" i="6"/>
  <c r="D26" i="6"/>
  <c r="D27" i="6"/>
  <c r="D28" i="6"/>
  <c r="D29" i="6"/>
  <c r="B11" i="3"/>
  <c r="B10" i="3"/>
  <c r="B9" i="3"/>
  <c r="B8" i="3"/>
  <c r="B7" i="3"/>
  <c r="B12" i="3"/>
</calcChain>
</file>

<file path=xl/sharedStrings.xml><?xml version="1.0" encoding="utf-8"?>
<sst xmlns="http://schemas.openxmlformats.org/spreadsheetml/2006/main" count="3375" uniqueCount="3011">
  <si>
    <t xml:space="preserve">Oilseed (except Soybean) Farming </t>
  </si>
  <si>
    <t xml:space="preserve">Dry Pea and Bean Farming </t>
  </si>
  <si>
    <t xml:space="preserve">Corn Farming </t>
  </si>
  <si>
    <t xml:space="preserve">Citrus (except Orange) Groves </t>
  </si>
  <si>
    <t xml:space="preserve">Hay Farming </t>
  </si>
  <si>
    <t xml:space="preserve">Hog and Pig Farming </t>
  </si>
  <si>
    <t xml:space="preserve">Chicken Egg Production </t>
  </si>
  <si>
    <t xml:space="preserve">Other Poultry Production </t>
  </si>
  <si>
    <t xml:space="preserve">All Other Animal Production </t>
  </si>
  <si>
    <t xml:space="preserve">Forest Nurseries and Gathering of Forest Products </t>
  </si>
  <si>
    <t xml:space="preserve">Logging </t>
  </si>
  <si>
    <t xml:space="preserve">Solar Electric Power Generation </t>
  </si>
  <si>
    <t xml:space="preserve">Wind Electric Power Generation </t>
  </si>
  <si>
    <t xml:space="preserve">Geothermal Electric Power Generation </t>
  </si>
  <si>
    <t xml:space="preserve">Biomass Electric Power Generation </t>
  </si>
  <si>
    <t xml:space="preserve">Other Electric Power Generation </t>
  </si>
  <si>
    <t xml:space="preserve">Industrial Building Construction </t>
  </si>
  <si>
    <t xml:space="preserve">Commercial and Institutional Building Construction </t>
  </si>
  <si>
    <t xml:space="preserve">Water and Sewer Line and Related Structures Construction </t>
  </si>
  <si>
    <t xml:space="preserve">Oil and Gas Pipeline and Related Structures Construction </t>
  </si>
  <si>
    <t xml:space="preserve">Power and Communication Line and Related Structures Construction </t>
  </si>
  <si>
    <t xml:space="preserve">Land Subdivision </t>
  </si>
  <si>
    <t xml:space="preserve">Highway, Street, and Bridge Construction </t>
  </si>
  <si>
    <t xml:space="preserve">Other Heavy and Civil Engineering Construction </t>
  </si>
  <si>
    <t xml:space="preserve">Structural Steel and Precast Concrete Contractors </t>
  </si>
  <si>
    <t xml:space="preserve">Plumbing, Heating, and Air-Conditioning Contractors </t>
  </si>
  <si>
    <t xml:space="preserve">Other Building Equipment Contractors </t>
  </si>
  <si>
    <t xml:space="preserve">Drywall and Insulation Contractors </t>
  </si>
  <si>
    <t xml:space="preserve">Cane Sugar Manufacturing </t>
  </si>
  <si>
    <t xml:space="preserve">Confectionery Manufacturing from Purchased Chocolate </t>
  </si>
  <si>
    <t xml:space="preserve">Coffee and Tea Manufacturing </t>
  </si>
  <si>
    <t xml:space="preserve">Wineries </t>
  </si>
  <si>
    <t xml:space="preserve">Distilleries </t>
  </si>
  <si>
    <t xml:space="preserve">Tobacco Manufacturing </t>
  </si>
  <si>
    <t xml:space="preserve">Fiber, Yarn, and Thread Mills </t>
  </si>
  <si>
    <t xml:space="preserve">Textile Bag and Canvas Mills </t>
  </si>
  <si>
    <t xml:space="preserve">Other Apparel Knitting Mills </t>
  </si>
  <si>
    <t xml:space="preserve">Cut and Sew Apparel Contractors </t>
  </si>
  <si>
    <t>Women’s, Girls’, and Infants’ Cut and Sew Apparel Manufacturing</t>
  </si>
  <si>
    <t xml:space="preserve">Women’s, Girls’, and Infants’ Cut and Sew Apparel Manufacturing </t>
  </si>
  <si>
    <t xml:space="preserve">Other Cut and Sew Apparel Manufacturing </t>
  </si>
  <si>
    <t xml:space="preserve">Apparel Accessories and Other Apparel Manufacturing </t>
  </si>
  <si>
    <t xml:space="preserve">Footwear Manufacturing </t>
  </si>
  <si>
    <t xml:space="preserve">Pulp Mills </t>
  </si>
  <si>
    <t xml:space="preserve">Paperboard Mills </t>
  </si>
  <si>
    <t xml:space="preserve">Other Basic Inorganic Chemical Manufacturing </t>
  </si>
  <si>
    <t xml:space="preserve">Pottery, Ceramics, and Plumbing Fixture Manufacturing </t>
  </si>
  <si>
    <t xml:space="preserve">Clay Building Material and Refractories Manufacturing </t>
  </si>
  <si>
    <t xml:space="preserve">Other Concrete Product Manufacturing </t>
  </si>
  <si>
    <t xml:space="preserve">Iron and Steel Mills and Ferroalloy Manufacturing </t>
  </si>
  <si>
    <t xml:space="preserve">Nonferrous Metal (except Aluminum) Smelting and Refining </t>
  </si>
  <si>
    <t xml:space="preserve">Food Product Machinery Manufacturing </t>
  </si>
  <si>
    <t xml:space="preserve">Semiconductor Machinery Manufacturing </t>
  </si>
  <si>
    <t xml:space="preserve">Sawmill, Woodworking, and Paper Machinery Manufacturing </t>
  </si>
  <si>
    <t xml:space="preserve">Printing Machinery and Equipment Manufacturing </t>
  </si>
  <si>
    <t xml:space="preserve">Other Industrial Machinery Manufacturing </t>
  </si>
  <si>
    <t xml:space="preserve">Industrial and Commercial Fan and Blower and Air Purification Equipment Manufacturing </t>
  </si>
  <si>
    <t xml:space="preserve">Machine Tool Manufacturing </t>
  </si>
  <si>
    <t xml:space="preserve">Rolling Mill and Other Metalworking Machinery Manufacturing </t>
  </si>
  <si>
    <t xml:space="preserve">Computer Terminal and Other Computer Peripheral Equipment Manufacturing </t>
  </si>
  <si>
    <t xml:space="preserve">Software and Other Prerecorded Compact Disc, Tape, and Record Reproducing </t>
  </si>
  <si>
    <t xml:space="preserve">Jewelry and Silverware Manufacturing </t>
  </si>
  <si>
    <t xml:space="preserve">All Other Miscellaneous Manufacturing </t>
  </si>
  <si>
    <t xml:space="preserve">Household Appliances, Electric Housewares, and Consumer Electronics Merchant Wholesalers </t>
  </si>
  <si>
    <t xml:space="preserve">Motorcycle, ATV, and All Other Motor Vehicle Dealers </t>
  </si>
  <si>
    <t xml:space="preserve">Electronics and Appliance Stores </t>
  </si>
  <si>
    <t xml:space="preserve">Electronics Stores </t>
  </si>
  <si>
    <t xml:space="preserve">General Freight Trucking, Local </t>
  </si>
  <si>
    <t xml:space="preserve">Specialized Freight (except Used Goods) Trucking, Local </t>
  </si>
  <si>
    <t xml:space="preserve">Specialized Freight (except Used Goods) Trucking, Long-Distance </t>
  </si>
  <si>
    <t xml:space="preserve">Taxi Service </t>
  </si>
  <si>
    <t xml:space="preserve">Navigational Services to Shipping </t>
  </si>
  <si>
    <t xml:space="preserve">Other Support Activities for Road Transportation </t>
  </si>
  <si>
    <t xml:space="preserve">Freight Transportation Arrangement </t>
  </si>
  <si>
    <t xml:space="preserve">General Warehousing and Storage </t>
  </si>
  <si>
    <t xml:space="preserve">Newspaper Publishers </t>
  </si>
  <si>
    <t xml:space="preserve">Periodical Publishers </t>
  </si>
  <si>
    <t xml:space="preserve">Book Publishers </t>
  </si>
  <si>
    <t xml:space="preserve">Directory and Mailing List Publishers </t>
  </si>
  <si>
    <t xml:space="preserve">Motion Picture and Video Production </t>
  </si>
  <si>
    <t xml:space="preserve">Wired Telecommunications Carriers </t>
  </si>
  <si>
    <t xml:space="preserve">Libraries and Archives </t>
  </si>
  <si>
    <t xml:space="preserve">Truck, Utility Trailer, and RV (Recreational Vehicle) Rental and Leasing </t>
  </si>
  <si>
    <t xml:space="preserve">Other Commercial and Industrial Machinery and Equipment Rental and Leasing </t>
  </si>
  <si>
    <t xml:space="preserve">Research and Development in the Social Sciences and Humanities </t>
  </si>
  <si>
    <t xml:space="preserve">Other Services Related to Advertising </t>
  </si>
  <si>
    <t xml:space="preserve">Veterinary Services </t>
  </si>
  <si>
    <t xml:space="preserve">Janitorial Services </t>
  </si>
  <si>
    <t xml:space="preserve">Other Services to Buildings and Dwellings </t>
  </si>
  <si>
    <t xml:space="preserve">Elementary and Secondary Schools </t>
  </si>
  <si>
    <t xml:space="preserve">Junior Colleges </t>
  </si>
  <si>
    <t xml:space="preserve">Colleges, Universities, and Professional Schools </t>
  </si>
  <si>
    <t xml:space="preserve">Business and Secretarial Schools </t>
  </si>
  <si>
    <t xml:space="preserve">Computer Training </t>
  </si>
  <si>
    <t xml:space="preserve">Professional and Management Development Training </t>
  </si>
  <si>
    <t xml:space="preserve">Fine Arts Schools </t>
  </si>
  <si>
    <t xml:space="preserve">Sports and Recreation Instruction </t>
  </si>
  <si>
    <t xml:space="preserve">Language Schools </t>
  </si>
  <si>
    <t xml:space="preserve">Offices of Dentists </t>
  </si>
  <si>
    <t xml:space="preserve">Offices of Chiropractors </t>
  </si>
  <si>
    <t xml:space="preserve">Offices of Mental Health Practitioners (except Physicians) </t>
  </si>
  <si>
    <t xml:space="preserve">Offices of Physical, Occupational and Speech Therapists, and Audiologists </t>
  </si>
  <si>
    <t xml:space="preserve">Family Planning Centers </t>
  </si>
  <si>
    <t xml:space="preserve">Outpatient Mental Health and Substance Abuse Centers </t>
  </si>
  <si>
    <t xml:space="preserve">Ambulance Services </t>
  </si>
  <si>
    <t xml:space="preserve">General Medical and Surgical Hospitals </t>
  </si>
  <si>
    <t xml:space="preserve">Psychiatric and Substance Abuse Hospitals </t>
  </si>
  <si>
    <t xml:space="preserve">Specialty (except Psychiatric and Substance Abuse) Hospitals </t>
  </si>
  <si>
    <t xml:space="preserve">Nursing Care Facilities (Skilled Nursing Facilities) </t>
  </si>
  <si>
    <t xml:space="preserve">Residential Intellectual and Developmental Disability Facilities </t>
  </si>
  <si>
    <t xml:space="preserve">Residential Mental Health and Substance Abuse Facilities </t>
  </si>
  <si>
    <t xml:space="preserve">Other Residential Care Facilities </t>
  </si>
  <si>
    <t xml:space="preserve">Child and Youth Services </t>
  </si>
  <si>
    <t xml:space="preserve">Services for the Elderly and Persons with Disabilities </t>
  </si>
  <si>
    <t xml:space="preserve">Other Individual and Family Services </t>
  </si>
  <si>
    <t xml:space="preserve">Community Food Services </t>
  </si>
  <si>
    <t xml:space="preserve">Emergency and Other Relief Services </t>
  </si>
  <si>
    <t xml:space="preserve">Vocational Rehabilitation Services </t>
  </si>
  <si>
    <t xml:space="preserve">Child Day Care Services </t>
  </si>
  <si>
    <t xml:space="preserve">Theater Companies and Dinner Theaters </t>
  </si>
  <si>
    <t xml:space="preserve">Dance Companies </t>
  </si>
  <si>
    <t xml:space="preserve">Musical Groups and Artists </t>
  </si>
  <si>
    <t xml:space="preserve">Other Performing Arts Companies </t>
  </si>
  <si>
    <t xml:space="preserve">Promoters of Performing Arts, Sports, and Similar Events with Facilities </t>
  </si>
  <si>
    <t xml:space="preserve">Promoters of Performing Arts, Sports, and Similar Events without Facilities </t>
  </si>
  <si>
    <t xml:space="preserve">Independent Artists, Writers, and Performers </t>
  </si>
  <si>
    <t xml:space="preserve">Museums </t>
  </si>
  <si>
    <t xml:space="preserve">Zoos and Botanical Gardens </t>
  </si>
  <si>
    <t xml:space="preserve">Amusement and Theme Parks </t>
  </si>
  <si>
    <t xml:space="preserve">Other Gambling Industries </t>
  </si>
  <si>
    <t xml:space="preserve">Fitness and Recreational Sports Centers </t>
  </si>
  <si>
    <t xml:space="preserve">All Other Amusement and Recreation Industries </t>
  </si>
  <si>
    <t xml:space="preserve">Hotels (except Casino Hotels) and Motels </t>
  </si>
  <si>
    <t xml:space="preserve">Rooming and Boarding Houses </t>
  </si>
  <si>
    <t xml:space="preserve">Drinking Places (Alcoholic Beverages) </t>
  </si>
  <si>
    <t xml:space="preserve">Full-Service Restaurants </t>
  </si>
  <si>
    <t xml:space="preserve">Commercial and Industrial Machinery and Equipment (except Automotive and Electronic) Repair and Maintenance </t>
  </si>
  <si>
    <t xml:space="preserve">Other Personal and Household Goods Repair and Maintenance </t>
  </si>
  <si>
    <t>*</t>
  </si>
  <si>
    <t>**</t>
  </si>
  <si>
    <t>2012 NAICS Structure</t>
  </si>
  <si>
    <t>***</t>
  </si>
  <si>
    <t>Change Indicator</t>
  </si>
  <si>
    <t>2012 NAICS Code</t>
  </si>
  <si>
    <t>2012 NAICS Title</t>
  </si>
  <si>
    <t>31-33</t>
  </si>
  <si>
    <t>44-45</t>
  </si>
  <si>
    <t>48-49</t>
  </si>
  <si>
    <t xml:space="preserve">Oilseed and Grain Combination Farming </t>
  </si>
  <si>
    <t xml:space="preserve">All Other Grain Farming </t>
  </si>
  <si>
    <t xml:space="preserve">Potato Farming </t>
  </si>
  <si>
    <t xml:space="preserve">Other Vegetable (except Potato) and Melon Farming </t>
  </si>
  <si>
    <t xml:space="preserve">Apple Orchards </t>
  </si>
  <si>
    <t xml:space="preserve">Grape Vineyards </t>
  </si>
  <si>
    <t xml:space="preserve">Strawberry Farming </t>
  </si>
  <si>
    <t xml:space="preserve">Berry (except Strawberry) Farming </t>
  </si>
  <si>
    <t xml:space="preserve">Tree Nut Farming </t>
  </si>
  <si>
    <t xml:space="preserve">Fruit and Tree Nut Combination Farming </t>
  </si>
  <si>
    <t xml:space="preserve">Other Noncitrus Fruit Farming </t>
  </si>
  <si>
    <t xml:space="preserve">Mushroom Production </t>
  </si>
  <si>
    <t xml:space="preserve">Other Food Crops Grown Under Cover </t>
  </si>
  <si>
    <t xml:space="preserve">Nursery and Tree Production </t>
  </si>
  <si>
    <t xml:space="preserve">Floriculture Production </t>
  </si>
  <si>
    <t xml:space="preserve">Sugar Beet Farming </t>
  </si>
  <si>
    <t xml:space="preserve">Peanut Farming </t>
  </si>
  <si>
    <t xml:space="preserve">All Other Miscellaneous Crop Farming </t>
  </si>
  <si>
    <t xml:space="preserve">Beef Cattle Ranching and Farming </t>
  </si>
  <si>
    <t xml:space="preserve">Cattle Feedlots </t>
  </si>
  <si>
    <t xml:space="preserve">Dual-Purpose Cattle Ranching and Farming </t>
  </si>
  <si>
    <t xml:space="preserve">Lead Ore and Zinc Ore Mining </t>
  </si>
  <si>
    <t xml:space="preserve">Uranium-Radium-Vanadium Ore Mining </t>
  </si>
  <si>
    <t xml:space="preserve">All Other Metal Ore Mining </t>
  </si>
  <si>
    <t xml:space="preserve">Electric Power Generation </t>
  </si>
  <si>
    <t xml:space="preserve">Hydroelectric Power Generation </t>
  </si>
  <si>
    <t xml:space="preserve">Fossil Fuel Electric Power Generation </t>
  </si>
  <si>
    <t xml:space="preserve">Nuclear Electric Power Generation </t>
  </si>
  <si>
    <t xml:space="preserve">Electric Power Transmission, Control, and Distribution </t>
  </si>
  <si>
    <t xml:space="preserve">Electric Bulk Power Transmission and Control </t>
  </si>
  <si>
    <t xml:space="preserve">Electric Power Distribution </t>
  </si>
  <si>
    <t xml:space="preserve">Natural Gas Distribution </t>
  </si>
  <si>
    <t xml:space="preserve">Water, Sewage and Other Systems </t>
  </si>
  <si>
    <t xml:space="preserve">Water Supply and Irrigation Systems </t>
  </si>
  <si>
    <t xml:space="preserve">Sewage Treatment Facilities </t>
  </si>
  <si>
    <t xml:space="preserve">Steam and Air-Conditioning Supply </t>
  </si>
  <si>
    <t xml:space="preserve">Poured Concrete Foundation and Structure Contractors </t>
  </si>
  <si>
    <t xml:space="preserve">Framing Contractors </t>
  </si>
  <si>
    <t xml:space="preserve">Masonry Contractors </t>
  </si>
  <si>
    <t xml:space="preserve">Glass and Glazing Contractors </t>
  </si>
  <si>
    <t xml:space="preserve">Roofing Contractors </t>
  </si>
  <si>
    <t xml:space="preserve">Siding Contractors </t>
  </si>
  <si>
    <t xml:space="preserve">Other Foundation, Structure, and Building Exterior Contractors </t>
  </si>
  <si>
    <t xml:space="preserve">Dog and Cat Food Manufacturing </t>
  </si>
  <si>
    <t xml:space="preserve">Other Animal Food Manufacturing </t>
  </si>
  <si>
    <t xml:space="preserve">Flour Milling </t>
  </si>
  <si>
    <t xml:space="preserve">Wet Corn Milling </t>
  </si>
  <si>
    <t xml:space="preserve">Fats and Oils Refining and Blending </t>
  </si>
  <si>
    <t xml:space="preserve">Fluid Milk Manufacturing </t>
  </si>
  <si>
    <t xml:space="preserve">Animal (except Poultry) Slaughtering </t>
  </si>
  <si>
    <t xml:space="preserve">Poultry Processing </t>
  </si>
  <si>
    <t xml:space="preserve">Retail Bakeries </t>
  </si>
  <si>
    <t xml:space="preserve">Cookie and Cracker Manufacturing </t>
  </si>
  <si>
    <t xml:space="preserve">Dry Pasta, Dough, and Flour Mixes Manufacturing from Purchased Flour </t>
  </si>
  <si>
    <t xml:space="preserve">Roasted Nuts and Peanut Butter Manufacturing </t>
  </si>
  <si>
    <t xml:space="preserve">Other Snack Food Manufacturing </t>
  </si>
  <si>
    <t xml:space="preserve">Wood Preservation </t>
  </si>
  <si>
    <t xml:space="preserve">Hardwood Veneer and Plywood Manufacturing </t>
  </si>
  <si>
    <t xml:space="preserve">Softwood Veneer and Plywood Manufacturing </t>
  </si>
  <si>
    <t xml:space="preserve">Wood Window and Door Manufacturing </t>
  </si>
  <si>
    <t xml:space="preserve">Manufactured Home (Mobile Home) Manufacturing </t>
  </si>
  <si>
    <t xml:space="preserve">Prefabricated Wood Building Manufacturing </t>
  </si>
  <si>
    <t xml:space="preserve">All Other Miscellaneous Wood Product Manufacturing </t>
  </si>
  <si>
    <t xml:space="preserve">Paper (except Newsprint) Mills </t>
  </si>
  <si>
    <t xml:space="preserve">Newsprint Mills </t>
  </si>
  <si>
    <t xml:space="preserve">Corrugated and Solid Fiber Box Manufacturing </t>
  </si>
  <si>
    <t xml:space="preserve">Folding Paperboard Box Manufacturing </t>
  </si>
  <si>
    <t xml:space="preserve">Sanitary Paper Product Manufacturing </t>
  </si>
  <si>
    <t xml:space="preserve">All Other Converted Paper Product Manufacturing </t>
  </si>
  <si>
    <t xml:space="preserve">Commercial Screen Printing </t>
  </si>
  <si>
    <t xml:space="preserve">Asphalt Paving Mixture and Block Manufacturing </t>
  </si>
  <si>
    <t xml:space="preserve">Asphalt Shingle and Coating Materials Manufacturing </t>
  </si>
  <si>
    <t xml:space="preserve">Fertilizer (Mixing Only) Manufacturing </t>
  </si>
  <si>
    <t xml:space="preserve">Custom Compounding of Purchased Resins </t>
  </si>
  <si>
    <t xml:space="preserve">Plastics Bag and Pouch Manufacturing </t>
  </si>
  <si>
    <t xml:space="preserve">Unlaminated Plastics Profile Shape Manufacturing </t>
  </si>
  <si>
    <t xml:space="preserve">Plastics Pipe and Pipe Fitting Manufacturing </t>
  </si>
  <si>
    <t xml:space="preserve">Plastics Plumbing Fixture Manufacturing </t>
  </si>
  <si>
    <t xml:space="preserve">Glass Product Manufacturing Made of Purchased Glass </t>
  </si>
  <si>
    <t xml:space="preserve">Rolled Steel Shape Manufacturing </t>
  </si>
  <si>
    <t xml:space="preserve">Steel Wire Drawing </t>
  </si>
  <si>
    <t xml:space="preserve">Iron Foundries </t>
  </si>
  <si>
    <t xml:space="preserve">Prefabricated Metal Building and Component Manufacturing </t>
  </si>
  <si>
    <t xml:space="preserve">Metal Window and Door Manufacturing </t>
  </si>
  <si>
    <t xml:space="preserve">Other Metal Container Manufacturing </t>
  </si>
  <si>
    <t xml:space="preserve">Industrial Mold Manufacturing </t>
  </si>
  <si>
    <t xml:space="preserve">Turbine and Turbine Generator Set Units Manufacturing </t>
  </si>
  <si>
    <t xml:space="preserve">Search, Detection, Navigation, Guidance, Aeronautical, and Nautical System and Instrument Manufacturing </t>
  </si>
  <si>
    <t xml:space="preserve">Power, Distribution, and Specialty Transformer Manufacturing </t>
  </si>
  <si>
    <t xml:space="preserve">Motor and Generator Manufacturing </t>
  </si>
  <si>
    <t xml:space="preserve">Motor Vehicle Body Manufacturing </t>
  </si>
  <si>
    <t xml:space="preserve">Truck Trailer Manufacturing </t>
  </si>
  <si>
    <t xml:space="preserve">Ship Building and Repairing </t>
  </si>
  <si>
    <t xml:space="preserve">Boat Building </t>
  </si>
  <si>
    <t xml:space="preserve">Upholstered Household Furniture Manufacturing </t>
  </si>
  <si>
    <t xml:space="preserve">Institutional Furniture Manufacturing </t>
  </si>
  <si>
    <t xml:space="preserve">Office Furniture (except Wood) Manufacturing </t>
  </si>
  <si>
    <t xml:space="preserve">Showcase, Partition, Shelving, and Locker Manufacturing </t>
  </si>
  <si>
    <t xml:space="preserve">Wholesale Electronic Markets and Agents and Brokers </t>
  </si>
  <si>
    <t xml:space="preserve">Business to Business Electronic Markets </t>
  </si>
  <si>
    <t xml:space="preserve">Wholesale Trade Agents and Brokers </t>
  </si>
  <si>
    <t xml:space="preserve">Motor Vehicle and Parts Dealers </t>
  </si>
  <si>
    <t xml:space="preserve">Automobile Dealers </t>
  </si>
  <si>
    <t xml:space="preserve">New Car Dealers </t>
  </si>
  <si>
    <t xml:space="preserve">Used Car Dealers </t>
  </si>
  <si>
    <t xml:space="preserve">Other Motor Vehicle Dealers </t>
  </si>
  <si>
    <t xml:space="preserve">Recreational Vehicle Dealers </t>
  </si>
  <si>
    <t xml:space="preserve">Motorcycle, Boat, and Other Motor Vehicle Dealers </t>
  </si>
  <si>
    <t xml:space="preserve">Automotive Parts, Accessories, and Tire Stores </t>
  </si>
  <si>
    <t xml:space="preserve">Automotive Parts and Accessories Stores </t>
  </si>
  <si>
    <t xml:space="preserve">Tire Dealers </t>
  </si>
  <si>
    <t xml:space="preserve">Furniture and Home Furnishings Stores </t>
  </si>
  <si>
    <t xml:space="preserve">Furniture Stores </t>
  </si>
  <si>
    <t xml:space="preserve">Home Furnishings Stores </t>
  </si>
  <si>
    <t xml:space="preserve">Floor Covering Stores </t>
  </si>
  <si>
    <t xml:space="preserve">Other Home Furnishings Stores </t>
  </si>
  <si>
    <t xml:space="preserve">Window Treatment Stores </t>
  </si>
  <si>
    <t xml:space="preserve">Building Material and Garden Equipment and Supplies Dealers </t>
  </si>
  <si>
    <t xml:space="preserve">Building Material and Supplies Dealers </t>
  </si>
  <si>
    <t xml:space="preserve">Home Centers </t>
  </si>
  <si>
    <t xml:space="preserve">Paint and Wallpaper Stores </t>
  </si>
  <si>
    <t xml:space="preserve">Hardware Stores </t>
  </si>
  <si>
    <t xml:space="preserve">Other Building Material Dealers </t>
  </si>
  <si>
    <t xml:space="preserve">Lawn and Garden Equipment and Supplies Stores </t>
  </si>
  <si>
    <t xml:space="preserve">Outdoor Power Equipment Stores </t>
  </si>
  <si>
    <t xml:space="preserve">Nursery, Garden Center, and Farm Supply Stores </t>
  </si>
  <si>
    <t xml:space="preserve">Food and Beverage Stores </t>
  </si>
  <si>
    <t xml:space="preserve">Grocery Stores </t>
  </si>
  <si>
    <t xml:space="preserve">Supermarkets and Other Grocery (except Convenience) Stores </t>
  </si>
  <si>
    <t xml:space="preserve">Convenience Stores </t>
  </si>
  <si>
    <t xml:space="preserve">Specialty Food Stores </t>
  </si>
  <si>
    <t xml:space="preserve">Meat Markets </t>
  </si>
  <si>
    <t xml:space="preserve">Fish and Seafood Markets </t>
  </si>
  <si>
    <t xml:space="preserve">Fruit and Vegetable Markets </t>
  </si>
  <si>
    <t xml:space="preserve">Other Specialty Food Stores </t>
  </si>
  <si>
    <t xml:space="preserve">Baked Goods Stores </t>
  </si>
  <si>
    <t xml:space="preserve">Confectionery and Nut Stores </t>
  </si>
  <si>
    <t xml:space="preserve">All Other Specialty Food Stores </t>
  </si>
  <si>
    <t xml:space="preserve">Beer, Wine, and Liquor Stores </t>
  </si>
  <si>
    <t xml:space="preserve">Health and Personal Care Stores </t>
  </si>
  <si>
    <t xml:space="preserve">Pharmacies and Drug Stores </t>
  </si>
  <si>
    <t xml:space="preserve">Cosmetics, Beauty Supplies, and Perfume Stores </t>
  </si>
  <si>
    <t xml:space="preserve">Optical Goods Stores </t>
  </si>
  <si>
    <t xml:space="preserve">Other Health and Personal Care Stores </t>
  </si>
  <si>
    <t xml:space="preserve">Food (Health) Supplement Stores </t>
  </si>
  <si>
    <t xml:space="preserve">All Other Health and Personal Care Stores </t>
  </si>
  <si>
    <t xml:space="preserve">Gasoline Stations </t>
  </si>
  <si>
    <t xml:space="preserve">Gasoline Stations with Convenience Stores </t>
  </si>
  <si>
    <t xml:space="preserve">Other Gasoline Stations </t>
  </si>
  <si>
    <t xml:space="preserve">Clothing and Clothing Accessories Stores </t>
  </si>
  <si>
    <t xml:space="preserve">Clothing Stores </t>
  </si>
  <si>
    <t xml:space="preserve">Men's Clothing Stores </t>
  </si>
  <si>
    <t xml:space="preserve">Women's Clothing Stores </t>
  </si>
  <si>
    <t xml:space="preserve">Children's and Infants' Clothing Stores </t>
  </si>
  <si>
    <t xml:space="preserve">Family Clothing Stores </t>
  </si>
  <si>
    <t xml:space="preserve">Clothing Accessories Stores </t>
  </si>
  <si>
    <t xml:space="preserve">Other Clothing Stores </t>
  </si>
  <si>
    <t xml:space="preserve">Shoe Stores </t>
  </si>
  <si>
    <t xml:space="preserve">Jewelry, Luggage, and Leather Goods Stores </t>
  </si>
  <si>
    <t xml:space="preserve">Jewelry Stores </t>
  </si>
  <si>
    <t xml:space="preserve">Luggage and Leather Goods Stores </t>
  </si>
  <si>
    <t xml:space="preserve">Sporting Goods, Hobby, Musical Instrument, and Book Stores </t>
  </si>
  <si>
    <t xml:space="preserve">Sporting Goods, Hobby, and Musical Instrument Stores </t>
  </si>
  <si>
    <t xml:space="preserve">Sporting Goods Stores </t>
  </si>
  <si>
    <t xml:space="preserve">Hobby, Toy, and Game Stores </t>
  </si>
  <si>
    <t xml:space="preserve">Sewing, Needlework, and Piece Goods Stores </t>
  </si>
  <si>
    <t xml:space="preserve">Musical Instrument and Supplies Stores </t>
  </si>
  <si>
    <t xml:space="preserve">Book Stores and News Dealers </t>
  </si>
  <si>
    <t xml:space="preserve">General Merchandise Stores </t>
  </si>
  <si>
    <t xml:space="preserve">Department Stores </t>
  </si>
  <si>
    <t xml:space="preserve">Other General Merchandise Stores </t>
  </si>
  <si>
    <t xml:space="preserve">Warehouse Clubs and Supercenters </t>
  </si>
  <si>
    <t xml:space="preserve">All Other General Merchandise Stores </t>
  </si>
  <si>
    <t xml:space="preserve">Miscellaneous Store Retailers </t>
  </si>
  <si>
    <t xml:space="preserve">Florists </t>
  </si>
  <si>
    <t xml:space="preserve">Office Supplies, Stationery, and Gift Stores </t>
  </si>
  <si>
    <t xml:space="preserve">Office Supplies and Stationery Stores </t>
  </si>
  <si>
    <t xml:space="preserve">Gift, Novelty, and Souvenir Stores </t>
  </si>
  <si>
    <t xml:space="preserve">Used Merchandise Stores </t>
  </si>
  <si>
    <t xml:space="preserve">Other Miscellaneous Store Retailers </t>
  </si>
  <si>
    <t xml:space="preserve">Pet and Pet Supplies Stores </t>
  </si>
  <si>
    <t xml:space="preserve">Art Dealers </t>
  </si>
  <si>
    <t xml:space="preserve">Manufactured (Mobile) Home Dealers </t>
  </si>
  <si>
    <t xml:space="preserve">All Other Miscellaneous Store Retailers </t>
  </si>
  <si>
    <t xml:space="preserve">Nonstore Retailers </t>
  </si>
  <si>
    <t xml:space="preserve">Electronic Shopping and Mail-Order Houses </t>
  </si>
  <si>
    <t xml:space="preserve">Electronic Shopping </t>
  </si>
  <si>
    <t xml:space="preserve">Electronic Auctions </t>
  </si>
  <si>
    <t xml:space="preserve">Mail-Order Houses </t>
  </si>
  <si>
    <t xml:space="preserve">Vending Machine Operators </t>
  </si>
  <si>
    <t xml:space="preserve">Direct Selling Establishments </t>
  </si>
  <si>
    <t xml:space="preserve">Fuel Dealers </t>
  </si>
  <si>
    <t xml:space="preserve">Other Direct Selling Establishments </t>
  </si>
  <si>
    <t xml:space="preserve">Short Line Railroads </t>
  </si>
  <si>
    <t xml:space="preserve">General Freight Trucking, Long-Distance, Truckload </t>
  </si>
  <si>
    <t xml:space="preserve">General Freight Trucking, Long-Distance, Less Than Truckload </t>
  </si>
  <si>
    <t xml:space="preserve">Other Airport Operations </t>
  </si>
  <si>
    <t xml:space="preserve">Depository Credit Intermediation </t>
  </si>
  <si>
    <t xml:space="preserve">Credit Unions </t>
  </si>
  <si>
    <t xml:space="preserve">Other Depository Credit Intermediation </t>
  </si>
  <si>
    <t xml:space="preserve">Nondepository Credit Intermediation </t>
  </si>
  <si>
    <t xml:space="preserve">Credit Card Issuing </t>
  </si>
  <si>
    <t xml:space="preserve">Sales Financing </t>
  </si>
  <si>
    <t xml:space="preserve">Other Nondepository Credit Intermediation </t>
  </si>
  <si>
    <t xml:space="preserve">Consumer Lending </t>
  </si>
  <si>
    <t xml:space="preserve">Activities Related to Credit Intermediation </t>
  </si>
  <si>
    <t xml:space="preserve">Mortgage and Nonmortgage Loan Brokers </t>
  </si>
  <si>
    <t xml:space="preserve">Financial Transactions Processing, Reserve, and Clearinghouse Activities </t>
  </si>
  <si>
    <t xml:space="preserve">Other Activities Related to Credit Intermediation </t>
  </si>
  <si>
    <t xml:space="preserve">Investment Banking and Securities Dealing </t>
  </si>
  <si>
    <t xml:space="preserve">Securities Brokerage </t>
  </si>
  <si>
    <t xml:space="preserve">Commodity Contracts Dealing </t>
  </si>
  <si>
    <t xml:space="preserve">Commodity Contracts Brokerage </t>
  </si>
  <si>
    <t xml:space="preserve">Miscellaneous Intermediation </t>
  </si>
  <si>
    <t xml:space="preserve">Portfolio Management </t>
  </si>
  <si>
    <t xml:space="preserve">Investment Advice </t>
  </si>
  <si>
    <t xml:space="preserve">All Other Financial Investment Activities </t>
  </si>
  <si>
    <t xml:space="preserve">Direct Life, Health, and Medical Insurance Carriers </t>
  </si>
  <si>
    <t xml:space="preserve">Direct Insurance (except Life, Health, and Medical) Carriers </t>
  </si>
  <si>
    <t xml:space="preserve">Reinsurance Carriers </t>
  </si>
  <si>
    <t xml:space="preserve">Insurance Agencies and Brokerages </t>
  </si>
  <si>
    <t xml:space="preserve">Other Insurance Related Activities </t>
  </si>
  <si>
    <t xml:space="preserve">Claims Adjusting </t>
  </si>
  <si>
    <t xml:space="preserve">Lessors of Residential Buildings and Dwellings </t>
  </si>
  <si>
    <t xml:space="preserve">Lessors of Nonresidential Buildings (except Miniwarehouses) </t>
  </si>
  <si>
    <t xml:space="preserve">Lessors of Miniwarehouses and Self-Storage Units </t>
  </si>
  <si>
    <t xml:space="preserve">Lessors of Other Real Estate Property </t>
  </si>
  <si>
    <t xml:space="preserve">Real Estate Property Managers </t>
  </si>
  <si>
    <t xml:space="preserve">Offices of Real Estate Appraisers </t>
  </si>
  <si>
    <t xml:space="preserve">Other Activities Related to Real Estate </t>
  </si>
  <si>
    <t xml:space="preserve">Passenger Car Rental </t>
  </si>
  <si>
    <t xml:space="preserve">Passenger Car Leasing </t>
  </si>
  <si>
    <t xml:space="preserve">Tax Preparation Services </t>
  </si>
  <si>
    <t xml:space="preserve">Administrative Management and General Management Consulting Services </t>
  </si>
  <si>
    <t xml:space="preserve">Human Resources Consulting Services </t>
  </si>
  <si>
    <t xml:space="preserve">Corporate, Subsidiary, and Regional Managing Offices </t>
  </si>
  <si>
    <t xml:space="preserve">Investigation Services </t>
  </si>
  <si>
    <t xml:space="preserve">Security Guards and Patrol Services </t>
  </si>
  <si>
    <t xml:space="preserve">Armored Car Services </t>
  </si>
  <si>
    <t xml:space="preserve">Security Systems Services (except Locksmiths) </t>
  </si>
  <si>
    <t xml:space="preserve">Locksmiths </t>
  </si>
  <si>
    <t xml:space="preserve">Waste Collection </t>
  </si>
  <si>
    <t xml:space="preserve">Waste Treatment and Disposal </t>
  </si>
  <si>
    <t xml:space="preserve">Remediation and Other Waste Management Services </t>
  </si>
  <si>
    <t xml:space="preserve">Remediation Services </t>
  </si>
  <si>
    <t xml:space="preserve">Materials Recovery Facilities </t>
  </si>
  <si>
    <t xml:space="preserve">All Other Waste Management Services </t>
  </si>
  <si>
    <t xml:space="preserve">Sports Teams and Clubs </t>
  </si>
  <si>
    <t xml:space="preserve">Bed-and-Breakfast Inns </t>
  </si>
  <si>
    <t xml:space="preserve">RV (Recreational Vehicle) Parks and Campgrounds </t>
  </si>
  <si>
    <t xml:space="preserve">General Automotive Repair </t>
  </si>
  <si>
    <t xml:space="preserve">Automotive Exhaust System Repair </t>
  </si>
  <si>
    <t xml:space="preserve">Automotive Body, Paint, and Interior Repair and Maintenance </t>
  </si>
  <si>
    <t xml:space="preserve">Automotive Glass Replacement Shops </t>
  </si>
  <si>
    <t xml:space="preserve">Car Washes </t>
  </si>
  <si>
    <t xml:space="preserve">Home and Garden Equipment Repair and Maintenance </t>
  </si>
  <si>
    <t xml:space="preserve">Appliance Repair and Maintenance </t>
  </si>
  <si>
    <t xml:space="preserve">Personal Care Services </t>
  </si>
  <si>
    <t xml:space="preserve">Hair, Nail, and Skin Care Services </t>
  </si>
  <si>
    <t xml:space="preserve">Other Personal Care Services </t>
  </si>
  <si>
    <t xml:space="preserve">Death Care Services </t>
  </si>
  <si>
    <t xml:space="preserve">Funeral Homes and Funeral Services </t>
  </si>
  <si>
    <t xml:space="preserve">Cemeteries and Crematories </t>
  </si>
  <si>
    <t xml:space="preserve">Drycleaning and Laundry Services </t>
  </si>
  <si>
    <t xml:space="preserve">Coin-Operated Laundries and Drycleaners </t>
  </si>
  <si>
    <t xml:space="preserve">Drycleaning and Laundry Services (except Coin-Operated) </t>
  </si>
  <si>
    <t xml:space="preserve">Linen and Uniform Supply </t>
  </si>
  <si>
    <t xml:space="preserve">Other Personal Services </t>
  </si>
  <si>
    <t xml:space="preserve">Pet Care (except Veterinary) Services </t>
  </si>
  <si>
    <t xml:space="preserve">Photofinishing </t>
  </si>
  <si>
    <t xml:space="preserve">Photofinishing Laboratories (except One-Hour) </t>
  </si>
  <si>
    <t xml:space="preserve">One-Hour Photofinishing </t>
  </si>
  <si>
    <t xml:space="preserve">Parking Lots and Garages </t>
  </si>
  <si>
    <t xml:space="preserve">All Other Personal Services </t>
  </si>
  <si>
    <t xml:space="preserve">Religious Organizations </t>
  </si>
  <si>
    <t xml:space="preserve">Grantmaking and Giving Services </t>
  </si>
  <si>
    <t xml:space="preserve">Social Advocacy Organizations </t>
  </si>
  <si>
    <t xml:space="preserve">Civic and Social Organizations </t>
  </si>
  <si>
    <t xml:space="preserve">Business, Professional, Labor, Political, and Similar Organizations </t>
  </si>
  <si>
    <t xml:space="preserve">Business Associations </t>
  </si>
  <si>
    <t xml:space="preserve">Professional Organizations </t>
  </si>
  <si>
    <t xml:space="preserve">Labor Unions and Similar Labor Organizations </t>
  </si>
  <si>
    <t xml:space="preserve">Political Organizations </t>
  </si>
  <si>
    <t xml:space="preserve">Other Similar Organizations (except Business, Professional, Labor, and Political Organizations) </t>
  </si>
  <si>
    <t xml:space="preserve">Gold Ore Mining </t>
  </si>
  <si>
    <t xml:space="preserve">Silver Ore Mining </t>
  </si>
  <si>
    <t xml:space="preserve">Construction Sand and Gravel Mining </t>
  </si>
  <si>
    <t xml:space="preserve">Frozen Fruit, Juice, and Vegetable Manufacturing </t>
  </si>
  <si>
    <t xml:space="preserve">Frozen Specialty Food Manufacturing </t>
  </si>
  <si>
    <t xml:space="preserve">Soft Drink Manufacturing </t>
  </si>
  <si>
    <t xml:space="preserve">Bottled Water Manufacturing </t>
  </si>
  <si>
    <t xml:space="preserve">Ice Manufacturing </t>
  </si>
  <si>
    <t xml:space="preserve">Petroleum Lubricating Oil and Grease Manufacturing </t>
  </si>
  <si>
    <t xml:space="preserve">All Other Petroleum and Coal Products Manufacturing </t>
  </si>
  <si>
    <t xml:space="preserve">Synthetic Rubber Manufacturing </t>
  </si>
  <si>
    <t xml:space="preserve">Photographic Film, Paper, Plate, and Chemical Manufacturing </t>
  </si>
  <si>
    <t xml:space="preserve">Tire Manufacturing (except Retreading) </t>
  </si>
  <si>
    <t xml:space="preserve">Tire Retreading </t>
  </si>
  <si>
    <t xml:space="preserve">Flat Glass Manufacturing </t>
  </si>
  <si>
    <t xml:space="preserve">Carbon and Graphite Product Manufacturing </t>
  </si>
  <si>
    <t xml:space="preserve">All Other Miscellaneous Electrical Equipment and Component Manufacturing </t>
  </si>
  <si>
    <t xml:space="preserve">Burial Casket Manufacturing </t>
  </si>
  <si>
    <t xml:space="preserve">Telemarketing Bureaus and Other Contact Centers </t>
  </si>
  <si>
    <t xml:space="preserve">Consumer Electronics Repair and Maintenance </t>
  </si>
  <si>
    <t xml:space="preserve">Computer and Office Machine Repair and Maintenance </t>
  </si>
  <si>
    <t xml:space="preserve">Communication Equipment Repair and Maintenance </t>
  </si>
  <si>
    <t xml:space="preserve">Other Electronic and Precision Equipment Repair and Maintenance </t>
  </si>
  <si>
    <t xml:space="preserve">Barber Shops </t>
  </si>
  <si>
    <t xml:space="preserve">Beauty Salons </t>
  </si>
  <si>
    <t xml:space="preserve">Nail Salons </t>
  </si>
  <si>
    <t xml:space="preserve">Diet and Weight Reducing Centers </t>
  </si>
  <si>
    <t xml:space="preserve">Linen Supply </t>
  </si>
  <si>
    <t xml:space="preserve">Grantmaking Foundations </t>
  </si>
  <si>
    <t xml:space="preserve">Voluntary Health Organizations </t>
  </si>
  <si>
    <t xml:space="preserve">Other Grantmaking and Giving Services </t>
  </si>
  <si>
    <t xml:space="preserve">Human Rights Organizations </t>
  </si>
  <si>
    <t xml:space="preserve">Environment, Conservation and Wildlife Organizations </t>
  </si>
  <si>
    <t xml:space="preserve">Other Social Advocacy Organizations </t>
  </si>
  <si>
    <t xml:space="preserve">Executive, Legislative, and Other General Government Support </t>
  </si>
  <si>
    <t xml:space="preserve">Executive Offices </t>
  </si>
  <si>
    <t xml:space="preserve">Legislative Bodies </t>
  </si>
  <si>
    <t xml:space="preserve">Public Finance Activities </t>
  </si>
  <si>
    <t xml:space="preserve">Executive and Legislative Offices, Combined </t>
  </si>
  <si>
    <t xml:space="preserve">American Indian and Alaska Native Tribal Governments </t>
  </si>
  <si>
    <t xml:space="preserve">Other General Government Support </t>
  </si>
  <si>
    <t xml:space="preserve">Justice, Public Order, and Safety Activities </t>
  </si>
  <si>
    <t xml:space="preserve">Courts </t>
  </si>
  <si>
    <t xml:space="preserve">Police Protection </t>
  </si>
  <si>
    <t xml:space="preserve">Legal Counsel and Prosecution </t>
  </si>
  <si>
    <t xml:space="preserve">Correctional Institutions </t>
  </si>
  <si>
    <t xml:space="preserve">Parole Offices and Probation Offices </t>
  </si>
  <si>
    <t xml:space="preserve">Fire Protection </t>
  </si>
  <si>
    <t xml:space="preserve">Other Justice, Public Order, and Safety Activities </t>
  </si>
  <si>
    <t xml:space="preserve">Administration of Human Resource Programs </t>
  </si>
  <si>
    <t xml:space="preserve">Administration of Education Programs </t>
  </si>
  <si>
    <t xml:space="preserve">Administration of Public Health Programs </t>
  </si>
  <si>
    <t xml:space="preserve">Administration of Human Resource Programs (except Education, Public Health, and Veterans' Affairs Programs) </t>
  </si>
  <si>
    <t xml:space="preserve">Administration of Veterans' Affairs </t>
  </si>
  <si>
    <t xml:space="preserve">Administration of Environmental Quality Programs </t>
  </si>
  <si>
    <t xml:space="preserve">Administration of Air and Water Resource and Solid Waste Management Programs </t>
  </si>
  <si>
    <t xml:space="preserve">Administration of Conservation Programs </t>
  </si>
  <si>
    <t xml:space="preserve">Administration of Housing Programs, Urban Planning, and Community Development </t>
  </si>
  <si>
    <t xml:space="preserve">Administration of Housing Programs </t>
  </si>
  <si>
    <t xml:space="preserve">Administration of Urban Planning and Community and Rural Development </t>
  </si>
  <si>
    <t xml:space="preserve">Administration of Economic Programs </t>
  </si>
  <si>
    <t xml:space="preserve">Administration of General Economic Programs </t>
  </si>
  <si>
    <t xml:space="preserve">Regulation and Administration of Transportation Programs </t>
  </si>
  <si>
    <t xml:space="preserve">Regulation and Administration of Communications, Electric, Gas, and Other Utilities </t>
  </si>
  <si>
    <t xml:space="preserve">Regulation of Agricultural Marketing and Commodities </t>
  </si>
  <si>
    <t xml:space="preserve">Regulation, Licensing, and Inspection of Miscellaneous Commercial Sectors </t>
  </si>
  <si>
    <t xml:space="preserve">Space Research and Technology </t>
  </si>
  <si>
    <t xml:space="preserve">National Security and International Affairs </t>
  </si>
  <si>
    <t xml:space="preserve">National Security </t>
  </si>
  <si>
    <t xml:space="preserve">International Affairs </t>
  </si>
  <si>
    <t xml:space="preserve">Finfish Farming and Fish Hatcheries </t>
  </si>
  <si>
    <t xml:space="preserve">Shellfish Farming </t>
  </si>
  <si>
    <t xml:space="preserve">Other Aquaculture </t>
  </si>
  <si>
    <t xml:space="preserve">Finfish Fishing </t>
  </si>
  <si>
    <t xml:space="preserve">Shellfish Fishing </t>
  </si>
  <si>
    <t xml:space="preserve">Other Marine Fishing </t>
  </si>
  <si>
    <t xml:space="preserve">Cotton Ginning </t>
  </si>
  <si>
    <t xml:space="preserve">Soil Preparation, Planting, and Cultivating </t>
  </si>
  <si>
    <t xml:space="preserve">Crop Harvesting, Primarily by Machine </t>
  </si>
  <si>
    <t xml:space="preserve">Postharvest Crop Activities (except Cotton Ginning) </t>
  </si>
  <si>
    <t xml:space="preserve">Farm Labor Contractors and Crew Leaders </t>
  </si>
  <si>
    <t xml:space="preserve">Farm Management Services </t>
  </si>
  <si>
    <t xml:space="preserve">Crude Petroleum and Natural Gas Extraction </t>
  </si>
  <si>
    <t xml:space="preserve">Natural Gas Liquid Extraction </t>
  </si>
  <si>
    <t xml:space="preserve">Bituminous Coal and Lignite Surface Mining </t>
  </si>
  <si>
    <t xml:space="preserve">Bituminous Coal Underground Mining </t>
  </si>
  <si>
    <t xml:space="preserve">Anthracite Mining </t>
  </si>
  <si>
    <t xml:space="preserve">Copper Ore and Nickel Ore Mining </t>
  </si>
  <si>
    <t xml:space="preserve">Dimension Stone Mining and Quarrying </t>
  </si>
  <si>
    <t xml:space="preserve">Crushed and Broken Limestone Mining and Quarrying </t>
  </si>
  <si>
    <t xml:space="preserve">Crushed and Broken Granite Mining and Quarrying </t>
  </si>
  <si>
    <t xml:space="preserve">Other Crushed and Broken Stone Mining and Quarrying </t>
  </si>
  <si>
    <t xml:space="preserve">Industrial Sand Mining </t>
  </si>
  <si>
    <t xml:space="preserve">Kaolin and Ball Clay Mining </t>
  </si>
  <si>
    <t xml:space="preserve">Clay and Ceramic and Refractory Minerals Mining </t>
  </si>
  <si>
    <t xml:space="preserve">Potash, Soda, and Borate Mineral Mining </t>
  </si>
  <si>
    <t xml:space="preserve">Phosphate Rock Mining </t>
  </si>
  <si>
    <t xml:space="preserve">Other Chemical and Fertilizer Mineral Mining </t>
  </si>
  <si>
    <t xml:space="preserve">All Other Nonmetallic Mineral Mining </t>
  </si>
  <si>
    <t xml:space="preserve">Support Activities for Oil and Gas Operations </t>
  </si>
  <si>
    <t xml:space="preserve">Support Activities for Coal Mining </t>
  </si>
  <si>
    <t xml:space="preserve">Support Activities for Metal Mining </t>
  </si>
  <si>
    <t xml:space="preserve">Support Activities for Nonmetallic Minerals (except Fuels) Mining </t>
  </si>
  <si>
    <t xml:space="preserve">New Single-Family Housing Construction (except For-Sale Builders) </t>
  </si>
  <si>
    <t xml:space="preserve">New Multifamily Housing Construction (except For-Sale Builders) </t>
  </si>
  <si>
    <t xml:space="preserve">New Housing For-Sale Builders </t>
  </si>
  <si>
    <t xml:space="preserve">Residential Remodelers </t>
  </si>
  <si>
    <t xml:space="preserve">Rice Milling </t>
  </si>
  <si>
    <t xml:space="preserve">Malt Manufacturing </t>
  </si>
  <si>
    <t xml:space="preserve">Beet Sugar Manufacturing </t>
  </si>
  <si>
    <t xml:space="preserve">Fruit and Vegetable Canning </t>
  </si>
  <si>
    <t xml:space="preserve">Specialty Canning </t>
  </si>
  <si>
    <t xml:space="preserve">Dried and Dehydrated Food Manufacturing </t>
  </si>
  <si>
    <t xml:space="preserve">Creamery Butter Manufacturing </t>
  </si>
  <si>
    <t xml:space="preserve">Cheese Manufacturing </t>
  </si>
  <si>
    <t xml:space="preserve">Dry, Condensed, and Evaporated Dairy Product Manufacturing </t>
  </si>
  <si>
    <t xml:space="preserve">Meat Processed from Carcasses </t>
  </si>
  <si>
    <t xml:space="preserve">Rendering and Meat Byproduct Processing </t>
  </si>
  <si>
    <t xml:space="preserve">Commercial Bakeries </t>
  </si>
  <si>
    <t xml:space="preserve">Frozen Cakes, Pies, and Other Pastries Manufacturing </t>
  </si>
  <si>
    <t xml:space="preserve">Mayonnaise, Dressing, and Other Prepared Sauce Manufacturing </t>
  </si>
  <si>
    <t xml:space="preserve">Spice and Extract Manufacturing </t>
  </si>
  <si>
    <t xml:space="preserve">Perishable Prepared Food Manufacturing </t>
  </si>
  <si>
    <t xml:space="preserve">Rope, Cordage, Twine, Tire Cord, and Tire Fabric Mills </t>
  </si>
  <si>
    <t xml:space="preserve">All Other Miscellaneous Textile Product Mills </t>
  </si>
  <si>
    <t xml:space="preserve">Men’s and Boys’ Cut and Sew Apparel Manufacturing </t>
  </si>
  <si>
    <t xml:space="preserve">Women's Handbag and Purse Manufacturing </t>
  </si>
  <si>
    <t xml:space="preserve">All Other Leather Good and Allied Product Manufacturing </t>
  </si>
  <si>
    <t xml:space="preserve">Sawmills </t>
  </si>
  <si>
    <t xml:space="preserve">Engineered Wood Member (except Truss) Manufacturing </t>
  </si>
  <si>
    <t xml:space="preserve">Truss Manufacturing </t>
  </si>
  <si>
    <t xml:space="preserve">Reconstituted Wood Product Manufacturing </t>
  </si>
  <si>
    <t xml:space="preserve">Cut Stock, Resawing Lumber, and Planing </t>
  </si>
  <si>
    <t xml:space="preserve">Other Millwork (including Flooring) </t>
  </si>
  <si>
    <t xml:space="preserve">Other Paperboard Container Manufacturing </t>
  </si>
  <si>
    <t xml:space="preserve">Commercial Printing (except Screen and Books) </t>
  </si>
  <si>
    <t xml:space="preserve">Books Printing </t>
  </si>
  <si>
    <t xml:space="preserve">Ethyl Alcohol Manufacturing </t>
  </si>
  <si>
    <t xml:space="preserve">Cyclic Crude, Intermediate, and Gum and Wood Chemical Manufacturing </t>
  </si>
  <si>
    <t xml:space="preserve">All Other Basic Organic Chemical Manufacturing </t>
  </si>
  <si>
    <t xml:space="preserve">Plastics Material and Resin Manufacturing </t>
  </si>
  <si>
    <t xml:space="preserve">Nitrogenous Fertilizer Manufacturing </t>
  </si>
  <si>
    <t xml:space="preserve">Phosphatic Fertilizer Manufacturing </t>
  </si>
  <si>
    <t xml:space="preserve">Medicinal and Botanical Manufacturing </t>
  </si>
  <si>
    <t xml:space="preserve">Pharmaceutical Preparation Manufacturing </t>
  </si>
  <si>
    <t xml:space="preserve">In-Vitro Diagnostic Substance Manufacturing </t>
  </si>
  <si>
    <t xml:space="preserve">Biological Product (except Diagnostic) Manufacturing </t>
  </si>
  <si>
    <t xml:space="preserve">Soap and Other Detergent Manufacturing </t>
  </si>
  <si>
    <t xml:space="preserve">Polish and Other Sanitation Good Manufacturing </t>
  </si>
  <si>
    <t xml:space="preserve">Surface Active Agent Manufacturing </t>
  </si>
  <si>
    <t xml:space="preserve">All Other Miscellaneous Chemical Product and Preparation Manufacturing </t>
  </si>
  <si>
    <t xml:space="preserve">Plastics Packaging Film and Sheet (including Laminated) Manufacturing </t>
  </si>
  <si>
    <t xml:space="preserve">Unlaminated Plastics Film and Sheet (except Packaging) Manufacturing </t>
  </si>
  <si>
    <t xml:space="preserve">All Other Plastics Product Manufacturing </t>
  </si>
  <si>
    <t xml:space="preserve">Rubber Product Manufacturing for Mechanical Use </t>
  </si>
  <si>
    <t xml:space="preserve">All Other Rubber Product Manufacturing </t>
  </si>
  <si>
    <t xml:space="preserve">Other Pressed and Blown Glass and Glassware Manufacturing </t>
  </si>
  <si>
    <t xml:space="preserve">Glass Container Manufacturing </t>
  </si>
  <si>
    <t xml:space="preserve">Concrete Block and Brick Manufacturing </t>
  </si>
  <si>
    <t xml:space="preserve">Concrete Pipe Manufacturing </t>
  </si>
  <si>
    <t xml:space="preserve">Cut Stone and Stone Product Manufacturing </t>
  </si>
  <si>
    <t xml:space="preserve">Ground or Treated Mineral and Earth Manufacturing </t>
  </si>
  <si>
    <t xml:space="preserve">Mineral Wool Manufacturing </t>
  </si>
  <si>
    <t xml:space="preserve">All Other Miscellaneous Nonmetallic Mineral Product Manufacturing </t>
  </si>
  <si>
    <t xml:space="preserve">Secondary Smelting and Alloying of Aluminum </t>
  </si>
  <si>
    <t xml:space="preserve">Aluminum Sheet, Plate, and Foil Manufacturing </t>
  </si>
  <si>
    <t xml:space="preserve">Other Aluminum Rolling, Drawing, and Extruding </t>
  </si>
  <si>
    <t xml:space="preserve">Nonferrous Metal (except Copper and Aluminum) Rolling, Drawing, and Extruding </t>
  </si>
  <si>
    <t xml:space="preserve">Secondary Smelting, Refining, and Alloying of Nonferrous Metal (except Copper and Aluminum) </t>
  </si>
  <si>
    <t xml:space="preserve">Steel Investment Foundries </t>
  </si>
  <si>
    <t xml:space="preserve">Steel Foundries (except Investment) </t>
  </si>
  <si>
    <t xml:space="preserve">Nonferrous Metal Die-Casting Foundries </t>
  </si>
  <si>
    <t xml:space="preserve">Aluminum Foundries (except Die-Casting) </t>
  </si>
  <si>
    <t xml:space="preserve">Iron and Steel Forging </t>
  </si>
  <si>
    <t xml:space="preserve">Nonferrous Forging </t>
  </si>
  <si>
    <t xml:space="preserve">Custom Roll Forming </t>
  </si>
  <si>
    <t xml:space="preserve">Powder Metallurgy Part Manufacturing </t>
  </si>
  <si>
    <t xml:space="preserve">Metal Crown, Closure, and Other Metal Stamping (except Automotive) </t>
  </si>
  <si>
    <t xml:space="preserve">Saw Blade and Handtool Manufacturing </t>
  </si>
  <si>
    <t xml:space="preserve">Fabricated Structural Metal Manufacturing </t>
  </si>
  <si>
    <t xml:space="preserve">Plate Work Manufacturing </t>
  </si>
  <si>
    <t xml:space="preserve">Sheet Metal Work Manufacturing </t>
  </si>
  <si>
    <t xml:space="preserve">Ornamental and Architectural Metal Work Manufacturing </t>
  </si>
  <si>
    <t xml:space="preserve">Spring Manufacturing </t>
  </si>
  <si>
    <t xml:space="preserve">Other Fabricated Wire Product Manufacturing </t>
  </si>
  <si>
    <t xml:space="preserve">Precision Turned Product Manufacturing </t>
  </si>
  <si>
    <t xml:space="preserve">Bolt, Nut, Screw, Rivet, and Washer Manufacturing </t>
  </si>
  <si>
    <t xml:space="preserve">Metal Heat Treating </t>
  </si>
  <si>
    <t xml:space="preserve">Metal Coating, Engraving (except Jewelry and Silverware), and Allied Services to Manufacturers </t>
  </si>
  <si>
    <t xml:space="preserve">Electroplating, Plating, Polishing, Anodizing, and Coloring </t>
  </si>
  <si>
    <t xml:space="preserve">Industrial Valve Manufacturing </t>
  </si>
  <si>
    <t xml:space="preserve">Fluid Power Valve and Hose Fitting Manufacturing </t>
  </si>
  <si>
    <t xml:space="preserve">Plumbing Fixture Fitting and Trim Manufacturing </t>
  </si>
  <si>
    <t xml:space="preserve">Other Metal Valve and Pipe Fitting Manufacturing </t>
  </si>
  <si>
    <t xml:space="preserve">Small Arms Ammunition Manufacturing </t>
  </si>
  <si>
    <t xml:space="preserve">Ammunition (except Small Arms) Manufacturing </t>
  </si>
  <si>
    <t xml:space="preserve">Fabricated Pipe and Pipe Fitting Manufacturing </t>
  </si>
  <si>
    <t xml:space="preserve">All Other Miscellaneous Fabricated Metal Product Manufacturing </t>
  </si>
  <si>
    <t xml:space="preserve">Farm Machinery and Equipment Manufacturing </t>
  </si>
  <si>
    <t xml:space="preserve">Lawn and Garden Tractor and Home Lawn and Garden Equipment Manufacturing </t>
  </si>
  <si>
    <t xml:space="preserve">Mining Machinery and Equipment Manufacturing </t>
  </si>
  <si>
    <t xml:space="preserve">Oil and Gas Field Machinery and Equipment Manufacturing </t>
  </si>
  <si>
    <t xml:space="preserve">Optical Instrument and Lens Manufacturing </t>
  </si>
  <si>
    <t xml:space="preserve">Photographic and Photocopying Equipment Manufacturing </t>
  </si>
  <si>
    <t xml:space="preserve">Other Commercial and Service Industry Machinery Manufacturing </t>
  </si>
  <si>
    <t xml:space="preserve">Heating Equipment (except Warm Air Furnaces) Manufacturing </t>
  </si>
  <si>
    <t xml:space="preserve">Air-Conditioning and Warm Air Heating Equipment and Commercial and Industrial Refrigeration Equipment Manufacturing </t>
  </si>
  <si>
    <t xml:space="preserve">Special Die and Tool, Die Set, Jig, and Fixture Manufacturing </t>
  </si>
  <si>
    <t xml:space="preserve">Cutting Tool and Machine Tool Accessory Manufacturing </t>
  </si>
  <si>
    <t xml:space="preserve">Mechanical Power Transmission Equipment Manufacturing </t>
  </si>
  <si>
    <t xml:space="preserve">Other Engine Equipment Manufacturing </t>
  </si>
  <si>
    <t xml:space="preserve">Pump and Pumping Equipment Manufacturing </t>
  </si>
  <si>
    <t xml:space="preserve">Air and Gas Compressor Manufacturing </t>
  </si>
  <si>
    <t xml:space="preserve">Measuring and Dispensing Pump Manufacturing </t>
  </si>
  <si>
    <t xml:space="preserve">Elevator and Moving Stairway Manufacturing </t>
  </si>
  <si>
    <t xml:space="preserve">Conveyor and Conveying Equipment Manufacturing </t>
  </si>
  <si>
    <t xml:space="preserve">Overhead Traveling Crane, Hoist, and Monorail System Manufacturing </t>
  </si>
  <si>
    <t xml:space="preserve">Industrial Truck, Tractor, Trailer, and Stacker Machinery Manufacturing </t>
  </si>
  <si>
    <t xml:space="preserve">Power-Driven Handtool Manufacturing </t>
  </si>
  <si>
    <t xml:space="preserve">Welding and Soldering Equipment Manufacturing </t>
  </si>
  <si>
    <t xml:space="preserve">Packaging Machinery Manufacturing </t>
  </si>
  <si>
    <t xml:space="preserve">Industrial Process Furnace and Oven Manufacturing </t>
  </si>
  <si>
    <t xml:space="preserve">Fluid Power Cylinder and Actuator Manufacturing </t>
  </si>
  <si>
    <t xml:space="preserve">Fluid Power Pump and Motor Manufacturing </t>
  </si>
  <si>
    <t xml:space="preserve">Scale and Balance Manufacturing </t>
  </si>
  <si>
    <t xml:space="preserve">All Other Miscellaneous General Purpose Machinery Manufacturing </t>
  </si>
  <si>
    <t xml:space="preserve">Electronic Computer Manufacturing </t>
  </si>
  <si>
    <t xml:space="preserve">Computer Storage Device Manufacturing </t>
  </si>
  <si>
    <t xml:space="preserve">Bare Printed Circuit Board Manufacturing  </t>
  </si>
  <si>
    <t xml:space="preserve">Semiconductor and Related Device Manufacturing </t>
  </si>
  <si>
    <t xml:space="preserve">Capacitor, Resistor, Coil, Transformer, and Other Inductor Manufacturing </t>
  </si>
  <si>
    <t xml:space="preserve">Electronic Connector Manufacturing </t>
  </si>
  <si>
    <t xml:space="preserve">Printed Circuit Assembly (Electronic Assembly) Manufacturing </t>
  </si>
  <si>
    <t xml:space="preserve">Other Electronic Component Manufacturing </t>
  </si>
  <si>
    <t xml:space="preserve">Electromedical and Electrotherapeutic Apparatus Manufacturing </t>
  </si>
  <si>
    <t xml:space="preserve">Instruments and Related Products Manufacturing for Measuring, Displaying, and Controlling Industrial Process Variables </t>
  </si>
  <si>
    <t xml:space="preserve">Totalizing Fluid Meter and Counting Device Manufacturing </t>
  </si>
  <si>
    <t xml:space="preserve">Instrument Manufacturing for Measuring and Testing Electricity and Electrical Signals </t>
  </si>
  <si>
    <t xml:space="preserve">Analytical Laboratory Instrument Manufacturing </t>
  </si>
  <si>
    <t xml:space="preserve">Irradiation Apparatus Manufacturing </t>
  </si>
  <si>
    <t xml:space="preserve">Other Measuring and Controlling Device Manufacturing </t>
  </si>
  <si>
    <t xml:space="preserve">Automatic Environmental Control Manufacturing for Residential, Commercial, and Appliance Use </t>
  </si>
  <si>
    <t xml:space="preserve">Blank Magnetic and Optical Recording Media Manufacturing </t>
  </si>
  <si>
    <t xml:space="preserve">Residential Electric Lighting Fixture Manufacturing </t>
  </si>
  <si>
    <t xml:space="preserve">Commercial, Industrial, and Institutional Electric Lighting Fixture Manufacturing </t>
  </si>
  <si>
    <t xml:space="preserve">Other Lighting Equipment Manufacturing </t>
  </si>
  <si>
    <t xml:space="preserve">Household Cooking Appliance Manufacturing </t>
  </si>
  <si>
    <t xml:space="preserve">Household Refrigerator and Home Freezer Manufacturing </t>
  </si>
  <si>
    <t xml:space="preserve">Household Laundry Equipment Manufacturing </t>
  </si>
  <si>
    <t xml:space="preserve">Other Major Household Appliance Manufacturing </t>
  </si>
  <si>
    <t xml:space="preserve">Switchgear and Switchboard Apparatus Manufacturing </t>
  </si>
  <si>
    <t xml:space="preserve">Relay and Industrial Control Manufacturing </t>
  </si>
  <si>
    <t xml:space="preserve">Storage Battery Manufacturing </t>
  </si>
  <si>
    <t xml:space="preserve">Primary Battery Manufacturing </t>
  </si>
  <si>
    <t xml:space="preserve">Fiber Optic Cable Manufacturing </t>
  </si>
  <si>
    <t xml:space="preserve">Other Communication and Energy Wire Manufacturing </t>
  </si>
  <si>
    <t xml:space="preserve">Current-Carrying Wiring Device Manufacturing </t>
  </si>
  <si>
    <t xml:space="preserve">Noncurrent-Carrying Wiring Device Manufacturing </t>
  </si>
  <si>
    <t xml:space="preserve">Automobile Manufacturing </t>
  </si>
  <si>
    <t xml:space="preserve">Light Truck and Utility Vehicle Manufacturing </t>
  </si>
  <si>
    <t xml:space="preserve">Motor Home Manufacturing </t>
  </si>
  <si>
    <t xml:space="preserve">Travel Trailer and Camper Manufacturing </t>
  </si>
  <si>
    <t xml:space="preserve">Aircraft Manufacturing </t>
  </si>
  <si>
    <t xml:space="preserve">Aircraft Engine and Engine Parts Manufacturing </t>
  </si>
  <si>
    <t xml:space="preserve">Other Aircraft Parts and Auxiliary Equipment Manufacturing </t>
  </si>
  <si>
    <t xml:space="preserve">Guided Missile and Space Vehicle Manufacturing </t>
  </si>
  <si>
    <t xml:space="preserve">Guided Missile and Space Vehicle Propulsion Unit and Propulsion Unit Parts Manufacturing </t>
  </si>
  <si>
    <t xml:space="preserve">Other Guided Missile and Space Vehicle Parts and Auxiliary Equipment Manufacturing </t>
  </si>
  <si>
    <t xml:space="preserve">Motorcycle, Bicycle, and Parts Manufacturing </t>
  </si>
  <si>
    <t xml:space="preserve">Military Armored Vehicle, Tank, and Tank Component Manufacturing </t>
  </si>
  <si>
    <t xml:space="preserve">All Other Transportation Equipment Manufacturing </t>
  </si>
  <si>
    <t xml:space="preserve">Nonupholstered Wood Household Furniture Manufacturing </t>
  </si>
  <si>
    <t xml:space="preserve">Metal Household Furniture Manufacturing </t>
  </si>
  <si>
    <t xml:space="preserve">Household Furniture (except Wood and Metal) Manufacturing </t>
  </si>
  <si>
    <t xml:space="preserve">Wood Office Furniture Manufacturing </t>
  </si>
  <si>
    <t xml:space="preserve">Custom Architectural Woodwork and Millwork Manufacturing </t>
  </si>
  <si>
    <t xml:space="preserve">Surgical and Medical Instrument Manufacturing </t>
  </si>
  <si>
    <t xml:space="preserve">Surgical Appliance and Supplies Manufacturing </t>
  </si>
  <si>
    <t xml:space="preserve">Dental Equipment and Supplies Manufacturing </t>
  </si>
  <si>
    <t xml:space="preserve">Ophthalmic Goods Manufacturing </t>
  </si>
  <si>
    <t xml:space="preserve">Dental Laboratories </t>
  </si>
  <si>
    <t xml:space="preserve">Gasket, Packing, and Sealing Device Manufacturing </t>
  </si>
  <si>
    <t xml:space="preserve">Fastener, Button, Needle, and Pin Manufacturing </t>
  </si>
  <si>
    <t xml:space="preserve">Broom, Brush, and Mop Manufacturing </t>
  </si>
  <si>
    <t xml:space="preserve">Merchant Wholesalers, Durable Goods </t>
  </si>
  <si>
    <t xml:space="preserve">Motor Vehicle and Motor Vehicle Parts and Supplies Merchant Wholesalers </t>
  </si>
  <si>
    <t xml:space="preserve">Automobile and Other Motor Vehicle Merchant Wholesalers </t>
  </si>
  <si>
    <t xml:space="preserve">Motor Vehicle Supplies and New Parts Merchant Wholesalers </t>
  </si>
  <si>
    <t xml:space="preserve">Tire and Tube Merchant Wholesalers </t>
  </si>
  <si>
    <t xml:space="preserve">Furniture and Home Furnishing Merchant Wholesalers </t>
  </si>
  <si>
    <t xml:space="preserve">Furniture Merchant Wholesalers </t>
  </si>
  <si>
    <t xml:space="preserve">Home Furnishing Merchant Wholesalers </t>
  </si>
  <si>
    <t xml:space="preserve">Lumber and Other Construction Materials Merchant Wholesalers </t>
  </si>
  <si>
    <t xml:space="preserve">Lumber, Plywood, Millwork, and Wood Panel Merchant Wholesalers </t>
  </si>
  <si>
    <t xml:space="preserve">Brick, Stone, and Related Construction Material Merchant Wholesalers </t>
  </si>
  <si>
    <t xml:space="preserve">Roofing, Siding, and Insulation Material Merchant Wholesalers </t>
  </si>
  <si>
    <t xml:space="preserve">Other Construction Material Merchant Wholesalers </t>
  </si>
  <si>
    <t xml:space="preserve">Professional and Commercial Equipment and Supplies Merchant Wholesalers </t>
  </si>
  <si>
    <t xml:space="preserve">Photographic Equipment and Supplies Merchant Wholesalers </t>
  </si>
  <si>
    <t xml:space="preserve">Office Equipment Merchant Wholesalers </t>
  </si>
  <si>
    <t xml:space="preserve">Computer and Computer Peripheral Equipment and Software Merchant Wholesalers </t>
  </si>
  <si>
    <t xml:space="preserve">Other Commercial Equipment Merchant Wholesalers </t>
  </si>
  <si>
    <t xml:space="preserve">Medical, Dental, and Hospital Equipment and Supplies Merchant Wholesalers </t>
  </si>
  <si>
    <t xml:space="preserve">Ophthalmic Goods Merchant Wholesalers </t>
  </si>
  <si>
    <t xml:space="preserve">Other Professional Equipment and Supplies Merchant Wholesalers </t>
  </si>
  <si>
    <t xml:space="preserve">Metal and Mineral (except Petroleum) Merchant Wholesalers </t>
  </si>
  <si>
    <t xml:space="preserve">Metal Service Centers and Other Metal Merchant Wholesalers </t>
  </si>
  <si>
    <t xml:space="preserve">Coal and Other Mineral and Ore Merchant Wholesalers </t>
  </si>
  <si>
    <t xml:space="preserve">Household Appliances and Electrical and Electronic Goods Merchant Wholesalers </t>
  </si>
  <si>
    <t xml:space="preserve">Electrical Apparatus and Equipment, Wiring Supplies, and Related Equipment Merchant Wholesalers </t>
  </si>
  <si>
    <t xml:space="preserve">Other Electronic Parts and Equipment Merchant Wholesalers </t>
  </si>
  <si>
    <t xml:space="preserve">Hardware, and Plumbing and Heating Equipment and Supplies Merchant Wholesalers </t>
  </si>
  <si>
    <t xml:space="preserve">Hardware Merchant Wholesalers </t>
  </si>
  <si>
    <t xml:space="preserve">Plumbing and Heating Equipment and Supplies (Hydronics) Merchant Wholesalers </t>
  </si>
  <si>
    <t xml:space="preserve">Warm Air Heating and Air-Conditioning Equipment and Supplies Merchant Wholesalers </t>
  </si>
  <si>
    <t xml:space="preserve">Refrigeration Equipment and Supplies Merchant Wholesalers </t>
  </si>
  <si>
    <t xml:space="preserve">Machinery, Equipment, and Supplies Merchant Wholesalers </t>
  </si>
  <si>
    <t xml:space="preserve">Construction and Mining (except Oil Well) Machinery and Equipment Merchant Wholesalers </t>
  </si>
  <si>
    <t xml:space="preserve">Farm and Garden Machinery and Equipment Merchant Wholesalers </t>
  </si>
  <si>
    <t xml:space="preserve">Industrial Machinery and Equipment Merchant Wholesalers </t>
  </si>
  <si>
    <t xml:space="preserve">Industrial Supplies Merchant Wholesalers </t>
  </si>
  <si>
    <t>Industrial Supplies Merchant Wholesalers</t>
  </si>
  <si>
    <t xml:space="preserve">Service Establishment Equipment and Supplies Merchant Wholesalers </t>
  </si>
  <si>
    <t xml:space="preserve">Transportation Equipment and Supplies (except Motor Vehicle) Merchant Wholesalers </t>
  </si>
  <si>
    <t xml:space="preserve">Miscellaneous Durable Goods Merchant Wholesalers </t>
  </si>
  <si>
    <t>Sporting and Recreational Goods and Supplies Merchant Wholesalers</t>
  </si>
  <si>
    <t xml:space="preserve">Sporting and Recreational Goods and Supplies Merchant Wholesalers </t>
  </si>
  <si>
    <t xml:space="preserve">Toy and Hobby Goods and Supplies Merchant Wholesalers </t>
  </si>
  <si>
    <t xml:space="preserve">Recyclable Material Merchant Wholesalers </t>
  </si>
  <si>
    <t xml:space="preserve">Jewelry, Watch, Precious Stone, and Precious Metal Merchant Wholesalers </t>
  </si>
  <si>
    <t xml:space="preserve">Other Miscellaneous Durable Goods Merchant Wholesalers </t>
  </si>
  <si>
    <t xml:space="preserve">Merchant Wholesalers, Nondurable Goods </t>
  </si>
  <si>
    <t xml:space="preserve">Paper and Paper Product Merchant Wholesalers </t>
  </si>
  <si>
    <t xml:space="preserve">Printing and Writing Paper Merchant Wholesalers </t>
  </si>
  <si>
    <t xml:space="preserve">Stationery and Office Supplies Merchant Wholesalers </t>
  </si>
  <si>
    <t xml:space="preserve">Industrial and Personal Service Paper Merchant Wholesalers </t>
  </si>
  <si>
    <t xml:space="preserve">Drugs and Druggists' Sundries Merchant Wholesalers </t>
  </si>
  <si>
    <t xml:space="preserve">Apparel, Piece Goods, and Notions Merchant Wholesalers </t>
  </si>
  <si>
    <t xml:space="preserve">Piece Goods, Notions, and Other Dry Goods Merchant Wholesalers </t>
  </si>
  <si>
    <t xml:space="preserve">Men's and Boys' Clothing and Furnishings Merchant Wholesalers </t>
  </si>
  <si>
    <t xml:space="preserve">Women's, Children's, and Infants' Clothing and Accessories Merchant Wholesalers </t>
  </si>
  <si>
    <t xml:space="preserve">Footwear Merchant Wholesalers </t>
  </si>
  <si>
    <t xml:space="preserve">Grocery and Related Product Merchant Wholesalers </t>
  </si>
  <si>
    <t xml:space="preserve">General Line Grocery Merchant Wholesalers </t>
  </si>
  <si>
    <t xml:space="preserve">Packaged Frozen Food Merchant Wholesalers </t>
  </si>
  <si>
    <t xml:space="preserve">Dairy Product (except Dried or Canned) Merchant Wholesalers </t>
  </si>
  <si>
    <t xml:space="preserve">Poultry and Poultry Product Merchant Wholesalers </t>
  </si>
  <si>
    <t xml:space="preserve">Confectionery Merchant Wholesalers </t>
  </si>
  <si>
    <t xml:space="preserve">Fish and Seafood Merchant Wholesalers </t>
  </si>
  <si>
    <t xml:space="preserve">Meat and Meat Product Merchant Wholesalers </t>
  </si>
  <si>
    <t xml:space="preserve">Fresh Fruit and Vegetable Merchant Wholesalers </t>
  </si>
  <si>
    <t xml:space="preserve">Other Grocery and Related Products Merchant Wholesalers </t>
  </si>
  <si>
    <t xml:space="preserve">Farm Product Raw Material Merchant Wholesalers </t>
  </si>
  <si>
    <t xml:space="preserve">Grain and Field Bean Merchant Wholesalers </t>
  </si>
  <si>
    <t xml:space="preserve">Livestock Merchant Wholesalers </t>
  </si>
  <si>
    <t xml:space="preserve">Other Farm Product Raw Material Merchant Wholesalers </t>
  </si>
  <si>
    <t xml:space="preserve">Chemical and Allied Products Merchant Wholesalers </t>
  </si>
  <si>
    <t xml:space="preserve">Plastics Materials and Basic Forms and Shapes Merchant Wholesalers </t>
  </si>
  <si>
    <t xml:space="preserve">Other Chemical and Allied Products Merchant Wholesalers </t>
  </si>
  <si>
    <t xml:space="preserve">Petroleum and Petroleum Products Merchant Wholesalers </t>
  </si>
  <si>
    <t xml:space="preserve">Petroleum Bulk Stations and Terminals </t>
  </si>
  <si>
    <t xml:space="preserve">Petroleum and Petroleum Products Merchant Wholesalers (except Bulk Stations and Terminals) </t>
  </si>
  <si>
    <t xml:space="preserve">Beer, Wine, and Distilled Alcoholic Beverage Merchant Wholesalers </t>
  </si>
  <si>
    <t xml:space="preserve">Beer and Ale Merchant Wholesalers </t>
  </si>
  <si>
    <t xml:space="preserve">Wine and Distilled Alcoholic Beverage Merchant Wholesalers </t>
  </si>
  <si>
    <t xml:space="preserve">Miscellaneous Nondurable Goods Merchant Wholesalers </t>
  </si>
  <si>
    <t xml:space="preserve">Farm Supplies Merchant Wholesalers </t>
  </si>
  <si>
    <t xml:space="preserve">Book, Periodical, and Newspaper Merchant Wholesalers </t>
  </si>
  <si>
    <t xml:space="preserve">Flower, Nursery Stock, and Florists' Supplies Merchant Wholesalers </t>
  </si>
  <si>
    <t xml:space="preserve">Tobacco and Tobacco Product Merchant Wholesalers </t>
  </si>
  <si>
    <t xml:space="preserve">Paint, Varnish, and Supplies Merchant Wholesalers </t>
  </si>
  <si>
    <t xml:space="preserve">Other Miscellaneous Nondurable Goods Merchant Wholesalers </t>
  </si>
  <si>
    <t xml:space="preserve">Boat Dealers </t>
  </si>
  <si>
    <t xml:space="preserve">All Other Home Furnishings Stores </t>
  </si>
  <si>
    <t xml:space="preserve">Household Appliance Stores </t>
  </si>
  <si>
    <t xml:space="preserve">Book Stores </t>
  </si>
  <si>
    <t xml:space="preserve">News Dealers and Newsstands </t>
  </si>
  <si>
    <t xml:space="preserve">Department Stores (except Discount Department Stores) </t>
  </si>
  <si>
    <t xml:space="preserve">Discount Department Stores </t>
  </si>
  <si>
    <t xml:space="preserve">Tobacco Stores </t>
  </si>
  <si>
    <t xml:space="preserve">All Other Miscellaneous Store Retailers (except Tobacco Stores) </t>
  </si>
  <si>
    <t xml:space="preserve">Scheduled Passenger Air Transportation </t>
  </si>
  <si>
    <t xml:space="preserve">Scheduled Freight Air Transportation </t>
  </si>
  <si>
    <t xml:space="preserve">Nonscheduled Chartered Passenger Air Transportation </t>
  </si>
  <si>
    <t xml:space="preserve">Nonscheduled Chartered Freight Air Transportation </t>
  </si>
  <si>
    <t xml:space="preserve">Other Nonscheduled Air Transportation </t>
  </si>
  <si>
    <t xml:space="preserve">Line-Haul Railroads </t>
  </si>
  <si>
    <t xml:space="preserve">Deep Sea Freight Transportation </t>
  </si>
  <si>
    <t xml:space="preserve">Deep Sea Passenger Transportation </t>
  </si>
  <si>
    <t xml:space="preserve">Coastal and Great Lakes Freight Transportation </t>
  </si>
  <si>
    <t xml:space="preserve">Coastal and Great Lakes Passenger Transportation </t>
  </si>
  <si>
    <t xml:space="preserve">Inland Water Freight Transportation </t>
  </si>
  <si>
    <t xml:space="preserve">Inland Water Passenger Transportation </t>
  </si>
  <si>
    <t xml:space="preserve">Mixed Mode Transit Systems </t>
  </si>
  <si>
    <t xml:space="preserve">Commuter Rail Systems </t>
  </si>
  <si>
    <t xml:space="preserve">Bus and Other Motor Vehicle Transit Systems </t>
  </si>
  <si>
    <t xml:space="preserve">Other Urban Transit Systems </t>
  </si>
  <si>
    <t xml:space="preserve">Special Needs Transportation </t>
  </si>
  <si>
    <t xml:space="preserve">All Other Transit and Ground Passenger Transportation </t>
  </si>
  <si>
    <t xml:space="preserve">Packing and Crating </t>
  </si>
  <si>
    <t xml:space="preserve">All Other Support Activities for Transportation </t>
  </si>
  <si>
    <t xml:space="preserve">Greeting Card Publishers </t>
  </si>
  <si>
    <t xml:space="preserve">All Other Publishers </t>
  </si>
  <si>
    <t xml:space="preserve">Motion Picture Theaters (except Drive-Ins) </t>
  </si>
  <si>
    <t xml:space="preserve">Drive-In Motion Picture Theaters </t>
  </si>
  <si>
    <t xml:space="preserve">Teleproduction and Other Postproduction Services </t>
  </si>
  <si>
    <t xml:space="preserve">Other Motion Picture and Video Industries </t>
  </si>
  <si>
    <t xml:space="preserve">Radio Networks </t>
  </si>
  <si>
    <t xml:space="preserve">Radio Stations </t>
  </si>
  <si>
    <t xml:space="preserve">Telecommunications Resellers </t>
  </si>
  <si>
    <t xml:space="preserve">All Other Telecommunications </t>
  </si>
  <si>
    <t xml:space="preserve">Commercial Banking </t>
  </si>
  <si>
    <t xml:space="preserve">Savings Institutions </t>
  </si>
  <si>
    <t xml:space="preserve">Real Estate Credit </t>
  </si>
  <si>
    <t xml:space="preserve">International Trade Financing </t>
  </si>
  <si>
    <t xml:space="preserve">Secondary Market Financing </t>
  </si>
  <si>
    <t xml:space="preserve">All Other Nondepository Credit Intermediation </t>
  </si>
  <si>
    <t xml:space="preserve">Trust, Fiduciary, and Custody Activities </t>
  </si>
  <si>
    <t xml:space="preserve">Miscellaneous Financial Investment Activities </t>
  </si>
  <si>
    <t xml:space="preserve">Direct Life Insurance Carriers </t>
  </si>
  <si>
    <t xml:space="preserve">Direct Health and Medical Insurance Carriers </t>
  </si>
  <si>
    <t xml:space="preserve">Direct Property and Casualty Insurance Carriers </t>
  </si>
  <si>
    <t xml:space="preserve">Direct Title Insurance Carriers </t>
  </si>
  <si>
    <t xml:space="preserve">Other Direct Insurance (except Life, Health, and Medical) Carriers </t>
  </si>
  <si>
    <t xml:space="preserve">Third Party Administration of Insurance and Pension Funds </t>
  </si>
  <si>
    <t xml:space="preserve">All Other Insurance Related Activities </t>
  </si>
  <si>
    <t xml:space="preserve">Pension Funds </t>
  </si>
  <si>
    <t xml:space="preserve">Health and Welfare Funds </t>
  </si>
  <si>
    <t xml:space="preserve">Other Insurance Funds </t>
  </si>
  <si>
    <t xml:space="preserve">Open-End Investment Funds </t>
  </si>
  <si>
    <t xml:space="preserve">Trusts, Estates, and Agency Accounts </t>
  </si>
  <si>
    <t xml:space="preserve">Other Financial Vehicles </t>
  </si>
  <si>
    <t xml:space="preserve">Residential Property Managers </t>
  </si>
  <si>
    <t xml:space="preserve">Nonresidential Property Managers </t>
  </si>
  <si>
    <t xml:space="preserve">Home Health Equipment Rental </t>
  </si>
  <si>
    <t xml:space="preserve">Recreational Goods Rental </t>
  </si>
  <si>
    <t xml:space="preserve">All Other Consumer Goods Rental </t>
  </si>
  <si>
    <t xml:space="preserve">Commercial Air, Rail, and Water Transportation Equipment Rental and Leasing </t>
  </si>
  <si>
    <t xml:space="preserve">Construction, Mining, and Forestry Machinery and Equipment Rental and Leasing </t>
  </si>
  <si>
    <t xml:space="preserve">Title Abstract and Settlement Offices </t>
  </si>
  <si>
    <t xml:space="preserve">All Other Legal Services </t>
  </si>
  <si>
    <t xml:space="preserve">Offices of Certified Public Accountants </t>
  </si>
  <si>
    <t xml:space="preserve">Payroll Services </t>
  </si>
  <si>
    <t xml:space="preserve">Other Accounting Services </t>
  </si>
  <si>
    <t xml:space="preserve">Custom Computer Programming Services </t>
  </si>
  <si>
    <t xml:space="preserve">Computer Systems Design Services </t>
  </si>
  <si>
    <t xml:space="preserve">Computer Facilities Management Services </t>
  </si>
  <si>
    <t>Other Computer Related Services</t>
  </si>
  <si>
    <t xml:space="preserve">Marketing Consulting Services </t>
  </si>
  <si>
    <t xml:space="preserve">Process, Physical Distribution, and Logistics Consulting Services </t>
  </si>
  <si>
    <t xml:space="preserve">Other Management Consulting Services </t>
  </si>
  <si>
    <t xml:space="preserve">Research and Development in Biotechnology </t>
  </si>
  <si>
    <t xml:space="preserve">Research and Development in the Physical, Engineering, and Life Sciences (except Biotechnology) </t>
  </si>
  <si>
    <t xml:space="preserve">Photography Studios, Portrait </t>
  </si>
  <si>
    <t xml:space="preserve">Commercial Photography </t>
  </si>
  <si>
    <t xml:space="preserve">Offices of Bank Holding Companies </t>
  </si>
  <si>
    <t xml:space="preserve">Offices of Other Holding Companies </t>
  </si>
  <si>
    <t xml:space="preserve">Employment Placement Agencies </t>
  </si>
  <si>
    <t xml:space="preserve">Private Mail Centers </t>
  </si>
  <si>
    <t xml:space="preserve">Other Business Service Centers (including Copy Shops) </t>
  </si>
  <si>
    <t xml:space="preserve">Repossession Services </t>
  </si>
  <si>
    <t xml:space="preserve">Court Reporting and Stenotype Services </t>
  </si>
  <si>
    <t xml:space="preserve">All Other Business Support Services </t>
  </si>
  <si>
    <t xml:space="preserve">All Other Travel Arrangement and Reservation Services </t>
  </si>
  <si>
    <t xml:space="preserve">Solid Waste Collection </t>
  </si>
  <si>
    <t xml:space="preserve">Hazardous Waste Collection </t>
  </si>
  <si>
    <t xml:space="preserve">Other Waste Collection </t>
  </si>
  <si>
    <t xml:space="preserve">Hazardous Waste Treatment and Disposal </t>
  </si>
  <si>
    <t xml:space="preserve">Solid Waste Landfill </t>
  </si>
  <si>
    <t xml:space="preserve">Solid Waste Combustors and Incinerators </t>
  </si>
  <si>
    <t xml:space="preserve">Other Nonhazardous Waste Treatment and Disposal </t>
  </si>
  <si>
    <t xml:space="preserve">Septic Tank and Related Services </t>
  </si>
  <si>
    <t xml:space="preserve">All Other Miscellaneous Waste Management Services </t>
  </si>
  <si>
    <t xml:space="preserve">Cosmetology and Barber Schools </t>
  </si>
  <si>
    <t xml:space="preserve">Flight Training </t>
  </si>
  <si>
    <t xml:space="preserve">Apprenticeship Training </t>
  </si>
  <si>
    <t xml:space="preserve">Other Technical and Trade Schools </t>
  </si>
  <si>
    <t xml:space="preserve">Exam Preparation and Tutoring </t>
  </si>
  <si>
    <t xml:space="preserve">Automobile Driving Schools </t>
  </si>
  <si>
    <t xml:space="preserve">All Other Miscellaneous Schools and Instruction </t>
  </si>
  <si>
    <t xml:space="preserve">Offices of Physicians (except Mental Health Specialists) </t>
  </si>
  <si>
    <t xml:space="preserve">Offices of Physicians, Mental Health Specialists </t>
  </si>
  <si>
    <t xml:space="preserve">Offices of Podiatrists </t>
  </si>
  <si>
    <t xml:space="preserve">Offices of All Other Miscellaneous Health Practitioners </t>
  </si>
  <si>
    <t xml:space="preserve">HMO Medical Centers </t>
  </si>
  <si>
    <t xml:space="preserve">Kidney Dialysis Centers </t>
  </si>
  <si>
    <t xml:space="preserve">Freestanding Ambulatory Surgical and Emergency Centers </t>
  </si>
  <si>
    <t xml:space="preserve">All Other Outpatient Care Centers </t>
  </si>
  <si>
    <t xml:space="preserve">Medical Laboratories </t>
  </si>
  <si>
    <t xml:space="preserve">Diagnostic Imaging Centers </t>
  </si>
  <si>
    <t xml:space="preserve">Blood and Organ Banks </t>
  </si>
  <si>
    <t xml:space="preserve">All Other Miscellaneous Ambulatory Health Care Services </t>
  </si>
  <si>
    <t xml:space="preserve">Continuing Care Retirement Communities </t>
  </si>
  <si>
    <t xml:space="preserve">Assisted Living Facilities for the Elderly </t>
  </si>
  <si>
    <t xml:space="preserve">Temporary Shelters </t>
  </si>
  <si>
    <t xml:space="preserve">Other Community Housing Services </t>
  </si>
  <si>
    <t xml:space="preserve">Racetracks </t>
  </si>
  <si>
    <t xml:space="preserve">Other Spectator Sports </t>
  </si>
  <si>
    <t xml:space="preserve">All Other Traveler Accommodation </t>
  </si>
  <si>
    <t xml:space="preserve">Recreational and Vacation Camps (except Campgrounds) </t>
  </si>
  <si>
    <t xml:space="preserve">Limited-Service Restaurants </t>
  </si>
  <si>
    <t xml:space="preserve">Cafeterias, Grill Buffets, and Buffets </t>
  </si>
  <si>
    <t xml:space="preserve">Snack and Nonalcoholic Beverage Bars </t>
  </si>
  <si>
    <t xml:space="preserve">Automotive Transmission Repair </t>
  </si>
  <si>
    <t xml:space="preserve">Other Automotive Mechanical and Electrical Repair and Maintenance </t>
  </si>
  <si>
    <t xml:space="preserve">Automotive Oil Change and Lubrication Shops </t>
  </si>
  <si>
    <t xml:space="preserve">All Other Automotive Repair and Maintenance </t>
  </si>
  <si>
    <t xml:space="preserve">All Other Miscellaneous Food Manufacturing </t>
  </si>
  <si>
    <t xml:space="preserve">Metal Kitchen Cookware, Utensil, Cutlery, and Flatware (except Precious) Manufacturing </t>
  </si>
  <si>
    <t xml:space="preserve">Speed Changer, Industrial High-Speed Drive, and Gear Manufacturing </t>
  </si>
  <si>
    <t xml:space="preserve">Musical Instrument Manufacturing </t>
  </si>
  <si>
    <t xml:space="preserve">Convention and Visitors Bureaus </t>
  </si>
  <si>
    <t xml:space="preserve">Industrial Launderers </t>
  </si>
  <si>
    <t xml:space="preserve">Metal Can Manufacturing </t>
  </si>
  <si>
    <t xml:space="preserve">Motor Vehicle Parts (Used) Merchant Wholesalers </t>
  </si>
  <si>
    <t xml:space="preserve">Other Nonferrous Metal Foundries (except Die-Casting) </t>
  </si>
  <si>
    <t xml:space="preserve">Soybean and Other Oilseed Processing </t>
  </si>
  <si>
    <r>
      <t>Oilseed (except Soybean) Farming</t>
    </r>
    <r>
      <rPr>
        <vertAlign val="superscript"/>
        <sz val="10"/>
        <color indexed="8"/>
        <rFont val="Arial"/>
        <family val="2"/>
      </rPr>
      <t>T</t>
    </r>
    <r>
      <rPr>
        <sz val="10"/>
        <color theme="1"/>
        <rFont val="Arial"/>
        <family val="2"/>
      </rPr>
      <t xml:space="preserve"> </t>
    </r>
  </si>
  <si>
    <r>
      <t>Dry Pea and Bean Farming</t>
    </r>
    <r>
      <rPr>
        <vertAlign val="superscript"/>
        <sz val="10"/>
        <color indexed="8"/>
        <rFont val="Arial"/>
        <family val="2"/>
      </rPr>
      <t>T</t>
    </r>
  </si>
  <si>
    <r>
      <t>Wheat Farming</t>
    </r>
    <r>
      <rPr>
        <vertAlign val="superscript"/>
        <sz val="10"/>
        <color indexed="8"/>
        <rFont val="Arial"/>
        <family val="2"/>
      </rPr>
      <t>T</t>
    </r>
  </si>
  <si>
    <r>
      <t>Corn Farming</t>
    </r>
    <r>
      <rPr>
        <vertAlign val="superscript"/>
        <sz val="10"/>
        <color indexed="8"/>
        <rFont val="Arial"/>
        <family val="2"/>
      </rPr>
      <t>T</t>
    </r>
  </si>
  <si>
    <r>
      <t>Rice Farming</t>
    </r>
    <r>
      <rPr>
        <vertAlign val="superscript"/>
        <sz val="10"/>
        <color indexed="8"/>
        <rFont val="Arial"/>
        <family val="2"/>
      </rPr>
      <t>T</t>
    </r>
  </si>
  <si>
    <r>
      <t>Other Grain Farming</t>
    </r>
    <r>
      <rPr>
        <vertAlign val="superscript"/>
        <sz val="10"/>
        <color indexed="8"/>
        <rFont val="Arial"/>
        <family val="2"/>
      </rPr>
      <t>T</t>
    </r>
  </si>
  <si>
    <r>
      <t>Vegetable and Melon Farming</t>
    </r>
    <r>
      <rPr>
        <vertAlign val="superscript"/>
        <sz val="10"/>
        <color indexed="8"/>
        <rFont val="Arial"/>
        <family val="2"/>
      </rPr>
      <t>T</t>
    </r>
  </si>
  <si>
    <r>
      <t>Orange Groves</t>
    </r>
    <r>
      <rPr>
        <vertAlign val="superscript"/>
        <sz val="10"/>
        <color indexed="8"/>
        <rFont val="Arial"/>
        <family val="2"/>
      </rPr>
      <t>T</t>
    </r>
  </si>
  <si>
    <r>
      <t>Citrus (except Orange) Groves</t>
    </r>
    <r>
      <rPr>
        <vertAlign val="superscript"/>
        <sz val="10"/>
        <color indexed="8"/>
        <rFont val="Arial"/>
        <family val="2"/>
      </rPr>
      <t>T</t>
    </r>
    <r>
      <rPr>
        <sz val="10"/>
        <color theme="1"/>
        <rFont val="Arial"/>
        <family val="2"/>
      </rPr>
      <t xml:space="preserve"> </t>
    </r>
  </si>
  <si>
    <r>
      <t>Noncitrus Fruit and Tree Nut Farming</t>
    </r>
    <r>
      <rPr>
        <vertAlign val="superscript"/>
        <sz val="10"/>
        <color indexed="8"/>
        <rFont val="Arial"/>
        <family val="2"/>
      </rPr>
      <t>T</t>
    </r>
  </si>
  <si>
    <r>
      <t>Food Crops Grown Under Cover</t>
    </r>
    <r>
      <rPr>
        <vertAlign val="superscript"/>
        <sz val="10"/>
        <color indexed="8"/>
        <rFont val="Arial"/>
        <family val="2"/>
      </rPr>
      <t>T</t>
    </r>
  </si>
  <si>
    <r>
      <t>Nursery and Floriculture Production</t>
    </r>
    <r>
      <rPr>
        <vertAlign val="superscript"/>
        <sz val="10"/>
        <color indexed="8"/>
        <rFont val="Arial"/>
        <family val="2"/>
      </rPr>
      <t>T</t>
    </r>
  </si>
  <si>
    <r>
      <t>Tobacco Farming</t>
    </r>
    <r>
      <rPr>
        <vertAlign val="superscript"/>
        <sz val="10"/>
        <color indexed="8"/>
        <rFont val="Arial"/>
        <family val="2"/>
      </rPr>
      <t>T</t>
    </r>
  </si>
  <si>
    <r>
      <t>Cotton Farming</t>
    </r>
    <r>
      <rPr>
        <vertAlign val="superscript"/>
        <sz val="10"/>
        <color indexed="8"/>
        <rFont val="Arial"/>
        <family val="2"/>
      </rPr>
      <t>T</t>
    </r>
  </si>
  <si>
    <r>
      <t>Sugarcane Farming</t>
    </r>
    <r>
      <rPr>
        <vertAlign val="superscript"/>
        <sz val="10"/>
        <color indexed="8"/>
        <rFont val="Arial"/>
        <family val="2"/>
      </rPr>
      <t>T</t>
    </r>
    <r>
      <rPr>
        <sz val="10"/>
        <color theme="1"/>
        <rFont val="Arial"/>
        <family val="2"/>
      </rPr>
      <t xml:space="preserve"> </t>
    </r>
  </si>
  <si>
    <r>
      <t>Hay Farming</t>
    </r>
    <r>
      <rPr>
        <vertAlign val="superscript"/>
        <sz val="10"/>
        <color indexed="8"/>
        <rFont val="Arial"/>
        <family val="2"/>
      </rPr>
      <t>T</t>
    </r>
    <r>
      <rPr>
        <sz val="10"/>
        <color theme="1"/>
        <rFont val="Arial"/>
        <family val="2"/>
      </rPr>
      <t xml:space="preserve"> </t>
    </r>
  </si>
  <si>
    <r>
      <t>All Other Crop Farming</t>
    </r>
    <r>
      <rPr>
        <vertAlign val="superscript"/>
        <sz val="10"/>
        <color indexed="8"/>
        <rFont val="Arial"/>
        <family val="2"/>
      </rPr>
      <t>T</t>
    </r>
    <r>
      <rPr>
        <sz val="10"/>
        <color theme="1"/>
        <rFont val="Arial"/>
        <family val="2"/>
      </rPr>
      <t xml:space="preserve"> </t>
    </r>
  </si>
  <si>
    <r>
      <t>Beef Cattle Ranching and Farming, including Feedlots</t>
    </r>
    <r>
      <rPr>
        <vertAlign val="superscript"/>
        <sz val="10"/>
        <color indexed="8"/>
        <rFont val="Arial"/>
        <family val="2"/>
      </rPr>
      <t>T</t>
    </r>
    <r>
      <rPr>
        <sz val="10"/>
        <color theme="1"/>
        <rFont val="Arial"/>
        <family val="2"/>
      </rPr>
      <t xml:space="preserve"> </t>
    </r>
  </si>
  <si>
    <r>
      <t>Dairy Cattle and Milk Production</t>
    </r>
    <r>
      <rPr>
        <vertAlign val="superscript"/>
        <sz val="10"/>
        <color indexed="8"/>
        <rFont val="Arial"/>
        <family val="2"/>
      </rPr>
      <t>T</t>
    </r>
  </si>
  <si>
    <r>
      <t>Hog and Pig Farming</t>
    </r>
    <r>
      <rPr>
        <vertAlign val="superscript"/>
        <sz val="10"/>
        <color indexed="8"/>
        <rFont val="Arial"/>
        <family val="2"/>
      </rPr>
      <t>T</t>
    </r>
    <r>
      <rPr>
        <sz val="10"/>
        <color theme="1"/>
        <rFont val="Arial"/>
        <family val="2"/>
      </rPr>
      <t xml:space="preserve"> </t>
    </r>
  </si>
  <si>
    <r>
      <t>Chicken Egg Production</t>
    </r>
    <r>
      <rPr>
        <vertAlign val="superscript"/>
        <sz val="10"/>
        <color indexed="8"/>
        <rFont val="Arial"/>
        <family val="2"/>
      </rPr>
      <t>T</t>
    </r>
    <r>
      <rPr>
        <sz val="10"/>
        <color theme="1"/>
        <rFont val="Arial"/>
        <family val="2"/>
      </rPr>
      <t xml:space="preserve"> </t>
    </r>
  </si>
  <si>
    <r>
      <t>Broilers and Other Meat Type Chicken Production</t>
    </r>
    <r>
      <rPr>
        <vertAlign val="superscript"/>
        <sz val="10"/>
        <color indexed="8"/>
        <rFont val="Arial"/>
        <family val="2"/>
      </rPr>
      <t>T</t>
    </r>
    <r>
      <rPr>
        <sz val="10"/>
        <color theme="1"/>
        <rFont val="Arial"/>
        <family val="2"/>
      </rPr>
      <t xml:space="preserve"> </t>
    </r>
  </si>
  <si>
    <r>
      <t>Turkey Production</t>
    </r>
    <r>
      <rPr>
        <vertAlign val="superscript"/>
        <sz val="10"/>
        <color indexed="8"/>
        <rFont val="Arial"/>
        <family val="2"/>
      </rPr>
      <t>T</t>
    </r>
  </si>
  <si>
    <r>
      <t>Poultry Hatcheries</t>
    </r>
    <r>
      <rPr>
        <vertAlign val="superscript"/>
        <sz val="10"/>
        <color indexed="8"/>
        <rFont val="Arial"/>
        <family val="2"/>
      </rPr>
      <t>T</t>
    </r>
    <r>
      <rPr>
        <sz val="10"/>
        <color theme="1"/>
        <rFont val="Arial"/>
        <family val="2"/>
      </rPr>
      <t xml:space="preserve"> </t>
    </r>
  </si>
  <si>
    <r>
      <t>Other Poultry Production</t>
    </r>
    <r>
      <rPr>
        <vertAlign val="superscript"/>
        <sz val="10"/>
        <color indexed="8"/>
        <rFont val="Arial"/>
        <family val="2"/>
      </rPr>
      <t>T</t>
    </r>
    <r>
      <rPr>
        <sz val="10"/>
        <color theme="1"/>
        <rFont val="Arial"/>
        <family val="2"/>
      </rPr>
      <t xml:space="preserve"> </t>
    </r>
  </si>
  <si>
    <r>
      <t>Sheep Farming</t>
    </r>
    <r>
      <rPr>
        <vertAlign val="superscript"/>
        <sz val="10"/>
        <color indexed="8"/>
        <rFont val="Arial"/>
        <family val="2"/>
      </rPr>
      <t>T</t>
    </r>
    <r>
      <rPr>
        <sz val="10"/>
        <color theme="1"/>
        <rFont val="Arial"/>
        <family val="2"/>
      </rPr>
      <t xml:space="preserve"> </t>
    </r>
  </si>
  <si>
    <r>
      <t>Goat Farming</t>
    </r>
    <r>
      <rPr>
        <vertAlign val="superscript"/>
        <sz val="10"/>
        <color indexed="8"/>
        <rFont val="Arial"/>
        <family val="2"/>
      </rPr>
      <t>T</t>
    </r>
  </si>
  <si>
    <r>
      <t>Aquaculture</t>
    </r>
    <r>
      <rPr>
        <vertAlign val="superscript"/>
        <sz val="10"/>
        <color indexed="8"/>
        <rFont val="Arial"/>
        <family val="2"/>
      </rPr>
      <t>T</t>
    </r>
    <r>
      <rPr>
        <sz val="10"/>
        <color theme="1"/>
        <rFont val="Arial"/>
        <family val="2"/>
      </rPr>
      <t xml:space="preserve"> </t>
    </r>
  </si>
  <si>
    <r>
      <t>Apiculture</t>
    </r>
    <r>
      <rPr>
        <vertAlign val="superscript"/>
        <sz val="10"/>
        <color indexed="8"/>
        <rFont val="Arial"/>
        <family val="2"/>
      </rPr>
      <t>T</t>
    </r>
  </si>
  <si>
    <r>
      <t>Horses and Other Equine Production</t>
    </r>
    <r>
      <rPr>
        <vertAlign val="superscript"/>
        <sz val="10"/>
        <color indexed="8"/>
        <rFont val="Arial"/>
        <family val="2"/>
      </rPr>
      <t>T</t>
    </r>
    <r>
      <rPr>
        <sz val="10"/>
        <color theme="1"/>
        <rFont val="Arial"/>
        <family val="2"/>
      </rPr>
      <t xml:space="preserve"> </t>
    </r>
  </si>
  <si>
    <r>
      <t>Fur-Bearing Animal and Rabbit Production</t>
    </r>
    <r>
      <rPr>
        <vertAlign val="superscript"/>
        <sz val="10"/>
        <color indexed="8"/>
        <rFont val="Arial"/>
        <family val="2"/>
      </rPr>
      <t>T</t>
    </r>
    <r>
      <rPr>
        <sz val="10"/>
        <color theme="1"/>
        <rFont val="Arial"/>
        <family val="2"/>
      </rPr>
      <t xml:space="preserve"> </t>
    </r>
  </si>
  <si>
    <r>
      <t>All Other Animal Production</t>
    </r>
    <r>
      <rPr>
        <vertAlign val="superscript"/>
        <sz val="10"/>
        <color indexed="8"/>
        <rFont val="Arial"/>
        <family val="2"/>
      </rPr>
      <t>T</t>
    </r>
    <r>
      <rPr>
        <sz val="10"/>
        <color theme="1"/>
        <rFont val="Arial"/>
        <family val="2"/>
      </rPr>
      <t xml:space="preserve"> </t>
    </r>
  </si>
  <si>
    <r>
      <t>Timber Tract Operations</t>
    </r>
    <r>
      <rPr>
        <vertAlign val="superscript"/>
        <sz val="10"/>
        <color indexed="8"/>
        <rFont val="Arial"/>
        <family val="2"/>
      </rPr>
      <t>T</t>
    </r>
    <r>
      <rPr>
        <sz val="10"/>
        <color theme="1"/>
        <rFont val="Arial"/>
        <family val="2"/>
      </rPr>
      <t xml:space="preserve"> </t>
    </r>
  </si>
  <si>
    <r>
      <t>Fishing</t>
    </r>
    <r>
      <rPr>
        <vertAlign val="superscript"/>
        <sz val="10"/>
        <color indexed="8"/>
        <rFont val="Arial"/>
        <family val="2"/>
      </rPr>
      <t>T</t>
    </r>
    <r>
      <rPr>
        <sz val="10"/>
        <color theme="1"/>
        <rFont val="Arial"/>
        <family val="2"/>
      </rPr>
      <t xml:space="preserve"> </t>
    </r>
  </si>
  <si>
    <r>
      <t>Hunting and Trapping</t>
    </r>
    <r>
      <rPr>
        <vertAlign val="superscript"/>
        <sz val="10"/>
        <color indexed="8"/>
        <rFont val="Arial"/>
        <family val="2"/>
      </rPr>
      <t>T</t>
    </r>
    <r>
      <rPr>
        <sz val="10"/>
        <color theme="1"/>
        <rFont val="Arial"/>
        <family val="2"/>
      </rPr>
      <t xml:space="preserve"> </t>
    </r>
  </si>
  <si>
    <r>
      <t>Support Activities for Crop Production</t>
    </r>
    <r>
      <rPr>
        <vertAlign val="superscript"/>
        <sz val="10"/>
        <color indexed="8"/>
        <rFont val="Arial"/>
        <family val="2"/>
      </rPr>
      <t>T</t>
    </r>
    <r>
      <rPr>
        <sz val="10"/>
        <color theme="1"/>
        <rFont val="Arial"/>
        <family val="2"/>
      </rPr>
      <t xml:space="preserve"> </t>
    </r>
  </si>
  <si>
    <r>
      <t>Support Activities for Animal Production</t>
    </r>
    <r>
      <rPr>
        <vertAlign val="superscript"/>
        <sz val="10"/>
        <color indexed="8"/>
        <rFont val="Arial"/>
        <family val="2"/>
      </rPr>
      <t>T</t>
    </r>
    <r>
      <rPr>
        <sz val="10"/>
        <color theme="1"/>
        <rFont val="Arial"/>
        <family val="2"/>
      </rPr>
      <t xml:space="preserve"> </t>
    </r>
  </si>
  <si>
    <r>
      <t>Support Activities for Forestry</t>
    </r>
    <r>
      <rPr>
        <vertAlign val="superscript"/>
        <sz val="10"/>
        <color indexed="8"/>
        <rFont val="Arial"/>
        <family val="2"/>
      </rPr>
      <t>T</t>
    </r>
    <r>
      <rPr>
        <sz val="10"/>
        <color theme="1"/>
        <rFont val="Arial"/>
        <family val="2"/>
      </rPr>
      <t xml:space="preserve"> </t>
    </r>
  </si>
  <si>
    <r>
      <t>Oil and Gas Extraction</t>
    </r>
    <r>
      <rPr>
        <vertAlign val="superscript"/>
        <sz val="10"/>
        <color indexed="8"/>
        <rFont val="Arial"/>
        <family val="2"/>
      </rPr>
      <t>T</t>
    </r>
    <r>
      <rPr>
        <sz val="10"/>
        <color theme="1"/>
        <rFont val="Arial"/>
        <family val="2"/>
      </rPr>
      <t xml:space="preserve"> </t>
    </r>
  </si>
  <si>
    <r>
      <t>Coal Mining</t>
    </r>
    <r>
      <rPr>
        <vertAlign val="superscript"/>
        <sz val="10"/>
        <color indexed="8"/>
        <rFont val="Arial"/>
        <family val="2"/>
      </rPr>
      <t>T</t>
    </r>
    <r>
      <rPr>
        <sz val="10"/>
        <color theme="1"/>
        <rFont val="Arial"/>
        <family val="2"/>
      </rPr>
      <t xml:space="preserve"> </t>
    </r>
  </si>
  <si>
    <r>
      <t>Iron Ore Mining</t>
    </r>
    <r>
      <rPr>
        <vertAlign val="superscript"/>
        <sz val="10"/>
        <color indexed="8"/>
        <rFont val="Arial"/>
        <family val="2"/>
      </rPr>
      <t>T</t>
    </r>
    <r>
      <rPr>
        <sz val="10"/>
        <color theme="1"/>
        <rFont val="Arial"/>
        <family val="2"/>
      </rPr>
      <t xml:space="preserve"> </t>
    </r>
  </si>
  <si>
    <r>
      <t>Gold Ore and Silver Ore Mining</t>
    </r>
    <r>
      <rPr>
        <vertAlign val="superscript"/>
        <sz val="10"/>
        <color indexed="8"/>
        <rFont val="Arial"/>
        <family val="2"/>
      </rPr>
      <t>T</t>
    </r>
    <r>
      <rPr>
        <sz val="10"/>
        <color theme="1"/>
        <rFont val="Arial"/>
        <family val="2"/>
      </rPr>
      <t xml:space="preserve"> </t>
    </r>
  </si>
  <si>
    <r>
      <t>Copper, Nickel, Lead, and Zinc Mining</t>
    </r>
    <r>
      <rPr>
        <vertAlign val="superscript"/>
        <sz val="10"/>
        <color indexed="8"/>
        <rFont val="Arial"/>
        <family val="2"/>
      </rPr>
      <t>T</t>
    </r>
    <r>
      <rPr>
        <sz val="10"/>
        <color theme="1"/>
        <rFont val="Arial"/>
        <family val="2"/>
      </rPr>
      <t xml:space="preserve"> </t>
    </r>
  </si>
  <si>
    <r>
      <t>Other Metal Ore Mining</t>
    </r>
    <r>
      <rPr>
        <vertAlign val="superscript"/>
        <sz val="10"/>
        <color indexed="8"/>
        <rFont val="Arial"/>
        <family val="2"/>
      </rPr>
      <t>T</t>
    </r>
    <r>
      <rPr>
        <sz val="10"/>
        <color theme="1"/>
        <rFont val="Arial"/>
        <family val="2"/>
      </rPr>
      <t xml:space="preserve"> </t>
    </r>
  </si>
  <si>
    <r>
      <t>Stone Mining and Quarrying</t>
    </r>
    <r>
      <rPr>
        <vertAlign val="superscript"/>
        <sz val="10"/>
        <color indexed="8"/>
        <rFont val="Arial"/>
        <family val="2"/>
      </rPr>
      <t>T</t>
    </r>
    <r>
      <rPr>
        <sz val="10"/>
        <color theme="1"/>
        <rFont val="Arial"/>
        <family val="2"/>
      </rPr>
      <t xml:space="preserve"> </t>
    </r>
  </si>
  <si>
    <r>
      <t>Sand, Gravel, Clay, and Ceramic and Refractory Minerals Mining and Quarrying</t>
    </r>
    <r>
      <rPr>
        <vertAlign val="superscript"/>
        <sz val="10"/>
        <color indexed="8"/>
        <rFont val="Arial"/>
        <family val="2"/>
      </rPr>
      <t>T</t>
    </r>
    <r>
      <rPr>
        <sz val="10"/>
        <color theme="1"/>
        <rFont val="Arial"/>
        <family val="2"/>
      </rPr>
      <t xml:space="preserve"> </t>
    </r>
  </si>
  <si>
    <r>
      <t>Other Nonmetallic Mineral Mining and Quarrying</t>
    </r>
    <r>
      <rPr>
        <vertAlign val="superscript"/>
        <sz val="10"/>
        <color indexed="8"/>
        <rFont val="Arial"/>
        <family val="2"/>
      </rPr>
      <t>T</t>
    </r>
    <r>
      <rPr>
        <sz val="10"/>
        <color theme="1"/>
        <rFont val="Arial"/>
        <family val="2"/>
      </rPr>
      <t xml:space="preserve"> </t>
    </r>
  </si>
  <si>
    <r>
      <t>Support Activities for Mining</t>
    </r>
    <r>
      <rPr>
        <vertAlign val="superscript"/>
        <sz val="10"/>
        <color indexed="8"/>
        <rFont val="Arial"/>
        <family val="2"/>
      </rPr>
      <t>T</t>
    </r>
    <r>
      <rPr>
        <sz val="10"/>
        <color theme="1"/>
        <rFont val="Arial"/>
        <family val="2"/>
      </rPr>
      <t xml:space="preserve"> </t>
    </r>
  </si>
  <si>
    <r>
      <t>Utilities</t>
    </r>
    <r>
      <rPr>
        <b/>
        <vertAlign val="superscript"/>
        <sz val="14"/>
        <color indexed="8"/>
        <rFont val="Arial"/>
        <family val="2"/>
      </rPr>
      <t>T</t>
    </r>
  </si>
  <si>
    <r>
      <t>Residential Building Construction</t>
    </r>
    <r>
      <rPr>
        <vertAlign val="superscript"/>
        <sz val="10"/>
        <color indexed="8"/>
        <rFont val="Arial"/>
        <family val="2"/>
      </rPr>
      <t>T</t>
    </r>
    <r>
      <rPr>
        <sz val="10"/>
        <color theme="1"/>
        <rFont val="Arial"/>
        <family val="2"/>
      </rPr>
      <t xml:space="preserve"> </t>
    </r>
  </si>
  <si>
    <r>
      <t>Industrial Building Construction</t>
    </r>
    <r>
      <rPr>
        <vertAlign val="superscript"/>
        <sz val="10"/>
        <color indexed="8"/>
        <rFont val="Arial"/>
        <family val="2"/>
      </rPr>
      <t>T</t>
    </r>
    <r>
      <rPr>
        <sz val="10"/>
        <color theme="1"/>
        <rFont val="Arial"/>
        <family val="2"/>
      </rPr>
      <t xml:space="preserve"> </t>
    </r>
  </si>
  <si>
    <r>
      <t>Commercial and Institutional Building Construction</t>
    </r>
    <r>
      <rPr>
        <vertAlign val="superscript"/>
        <sz val="10"/>
        <color indexed="8"/>
        <rFont val="Arial"/>
        <family val="2"/>
      </rPr>
      <t>T</t>
    </r>
    <r>
      <rPr>
        <sz val="10"/>
        <color theme="1"/>
        <rFont val="Arial"/>
        <family val="2"/>
      </rPr>
      <t xml:space="preserve"> </t>
    </r>
  </si>
  <si>
    <r>
      <t>Water and Sewer Line and Related Structures Construction</t>
    </r>
    <r>
      <rPr>
        <vertAlign val="superscript"/>
        <sz val="10"/>
        <color indexed="8"/>
        <rFont val="Arial"/>
        <family val="2"/>
      </rPr>
      <t>T</t>
    </r>
    <r>
      <rPr>
        <sz val="10"/>
        <color theme="1"/>
        <rFont val="Arial"/>
        <family val="2"/>
      </rPr>
      <t xml:space="preserve"> </t>
    </r>
  </si>
  <si>
    <r>
      <t>Oil and Gas Pipeline and Related Structures Construction</t>
    </r>
    <r>
      <rPr>
        <vertAlign val="superscript"/>
        <sz val="10"/>
        <color indexed="8"/>
        <rFont val="Arial"/>
        <family val="2"/>
      </rPr>
      <t>T</t>
    </r>
    <r>
      <rPr>
        <sz val="10"/>
        <color theme="1"/>
        <rFont val="Arial"/>
        <family val="2"/>
      </rPr>
      <t xml:space="preserve"> </t>
    </r>
  </si>
  <si>
    <r>
      <t>Power and Communication Line and Related Structures Construction</t>
    </r>
    <r>
      <rPr>
        <vertAlign val="superscript"/>
        <sz val="10"/>
        <color indexed="8"/>
        <rFont val="Arial"/>
        <family val="2"/>
      </rPr>
      <t>T</t>
    </r>
    <r>
      <rPr>
        <sz val="10"/>
        <color theme="1"/>
        <rFont val="Arial"/>
        <family val="2"/>
      </rPr>
      <t xml:space="preserve"> </t>
    </r>
  </si>
  <si>
    <r>
      <t>Land Subdivision</t>
    </r>
    <r>
      <rPr>
        <vertAlign val="superscript"/>
        <sz val="10"/>
        <color indexed="8"/>
        <rFont val="Arial"/>
        <family val="2"/>
      </rPr>
      <t>T</t>
    </r>
    <r>
      <rPr>
        <sz val="10"/>
        <color theme="1"/>
        <rFont val="Arial"/>
        <family val="2"/>
      </rPr>
      <t xml:space="preserve"> </t>
    </r>
  </si>
  <si>
    <r>
      <t>Highway, Street, and Bridge Construction</t>
    </r>
    <r>
      <rPr>
        <vertAlign val="superscript"/>
        <sz val="10"/>
        <color indexed="8"/>
        <rFont val="Arial"/>
        <family val="2"/>
      </rPr>
      <t>T</t>
    </r>
    <r>
      <rPr>
        <sz val="10"/>
        <color theme="1"/>
        <rFont val="Arial"/>
        <family val="2"/>
      </rPr>
      <t xml:space="preserve"> </t>
    </r>
  </si>
  <si>
    <r>
      <t>Other Heavy and Civil Engineering Construction</t>
    </r>
    <r>
      <rPr>
        <vertAlign val="superscript"/>
        <sz val="10"/>
        <color indexed="8"/>
        <rFont val="Arial"/>
        <family val="2"/>
      </rPr>
      <t>T</t>
    </r>
  </si>
  <si>
    <r>
      <t>Foundation, Structure, and Building Exterior Contractors</t>
    </r>
    <r>
      <rPr>
        <b/>
        <vertAlign val="superscript"/>
        <sz val="10"/>
        <color indexed="8"/>
        <rFont val="Arial"/>
        <family val="2"/>
      </rPr>
      <t>T</t>
    </r>
    <r>
      <rPr>
        <b/>
        <sz val="10"/>
        <color indexed="8"/>
        <rFont val="Arial"/>
        <family val="2"/>
      </rPr>
      <t xml:space="preserve"> </t>
    </r>
  </si>
  <si>
    <r>
      <t>Electrical Contractors and Other Wiring Installation Contractors</t>
    </r>
    <r>
      <rPr>
        <vertAlign val="superscript"/>
        <sz val="10"/>
        <color indexed="8"/>
        <rFont val="Arial"/>
        <family val="2"/>
      </rPr>
      <t>T</t>
    </r>
    <r>
      <rPr>
        <sz val="10"/>
        <color theme="1"/>
        <rFont val="Arial"/>
        <family val="2"/>
      </rPr>
      <t xml:space="preserve"> </t>
    </r>
  </si>
  <si>
    <r>
      <t>Plumbing, Heating, and Air-Conditioning Contractors</t>
    </r>
    <r>
      <rPr>
        <vertAlign val="superscript"/>
        <sz val="10"/>
        <color indexed="8"/>
        <rFont val="Arial"/>
        <family val="2"/>
      </rPr>
      <t>T</t>
    </r>
    <r>
      <rPr>
        <sz val="10"/>
        <color theme="1"/>
        <rFont val="Arial"/>
        <family val="2"/>
      </rPr>
      <t xml:space="preserve"> </t>
    </r>
  </si>
  <si>
    <r>
      <t>Other Building Equipment Contractors</t>
    </r>
    <r>
      <rPr>
        <vertAlign val="superscript"/>
        <sz val="10"/>
        <color indexed="8"/>
        <rFont val="Arial"/>
        <family val="2"/>
      </rPr>
      <t>T</t>
    </r>
    <r>
      <rPr>
        <sz val="10"/>
        <color theme="1"/>
        <rFont val="Arial"/>
        <family val="2"/>
      </rPr>
      <t xml:space="preserve"> </t>
    </r>
  </si>
  <si>
    <r>
      <t>Drywall and Insulation Contractors</t>
    </r>
    <r>
      <rPr>
        <vertAlign val="superscript"/>
        <sz val="10"/>
        <color indexed="8"/>
        <rFont val="Arial"/>
        <family val="2"/>
      </rPr>
      <t>T</t>
    </r>
    <r>
      <rPr>
        <sz val="10"/>
        <color theme="1"/>
        <rFont val="Arial"/>
        <family val="2"/>
      </rPr>
      <t xml:space="preserve"> </t>
    </r>
  </si>
  <si>
    <r>
      <t>Painting and Wall Covering Contractors</t>
    </r>
    <r>
      <rPr>
        <vertAlign val="superscript"/>
        <sz val="10"/>
        <color indexed="8"/>
        <rFont val="Arial"/>
        <family val="2"/>
      </rPr>
      <t>T</t>
    </r>
    <r>
      <rPr>
        <sz val="10"/>
        <color theme="1"/>
        <rFont val="Arial"/>
        <family val="2"/>
      </rPr>
      <t xml:space="preserve"> </t>
    </r>
  </si>
  <si>
    <r>
      <t>Flooring Contractors</t>
    </r>
    <r>
      <rPr>
        <vertAlign val="superscript"/>
        <sz val="10"/>
        <color indexed="8"/>
        <rFont val="Arial"/>
        <family val="2"/>
      </rPr>
      <t>T</t>
    </r>
    <r>
      <rPr>
        <sz val="10"/>
        <color theme="1"/>
        <rFont val="Arial"/>
        <family val="2"/>
      </rPr>
      <t xml:space="preserve"> </t>
    </r>
  </si>
  <si>
    <r>
      <t>Tile and Terrazzo Contractors</t>
    </r>
    <r>
      <rPr>
        <vertAlign val="superscript"/>
        <sz val="10"/>
        <color indexed="8"/>
        <rFont val="Arial"/>
        <family val="2"/>
      </rPr>
      <t>T</t>
    </r>
  </si>
  <si>
    <r>
      <t>Finish Carpentry Contractors</t>
    </r>
    <r>
      <rPr>
        <vertAlign val="superscript"/>
        <sz val="10"/>
        <color indexed="8"/>
        <rFont val="Arial"/>
        <family val="2"/>
      </rPr>
      <t>T</t>
    </r>
    <r>
      <rPr>
        <sz val="10"/>
        <color theme="1"/>
        <rFont val="Arial"/>
        <family val="2"/>
      </rPr>
      <t xml:space="preserve"> </t>
    </r>
  </si>
  <si>
    <r>
      <t>Other Building Finishing Contractors</t>
    </r>
    <r>
      <rPr>
        <vertAlign val="superscript"/>
        <sz val="10"/>
        <color indexed="8"/>
        <rFont val="Arial"/>
        <family val="2"/>
      </rPr>
      <t>T</t>
    </r>
    <r>
      <rPr>
        <sz val="10"/>
        <color theme="1"/>
        <rFont val="Arial"/>
        <family val="2"/>
      </rPr>
      <t xml:space="preserve"> </t>
    </r>
  </si>
  <si>
    <r>
      <t>Site Preparation Contractors</t>
    </r>
    <r>
      <rPr>
        <vertAlign val="superscript"/>
        <sz val="10"/>
        <color indexed="8"/>
        <rFont val="Arial"/>
        <family val="2"/>
      </rPr>
      <t>T</t>
    </r>
    <r>
      <rPr>
        <sz val="10"/>
        <color theme="1"/>
        <rFont val="Arial"/>
        <family val="2"/>
      </rPr>
      <t xml:space="preserve"> </t>
    </r>
  </si>
  <si>
    <r>
      <t>All Other Specialty Trade Contractors</t>
    </r>
    <r>
      <rPr>
        <vertAlign val="superscript"/>
        <sz val="10"/>
        <color indexed="8"/>
        <rFont val="Arial"/>
        <family val="2"/>
      </rPr>
      <t>T</t>
    </r>
    <r>
      <rPr>
        <sz val="10"/>
        <color theme="1"/>
        <rFont val="Arial"/>
        <family val="2"/>
      </rPr>
      <t xml:space="preserve"> </t>
    </r>
  </si>
  <si>
    <r>
      <t>Animal Food Manufacturing</t>
    </r>
    <r>
      <rPr>
        <vertAlign val="superscript"/>
        <sz val="10"/>
        <color indexed="8"/>
        <rFont val="Arial"/>
        <family val="2"/>
      </rPr>
      <t>T</t>
    </r>
    <r>
      <rPr>
        <sz val="10"/>
        <color theme="1"/>
        <rFont val="Arial"/>
        <family val="2"/>
      </rPr>
      <t xml:space="preserve"> </t>
    </r>
  </si>
  <si>
    <r>
      <t>Flour Milling and Malt Manufacturing</t>
    </r>
    <r>
      <rPr>
        <vertAlign val="superscript"/>
        <sz val="10"/>
        <color indexed="8"/>
        <rFont val="Arial"/>
        <family val="2"/>
      </rPr>
      <t>T</t>
    </r>
    <r>
      <rPr>
        <sz val="10"/>
        <color theme="1"/>
        <rFont val="Arial"/>
        <family val="2"/>
      </rPr>
      <t xml:space="preserve"> </t>
    </r>
  </si>
  <si>
    <r>
      <t>Starch and Vegetable Fats and Oils Manufacturing</t>
    </r>
    <r>
      <rPr>
        <vertAlign val="superscript"/>
        <sz val="10"/>
        <color indexed="8"/>
        <rFont val="Arial"/>
        <family val="2"/>
      </rPr>
      <t>T</t>
    </r>
    <r>
      <rPr>
        <sz val="10"/>
        <color theme="1"/>
        <rFont val="Arial"/>
        <family val="2"/>
      </rPr>
      <t xml:space="preserve"> </t>
    </r>
  </si>
  <si>
    <r>
      <t>Breakfast Cereal Manufacturing</t>
    </r>
    <r>
      <rPr>
        <vertAlign val="superscript"/>
        <sz val="10"/>
        <color indexed="8"/>
        <rFont val="Arial"/>
        <family val="2"/>
      </rPr>
      <t>T</t>
    </r>
    <r>
      <rPr>
        <sz val="10"/>
        <color theme="1"/>
        <rFont val="Arial"/>
        <family val="2"/>
      </rPr>
      <t xml:space="preserve"> </t>
    </r>
  </si>
  <si>
    <r>
      <t>Sugar Manufacturing</t>
    </r>
    <r>
      <rPr>
        <vertAlign val="superscript"/>
        <sz val="10"/>
        <color indexed="8"/>
        <rFont val="Arial"/>
        <family val="2"/>
      </rPr>
      <t>T</t>
    </r>
    <r>
      <rPr>
        <sz val="10"/>
        <color theme="1"/>
        <rFont val="Arial"/>
        <family val="2"/>
      </rPr>
      <t xml:space="preserve"> </t>
    </r>
  </si>
  <si>
    <r>
      <t>Nonchocolate Confectionery Manufacturing</t>
    </r>
    <r>
      <rPr>
        <vertAlign val="superscript"/>
        <sz val="10"/>
        <color indexed="8"/>
        <rFont val="Arial"/>
        <family val="2"/>
      </rPr>
      <t>T</t>
    </r>
    <r>
      <rPr>
        <sz val="10"/>
        <color theme="1"/>
        <rFont val="Arial"/>
        <family val="2"/>
      </rPr>
      <t xml:space="preserve"> </t>
    </r>
  </si>
  <si>
    <r>
      <t>Frozen Food Manufacturing</t>
    </r>
    <r>
      <rPr>
        <vertAlign val="superscript"/>
        <sz val="10"/>
        <color indexed="8"/>
        <rFont val="Arial"/>
        <family val="2"/>
      </rPr>
      <t>T</t>
    </r>
    <r>
      <rPr>
        <sz val="10"/>
        <color theme="1"/>
        <rFont val="Arial"/>
        <family val="2"/>
      </rPr>
      <t xml:space="preserve"> </t>
    </r>
  </si>
  <si>
    <r>
      <t>Fruit and Vegetable Canning, Pickling, and Drying</t>
    </r>
    <r>
      <rPr>
        <vertAlign val="superscript"/>
        <sz val="10"/>
        <color indexed="8"/>
        <rFont val="Arial"/>
        <family val="2"/>
      </rPr>
      <t>T</t>
    </r>
    <r>
      <rPr>
        <sz val="10"/>
        <color theme="1"/>
        <rFont val="Arial"/>
        <family val="2"/>
      </rPr>
      <t xml:space="preserve"> </t>
    </r>
  </si>
  <si>
    <r>
      <t>Dairy Product (except Frozen) Manufacturing</t>
    </r>
    <r>
      <rPr>
        <vertAlign val="superscript"/>
        <sz val="10"/>
        <color indexed="8"/>
        <rFont val="Arial"/>
        <family val="2"/>
      </rPr>
      <t>T</t>
    </r>
    <r>
      <rPr>
        <sz val="10"/>
        <color theme="1"/>
        <rFont val="Arial"/>
        <family val="2"/>
      </rPr>
      <t xml:space="preserve"> </t>
    </r>
  </si>
  <si>
    <r>
      <t>Ice Cream and Frozen Dessert Manufacturing</t>
    </r>
    <r>
      <rPr>
        <vertAlign val="superscript"/>
        <sz val="10"/>
        <color indexed="8"/>
        <rFont val="Arial"/>
        <family val="2"/>
      </rPr>
      <t>T</t>
    </r>
    <r>
      <rPr>
        <sz val="10"/>
        <color theme="1"/>
        <rFont val="Arial"/>
        <family val="2"/>
      </rPr>
      <t xml:space="preserve"> </t>
    </r>
  </si>
  <si>
    <r>
      <t>Animal Slaughtering and Processing</t>
    </r>
    <r>
      <rPr>
        <vertAlign val="superscript"/>
        <sz val="10"/>
        <color indexed="8"/>
        <rFont val="Arial"/>
        <family val="2"/>
      </rPr>
      <t>T</t>
    </r>
    <r>
      <rPr>
        <sz val="10"/>
        <color theme="1"/>
        <rFont val="Arial"/>
        <family val="2"/>
      </rPr>
      <t xml:space="preserve"> </t>
    </r>
  </si>
  <si>
    <r>
      <t>Seafood Product Preparation and Packaging</t>
    </r>
    <r>
      <rPr>
        <vertAlign val="superscript"/>
        <sz val="10"/>
        <color indexed="8"/>
        <rFont val="Arial"/>
        <family val="2"/>
      </rPr>
      <t>T</t>
    </r>
    <r>
      <rPr>
        <sz val="10"/>
        <color theme="1"/>
        <rFont val="Arial"/>
        <family val="2"/>
      </rPr>
      <t xml:space="preserve"> </t>
    </r>
  </si>
  <si>
    <r>
      <t>Bread and Bakery Product Manufacturing</t>
    </r>
    <r>
      <rPr>
        <vertAlign val="superscript"/>
        <sz val="10"/>
        <color indexed="8"/>
        <rFont val="Arial"/>
        <family val="2"/>
      </rPr>
      <t>T</t>
    </r>
    <r>
      <rPr>
        <sz val="10"/>
        <color theme="1"/>
        <rFont val="Arial"/>
        <family val="2"/>
      </rPr>
      <t xml:space="preserve"> </t>
    </r>
  </si>
  <si>
    <r>
      <t>Cookie, Cracker, and Pasta Manufacturing</t>
    </r>
    <r>
      <rPr>
        <vertAlign val="superscript"/>
        <sz val="10"/>
        <color indexed="8"/>
        <rFont val="Arial"/>
        <family val="2"/>
      </rPr>
      <t>T</t>
    </r>
    <r>
      <rPr>
        <sz val="10"/>
        <color theme="1"/>
        <rFont val="Arial"/>
        <family val="2"/>
      </rPr>
      <t xml:space="preserve"> </t>
    </r>
  </si>
  <si>
    <r>
      <t>Tortilla Manufacturing</t>
    </r>
    <r>
      <rPr>
        <vertAlign val="superscript"/>
        <sz val="10"/>
        <color indexed="8"/>
        <rFont val="Arial"/>
        <family val="2"/>
      </rPr>
      <t>T</t>
    </r>
    <r>
      <rPr>
        <sz val="10"/>
        <color theme="1"/>
        <rFont val="Arial"/>
        <family val="2"/>
      </rPr>
      <t xml:space="preserve"> </t>
    </r>
  </si>
  <si>
    <r>
      <t>Snack Food Manufacturing</t>
    </r>
    <r>
      <rPr>
        <vertAlign val="superscript"/>
        <sz val="10"/>
        <color indexed="8"/>
        <rFont val="Arial"/>
        <family val="2"/>
      </rPr>
      <t>T</t>
    </r>
    <r>
      <rPr>
        <sz val="10"/>
        <color theme="1"/>
        <rFont val="Arial"/>
        <family val="2"/>
      </rPr>
      <t xml:space="preserve"> </t>
    </r>
  </si>
  <si>
    <r>
      <t>Coffee and Tea Manufacturing</t>
    </r>
    <r>
      <rPr>
        <vertAlign val="superscript"/>
        <sz val="10"/>
        <color indexed="8"/>
        <rFont val="Arial"/>
        <family val="2"/>
      </rPr>
      <t>T</t>
    </r>
    <r>
      <rPr>
        <sz val="10"/>
        <color theme="1"/>
        <rFont val="Arial"/>
        <family val="2"/>
      </rPr>
      <t xml:space="preserve"> </t>
    </r>
  </si>
  <si>
    <r>
      <t>Flavoring Syrup and Concentrate Manufacturing</t>
    </r>
    <r>
      <rPr>
        <vertAlign val="superscript"/>
        <sz val="10"/>
        <color indexed="8"/>
        <rFont val="Arial"/>
        <family val="2"/>
      </rPr>
      <t>T</t>
    </r>
    <r>
      <rPr>
        <sz val="10"/>
        <color theme="1"/>
        <rFont val="Arial"/>
        <family val="2"/>
      </rPr>
      <t xml:space="preserve"> </t>
    </r>
  </si>
  <si>
    <r>
      <t>Seasoning and Dressing Manufacturing</t>
    </r>
    <r>
      <rPr>
        <vertAlign val="superscript"/>
        <sz val="10"/>
        <color indexed="8"/>
        <rFont val="Arial"/>
        <family val="2"/>
      </rPr>
      <t>T</t>
    </r>
    <r>
      <rPr>
        <sz val="10"/>
        <color theme="1"/>
        <rFont val="Arial"/>
        <family val="2"/>
      </rPr>
      <t xml:space="preserve"> </t>
    </r>
  </si>
  <si>
    <r>
      <t>All Other Food Manufacturing</t>
    </r>
    <r>
      <rPr>
        <vertAlign val="superscript"/>
        <sz val="10"/>
        <color indexed="8"/>
        <rFont val="Arial"/>
        <family val="2"/>
      </rPr>
      <t>T</t>
    </r>
    <r>
      <rPr>
        <sz val="10"/>
        <color theme="1"/>
        <rFont val="Arial"/>
        <family val="2"/>
      </rPr>
      <t xml:space="preserve"> </t>
    </r>
  </si>
  <si>
    <r>
      <t>Soft Drink and Ice Manufacturing</t>
    </r>
    <r>
      <rPr>
        <vertAlign val="superscript"/>
        <sz val="10"/>
        <color indexed="8"/>
        <rFont val="Arial"/>
        <family val="2"/>
      </rPr>
      <t>T</t>
    </r>
    <r>
      <rPr>
        <sz val="10"/>
        <color theme="1"/>
        <rFont val="Arial"/>
        <family val="2"/>
      </rPr>
      <t xml:space="preserve"> </t>
    </r>
  </si>
  <si>
    <r>
      <t>Breweries</t>
    </r>
    <r>
      <rPr>
        <vertAlign val="superscript"/>
        <sz val="10"/>
        <color indexed="8"/>
        <rFont val="Arial"/>
        <family val="2"/>
      </rPr>
      <t>T</t>
    </r>
    <r>
      <rPr>
        <sz val="10"/>
        <color theme="1"/>
        <rFont val="Arial"/>
        <family val="2"/>
      </rPr>
      <t xml:space="preserve"> </t>
    </r>
  </si>
  <si>
    <r>
      <t>Wineries</t>
    </r>
    <r>
      <rPr>
        <vertAlign val="superscript"/>
        <sz val="10"/>
        <color indexed="8"/>
        <rFont val="Arial"/>
        <family val="2"/>
      </rPr>
      <t>T</t>
    </r>
    <r>
      <rPr>
        <sz val="10"/>
        <color theme="1"/>
        <rFont val="Arial"/>
        <family val="2"/>
      </rPr>
      <t xml:space="preserve"> </t>
    </r>
  </si>
  <si>
    <r>
      <t>Distilleries</t>
    </r>
    <r>
      <rPr>
        <vertAlign val="superscript"/>
        <sz val="10"/>
        <color indexed="8"/>
        <rFont val="Arial"/>
        <family val="2"/>
      </rPr>
      <t>T</t>
    </r>
    <r>
      <rPr>
        <sz val="10"/>
        <color theme="1"/>
        <rFont val="Arial"/>
        <family val="2"/>
      </rPr>
      <t xml:space="preserve"> </t>
    </r>
  </si>
  <si>
    <r>
      <t>Fiber, Yarn, and Thread Mills</t>
    </r>
    <r>
      <rPr>
        <vertAlign val="superscript"/>
        <sz val="10"/>
        <color indexed="8"/>
        <rFont val="Arial"/>
        <family val="2"/>
      </rPr>
      <t>T</t>
    </r>
    <r>
      <rPr>
        <sz val="10"/>
        <color theme="1"/>
        <rFont val="Arial"/>
        <family val="2"/>
      </rPr>
      <t xml:space="preserve"> </t>
    </r>
  </si>
  <si>
    <r>
      <t>Broadwoven Fabric Mills</t>
    </r>
    <r>
      <rPr>
        <vertAlign val="superscript"/>
        <sz val="10"/>
        <color indexed="8"/>
        <rFont val="Arial"/>
        <family val="2"/>
      </rPr>
      <t>T</t>
    </r>
    <r>
      <rPr>
        <sz val="10"/>
        <color theme="1"/>
        <rFont val="Arial"/>
        <family val="2"/>
      </rPr>
      <t xml:space="preserve"> </t>
    </r>
  </si>
  <si>
    <r>
      <t>Narrow Fabric Mills and Schiffli Machine Embroidery</t>
    </r>
    <r>
      <rPr>
        <vertAlign val="superscript"/>
        <sz val="10"/>
        <color indexed="8"/>
        <rFont val="Arial"/>
        <family val="2"/>
      </rPr>
      <t>T</t>
    </r>
    <r>
      <rPr>
        <sz val="10"/>
        <color theme="1"/>
        <rFont val="Arial"/>
        <family val="2"/>
      </rPr>
      <t xml:space="preserve"> </t>
    </r>
  </si>
  <si>
    <r>
      <t>Nonwoven Fabric Mills</t>
    </r>
    <r>
      <rPr>
        <vertAlign val="superscript"/>
        <sz val="10"/>
        <color indexed="8"/>
        <rFont val="Arial"/>
        <family val="2"/>
      </rPr>
      <t>T</t>
    </r>
    <r>
      <rPr>
        <sz val="10"/>
        <color theme="1"/>
        <rFont val="Arial"/>
        <family val="2"/>
      </rPr>
      <t xml:space="preserve"> </t>
    </r>
  </si>
  <si>
    <r>
      <t>Knit Fabric Mills</t>
    </r>
    <r>
      <rPr>
        <vertAlign val="superscript"/>
        <sz val="10"/>
        <color indexed="8"/>
        <rFont val="Arial"/>
        <family val="2"/>
      </rPr>
      <t>T</t>
    </r>
    <r>
      <rPr>
        <sz val="10"/>
        <color theme="1"/>
        <rFont val="Arial"/>
        <family val="2"/>
      </rPr>
      <t xml:space="preserve"> </t>
    </r>
  </si>
  <si>
    <r>
      <t>Textile and Fabric Finishing and Fabric Coating Mills</t>
    </r>
    <r>
      <rPr>
        <b/>
        <vertAlign val="superscript"/>
        <sz val="10"/>
        <color indexed="8"/>
        <rFont val="Arial"/>
        <family val="2"/>
      </rPr>
      <t>T</t>
    </r>
    <r>
      <rPr>
        <b/>
        <sz val="10"/>
        <color indexed="8"/>
        <rFont val="Arial"/>
        <family val="2"/>
      </rPr>
      <t xml:space="preserve"> </t>
    </r>
  </si>
  <si>
    <r>
      <t>Fabric Coating Mills</t>
    </r>
    <r>
      <rPr>
        <vertAlign val="superscript"/>
        <sz val="10"/>
        <color indexed="8"/>
        <rFont val="Arial"/>
        <family val="2"/>
      </rPr>
      <t>T</t>
    </r>
    <r>
      <rPr>
        <sz val="10"/>
        <color theme="1"/>
        <rFont val="Arial"/>
        <family val="2"/>
      </rPr>
      <t xml:space="preserve"> </t>
    </r>
  </si>
  <si>
    <r>
      <t>Agriculture, Forestry, Fishing and Hunting</t>
    </r>
    <r>
      <rPr>
        <b/>
        <vertAlign val="superscript"/>
        <sz val="14"/>
        <color indexed="8"/>
        <rFont val="Arial"/>
        <family val="2"/>
      </rPr>
      <t>T</t>
    </r>
  </si>
  <si>
    <r>
      <t>Mining, Quarrying, and Oil and Gas Extraction</t>
    </r>
    <r>
      <rPr>
        <b/>
        <vertAlign val="superscript"/>
        <sz val="14"/>
        <color indexed="8"/>
        <rFont val="Arial"/>
        <family val="2"/>
      </rPr>
      <t>T</t>
    </r>
  </si>
  <si>
    <r>
      <t>Manufacturing</t>
    </r>
    <r>
      <rPr>
        <b/>
        <vertAlign val="superscript"/>
        <sz val="14"/>
        <color indexed="8"/>
        <rFont val="Arial"/>
        <family val="2"/>
      </rPr>
      <t>T</t>
    </r>
  </si>
  <si>
    <r>
      <t>Carpet and Rug Mills</t>
    </r>
    <r>
      <rPr>
        <vertAlign val="superscript"/>
        <sz val="10"/>
        <color indexed="8"/>
        <rFont val="Arial"/>
        <family val="2"/>
      </rPr>
      <t>T</t>
    </r>
    <r>
      <rPr>
        <sz val="10"/>
        <color theme="1"/>
        <rFont val="Arial"/>
        <family val="2"/>
      </rPr>
      <t xml:space="preserve"> </t>
    </r>
  </si>
  <si>
    <r>
      <t>Curtain and Linen Mills</t>
    </r>
    <r>
      <rPr>
        <vertAlign val="superscript"/>
        <sz val="10"/>
        <color indexed="8"/>
        <rFont val="Arial"/>
        <family val="2"/>
      </rPr>
      <t>T</t>
    </r>
    <r>
      <rPr>
        <sz val="10"/>
        <color theme="1"/>
        <rFont val="Arial"/>
        <family val="2"/>
      </rPr>
      <t xml:space="preserve"> </t>
    </r>
  </si>
  <si>
    <r>
      <t>Textile Bag and Canvas Mills</t>
    </r>
    <r>
      <rPr>
        <vertAlign val="superscript"/>
        <sz val="10"/>
        <color indexed="8"/>
        <rFont val="Arial"/>
        <family val="2"/>
      </rPr>
      <t>T</t>
    </r>
    <r>
      <rPr>
        <sz val="10"/>
        <color theme="1"/>
        <rFont val="Arial"/>
        <family val="2"/>
      </rPr>
      <t xml:space="preserve"> </t>
    </r>
  </si>
  <si>
    <r>
      <t>All Other Textile Product Mills</t>
    </r>
    <r>
      <rPr>
        <vertAlign val="superscript"/>
        <sz val="10"/>
        <color indexed="8"/>
        <rFont val="Arial"/>
        <family val="2"/>
      </rPr>
      <t>T</t>
    </r>
    <r>
      <rPr>
        <sz val="10"/>
        <color theme="1"/>
        <rFont val="Arial"/>
        <family val="2"/>
      </rPr>
      <t xml:space="preserve"> </t>
    </r>
  </si>
  <si>
    <r>
      <t>Hosiery and Sock Mills</t>
    </r>
    <r>
      <rPr>
        <vertAlign val="superscript"/>
        <sz val="10"/>
        <color indexed="8"/>
        <rFont val="Arial"/>
        <family val="2"/>
      </rPr>
      <t>T</t>
    </r>
    <r>
      <rPr>
        <sz val="10"/>
        <color theme="1"/>
        <rFont val="Arial"/>
        <family val="2"/>
      </rPr>
      <t xml:space="preserve"> </t>
    </r>
  </si>
  <si>
    <r>
      <t>Other Apparel Knitting Mills</t>
    </r>
    <r>
      <rPr>
        <vertAlign val="superscript"/>
        <sz val="10"/>
        <color indexed="8"/>
        <rFont val="Arial"/>
        <family val="2"/>
      </rPr>
      <t>T</t>
    </r>
    <r>
      <rPr>
        <sz val="10"/>
        <color theme="1"/>
        <rFont val="Arial"/>
        <family val="2"/>
      </rPr>
      <t xml:space="preserve"> </t>
    </r>
  </si>
  <si>
    <r>
      <t>Cut and Sew Apparel Manufacturing</t>
    </r>
    <r>
      <rPr>
        <b/>
        <vertAlign val="superscript"/>
        <sz val="10"/>
        <color indexed="8"/>
        <rFont val="Arial"/>
        <family val="2"/>
      </rPr>
      <t>T</t>
    </r>
    <r>
      <rPr>
        <b/>
        <sz val="10"/>
        <color indexed="8"/>
        <rFont val="Arial"/>
        <family val="2"/>
      </rPr>
      <t xml:space="preserve"> </t>
    </r>
  </si>
  <si>
    <r>
      <t>Apparel Accessories and Other Apparel Manufacturing</t>
    </r>
    <r>
      <rPr>
        <vertAlign val="superscript"/>
        <sz val="10"/>
        <color indexed="8"/>
        <rFont val="Arial"/>
        <family val="2"/>
      </rPr>
      <t>T</t>
    </r>
    <r>
      <rPr>
        <sz val="10"/>
        <color theme="1"/>
        <rFont val="Arial"/>
        <family val="2"/>
      </rPr>
      <t xml:space="preserve"> </t>
    </r>
  </si>
  <si>
    <r>
      <t>Leather and Hide Tanning and Finishing</t>
    </r>
    <r>
      <rPr>
        <vertAlign val="superscript"/>
        <sz val="10"/>
        <color indexed="8"/>
        <rFont val="Arial"/>
        <family val="2"/>
      </rPr>
      <t>T</t>
    </r>
    <r>
      <rPr>
        <sz val="10"/>
        <color theme="1"/>
        <rFont val="Arial"/>
        <family val="2"/>
      </rPr>
      <t xml:space="preserve"> </t>
    </r>
  </si>
  <si>
    <r>
      <t>Footwear Manufacturing</t>
    </r>
    <r>
      <rPr>
        <vertAlign val="superscript"/>
        <sz val="10"/>
        <color indexed="8"/>
        <rFont val="Arial"/>
        <family val="2"/>
      </rPr>
      <t>T</t>
    </r>
    <r>
      <rPr>
        <sz val="10"/>
        <color theme="1"/>
        <rFont val="Arial"/>
        <family val="2"/>
      </rPr>
      <t xml:space="preserve"> </t>
    </r>
  </si>
  <si>
    <r>
      <t>Other Leather and Allied Product Manufacturing</t>
    </r>
    <r>
      <rPr>
        <vertAlign val="superscript"/>
        <sz val="10"/>
        <color indexed="8"/>
        <rFont val="Arial"/>
        <family val="2"/>
      </rPr>
      <t>T</t>
    </r>
    <r>
      <rPr>
        <sz val="10"/>
        <color theme="1"/>
        <rFont val="Arial"/>
        <family val="2"/>
      </rPr>
      <t xml:space="preserve"> </t>
    </r>
  </si>
  <si>
    <r>
      <t>Sawmills and Wood Preservation</t>
    </r>
    <r>
      <rPr>
        <vertAlign val="superscript"/>
        <sz val="10"/>
        <color indexed="8"/>
        <rFont val="Arial"/>
        <family val="2"/>
      </rPr>
      <t>T</t>
    </r>
    <r>
      <rPr>
        <sz val="10"/>
        <color theme="1"/>
        <rFont val="Arial"/>
        <family val="2"/>
      </rPr>
      <t xml:space="preserve"> </t>
    </r>
  </si>
  <si>
    <r>
      <t>Veneer, Plywood, and Engineered Wood Product Manufacturing</t>
    </r>
    <r>
      <rPr>
        <vertAlign val="superscript"/>
        <sz val="10"/>
        <color indexed="8"/>
        <rFont val="Arial"/>
        <family val="2"/>
      </rPr>
      <t>T</t>
    </r>
    <r>
      <rPr>
        <sz val="10"/>
        <color theme="1"/>
        <rFont val="Arial"/>
        <family val="2"/>
      </rPr>
      <t xml:space="preserve"> </t>
    </r>
  </si>
  <si>
    <r>
      <t>Millwork</t>
    </r>
    <r>
      <rPr>
        <vertAlign val="superscript"/>
        <sz val="10"/>
        <color indexed="8"/>
        <rFont val="Arial"/>
        <family val="2"/>
      </rPr>
      <t>T</t>
    </r>
    <r>
      <rPr>
        <sz val="10"/>
        <color theme="1"/>
        <rFont val="Arial"/>
        <family val="2"/>
      </rPr>
      <t xml:space="preserve"> </t>
    </r>
  </si>
  <si>
    <r>
      <t>Wood Container and Pallet Manufacturing</t>
    </r>
    <r>
      <rPr>
        <vertAlign val="superscript"/>
        <sz val="10"/>
        <color indexed="8"/>
        <rFont val="Arial"/>
        <family val="2"/>
      </rPr>
      <t>T</t>
    </r>
    <r>
      <rPr>
        <sz val="10"/>
        <color theme="1"/>
        <rFont val="Arial"/>
        <family val="2"/>
      </rPr>
      <t xml:space="preserve"> </t>
    </r>
  </si>
  <si>
    <r>
      <t>All Other Wood Product Manufacturing</t>
    </r>
    <r>
      <rPr>
        <vertAlign val="superscript"/>
        <sz val="10"/>
        <color indexed="8"/>
        <rFont val="Arial"/>
        <family val="2"/>
      </rPr>
      <t>T</t>
    </r>
    <r>
      <rPr>
        <sz val="10"/>
        <color theme="1"/>
        <rFont val="Arial"/>
        <family val="2"/>
      </rPr>
      <t xml:space="preserve"> </t>
    </r>
  </si>
  <si>
    <r>
      <t>Pulp Mills</t>
    </r>
    <r>
      <rPr>
        <vertAlign val="superscript"/>
        <sz val="10"/>
        <color indexed="8"/>
        <rFont val="Arial"/>
        <family val="2"/>
      </rPr>
      <t>T</t>
    </r>
    <r>
      <rPr>
        <sz val="10"/>
        <color theme="1"/>
        <rFont val="Arial"/>
        <family val="2"/>
      </rPr>
      <t xml:space="preserve"> </t>
    </r>
  </si>
  <si>
    <r>
      <t>Paper Mills</t>
    </r>
    <r>
      <rPr>
        <vertAlign val="superscript"/>
        <sz val="10"/>
        <color indexed="8"/>
        <rFont val="Arial"/>
        <family val="2"/>
      </rPr>
      <t>T</t>
    </r>
    <r>
      <rPr>
        <sz val="10"/>
        <color theme="1"/>
        <rFont val="Arial"/>
        <family val="2"/>
      </rPr>
      <t xml:space="preserve"> </t>
    </r>
  </si>
  <si>
    <r>
      <t>Paperboard Mills</t>
    </r>
    <r>
      <rPr>
        <vertAlign val="superscript"/>
        <sz val="10"/>
        <color indexed="8"/>
        <rFont val="Arial"/>
        <family val="2"/>
      </rPr>
      <t>T</t>
    </r>
    <r>
      <rPr>
        <sz val="10"/>
        <color theme="1"/>
        <rFont val="Arial"/>
        <family val="2"/>
      </rPr>
      <t xml:space="preserve"> </t>
    </r>
  </si>
  <si>
    <r>
      <t>Paperboard Container Manufacturing</t>
    </r>
    <r>
      <rPr>
        <vertAlign val="superscript"/>
        <sz val="10"/>
        <color indexed="8"/>
        <rFont val="Arial"/>
        <family val="2"/>
      </rPr>
      <t>T</t>
    </r>
    <r>
      <rPr>
        <sz val="10"/>
        <color theme="1"/>
        <rFont val="Arial"/>
        <family val="2"/>
      </rPr>
      <t xml:space="preserve"> </t>
    </r>
  </si>
  <si>
    <r>
      <t>Paper Bag and Coated and Treated Paper Manufacturing</t>
    </r>
    <r>
      <rPr>
        <vertAlign val="superscript"/>
        <sz val="10"/>
        <color indexed="8"/>
        <rFont val="Arial"/>
        <family val="2"/>
      </rPr>
      <t>T</t>
    </r>
    <r>
      <rPr>
        <sz val="10"/>
        <color theme="1"/>
        <rFont val="Arial"/>
        <family val="2"/>
      </rPr>
      <t xml:space="preserve"> </t>
    </r>
  </si>
  <si>
    <r>
      <t>Stationery Product Manufacturing</t>
    </r>
    <r>
      <rPr>
        <vertAlign val="superscript"/>
        <sz val="10"/>
        <color indexed="8"/>
        <rFont val="Arial"/>
        <family val="2"/>
      </rPr>
      <t>T</t>
    </r>
    <r>
      <rPr>
        <sz val="10"/>
        <color theme="1"/>
        <rFont val="Arial"/>
        <family val="2"/>
      </rPr>
      <t xml:space="preserve"> </t>
    </r>
  </si>
  <si>
    <r>
      <t>Other Converted Paper Product Manufacturing</t>
    </r>
    <r>
      <rPr>
        <vertAlign val="superscript"/>
        <sz val="10"/>
        <color indexed="8"/>
        <rFont val="Arial"/>
        <family val="2"/>
      </rPr>
      <t>T</t>
    </r>
    <r>
      <rPr>
        <sz val="10"/>
        <color theme="1"/>
        <rFont val="Arial"/>
        <family val="2"/>
      </rPr>
      <t xml:space="preserve"> </t>
    </r>
  </si>
  <si>
    <r>
      <t>Printing</t>
    </r>
    <r>
      <rPr>
        <vertAlign val="superscript"/>
        <sz val="10"/>
        <color indexed="8"/>
        <rFont val="Arial"/>
        <family val="2"/>
      </rPr>
      <t>T</t>
    </r>
    <r>
      <rPr>
        <sz val="10"/>
        <color theme="1"/>
        <rFont val="Arial"/>
        <family val="2"/>
      </rPr>
      <t xml:space="preserve"> </t>
    </r>
  </si>
  <si>
    <r>
      <t>Support Activities for Printing</t>
    </r>
    <r>
      <rPr>
        <vertAlign val="superscript"/>
        <sz val="10"/>
        <color indexed="8"/>
        <rFont val="Arial"/>
        <family val="2"/>
      </rPr>
      <t>T</t>
    </r>
    <r>
      <rPr>
        <sz val="10"/>
        <color theme="1"/>
        <rFont val="Arial"/>
        <family val="2"/>
      </rPr>
      <t xml:space="preserve"> </t>
    </r>
  </si>
  <si>
    <r>
      <t>Petroleum Refineries</t>
    </r>
    <r>
      <rPr>
        <vertAlign val="superscript"/>
        <sz val="10"/>
        <color indexed="8"/>
        <rFont val="Arial"/>
        <family val="2"/>
      </rPr>
      <t>T</t>
    </r>
    <r>
      <rPr>
        <sz val="10"/>
        <color theme="1"/>
        <rFont val="Arial"/>
        <family val="2"/>
      </rPr>
      <t xml:space="preserve"> </t>
    </r>
  </si>
  <si>
    <r>
      <t>Asphalt Paving, Roofing, and Saturated Materials Manufacturing</t>
    </r>
    <r>
      <rPr>
        <vertAlign val="superscript"/>
        <sz val="10"/>
        <color indexed="8"/>
        <rFont val="Arial"/>
        <family val="2"/>
      </rPr>
      <t>T</t>
    </r>
    <r>
      <rPr>
        <sz val="10"/>
        <color theme="1"/>
        <rFont val="Arial"/>
        <family val="2"/>
      </rPr>
      <t xml:space="preserve"> </t>
    </r>
  </si>
  <si>
    <r>
      <t>Other Petroleum and Coal Products Manufacturing</t>
    </r>
    <r>
      <rPr>
        <vertAlign val="superscript"/>
        <sz val="10"/>
        <color indexed="8"/>
        <rFont val="Arial"/>
        <family val="2"/>
      </rPr>
      <t>T</t>
    </r>
    <r>
      <rPr>
        <sz val="10"/>
        <color theme="1"/>
        <rFont val="Arial"/>
        <family val="2"/>
      </rPr>
      <t xml:space="preserve"> </t>
    </r>
  </si>
  <si>
    <r>
      <t>Petrochemical Manufacturing</t>
    </r>
    <r>
      <rPr>
        <vertAlign val="superscript"/>
        <sz val="10"/>
        <color indexed="8"/>
        <rFont val="Arial"/>
        <family val="2"/>
      </rPr>
      <t>T</t>
    </r>
    <r>
      <rPr>
        <sz val="10"/>
        <color theme="1"/>
        <rFont val="Arial"/>
        <family val="2"/>
      </rPr>
      <t xml:space="preserve"> </t>
    </r>
  </si>
  <si>
    <r>
      <t>Industrial Gas Manufacturing</t>
    </r>
    <r>
      <rPr>
        <vertAlign val="superscript"/>
        <sz val="10"/>
        <color indexed="8"/>
        <rFont val="Arial"/>
        <family val="2"/>
      </rPr>
      <t>T</t>
    </r>
    <r>
      <rPr>
        <sz val="10"/>
        <color theme="1"/>
        <rFont val="Arial"/>
        <family val="2"/>
      </rPr>
      <t xml:space="preserve"> </t>
    </r>
  </si>
  <si>
    <r>
      <t>Synthetic Dye and Pigment Manufacturing</t>
    </r>
    <r>
      <rPr>
        <vertAlign val="superscript"/>
        <sz val="10"/>
        <color indexed="8"/>
        <rFont val="Arial"/>
        <family val="2"/>
      </rPr>
      <t>T</t>
    </r>
    <r>
      <rPr>
        <sz val="10"/>
        <color theme="1"/>
        <rFont val="Arial"/>
        <family val="2"/>
      </rPr>
      <t xml:space="preserve"> </t>
    </r>
  </si>
  <si>
    <r>
      <t>Other Basic Inorganic Chemical Manufacturing</t>
    </r>
    <r>
      <rPr>
        <vertAlign val="superscript"/>
        <sz val="10"/>
        <color indexed="8"/>
        <rFont val="Arial"/>
        <family val="2"/>
      </rPr>
      <t>T</t>
    </r>
    <r>
      <rPr>
        <sz val="10"/>
        <color theme="1"/>
        <rFont val="Arial"/>
        <family val="2"/>
      </rPr>
      <t xml:space="preserve"> </t>
    </r>
  </si>
  <si>
    <r>
      <t>Other Basic Organic Chemical Manufacturing</t>
    </r>
    <r>
      <rPr>
        <vertAlign val="superscript"/>
        <sz val="10"/>
        <color indexed="8"/>
        <rFont val="Arial"/>
        <family val="2"/>
      </rPr>
      <t>T</t>
    </r>
    <r>
      <rPr>
        <sz val="10"/>
        <color theme="1"/>
        <rFont val="Arial"/>
        <family val="2"/>
      </rPr>
      <t xml:space="preserve"> </t>
    </r>
  </si>
  <si>
    <r>
      <t>Resin and Synthetic Rubber Manufacturing</t>
    </r>
    <r>
      <rPr>
        <vertAlign val="superscript"/>
        <sz val="10"/>
        <color indexed="8"/>
        <rFont val="Arial"/>
        <family val="2"/>
      </rPr>
      <t>T</t>
    </r>
    <r>
      <rPr>
        <sz val="10"/>
        <color theme="1"/>
        <rFont val="Arial"/>
        <family val="2"/>
      </rPr>
      <t xml:space="preserve"> </t>
    </r>
  </si>
  <si>
    <r>
      <t>Artificial and Synthetic Fibers and Filaments Manufacturing</t>
    </r>
    <r>
      <rPr>
        <vertAlign val="superscript"/>
        <sz val="10"/>
        <color indexed="8"/>
        <rFont val="Arial"/>
        <family val="2"/>
      </rPr>
      <t>T</t>
    </r>
    <r>
      <rPr>
        <sz val="10"/>
        <color theme="1"/>
        <rFont val="Arial"/>
        <family val="2"/>
      </rPr>
      <t xml:space="preserve"> </t>
    </r>
  </si>
  <si>
    <r>
      <t>Fertilizer Manufacturing</t>
    </r>
    <r>
      <rPr>
        <vertAlign val="superscript"/>
        <sz val="10"/>
        <color indexed="8"/>
        <rFont val="Arial"/>
        <family val="2"/>
      </rPr>
      <t>T</t>
    </r>
    <r>
      <rPr>
        <sz val="10"/>
        <color theme="1"/>
        <rFont val="Arial"/>
        <family val="2"/>
      </rPr>
      <t xml:space="preserve"> </t>
    </r>
  </si>
  <si>
    <r>
      <t>Pesticide and Other Agricultural Chemical Manufacturing</t>
    </r>
    <r>
      <rPr>
        <vertAlign val="superscript"/>
        <sz val="10"/>
        <color indexed="8"/>
        <rFont val="Arial"/>
        <family val="2"/>
      </rPr>
      <t>T</t>
    </r>
    <r>
      <rPr>
        <sz val="10"/>
        <color theme="1"/>
        <rFont val="Arial"/>
        <family val="2"/>
      </rPr>
      <t xml:space="preserve"> </t>
    </r>
  </si>
  <si>
    <r>
      <t>Pharmaceutical and Medicine Manufacturing</t>
    </r>
    <r>
      <rPr>
        <vertAlign val="superscript"/>
        <sz val="10"/>
        <color indexed="8"/>
        <rFont val="Arial"/>
        <family val="2"/>
      </rPr>
      <t>T</t>
    </r>
    <r>
      <rPr>
        <sz val="10"/>
        <color theme="1"/>
        <rFont val="Arial"/>
        <family val="2"/>
      </rPr>
      <t xml:space="preserve"> </t>
    </r>
  </si>
  <si>
    <r>
      <t>Paint and Coating Manufacturing</t>
    </r>
    <r>
      <rPr>
        <vertAlign val="superscript"/>
        <sz val="10"/>
        <color indexed="8"/>
        <rFont val="Arial"/>
        <family val="2"/>
      </rPr>
      <t>T</t>
    </r>
    <r>
      <rPr>
        <sz val="10"/>
        <color theme="1"/>
        <rFont val="Arial"/>
        <family val="2"/>
      </rPr>
      <t xml:space="preserve"> </t>
    </r>
  </si>
  <si>
    <r>
      <t>Adhesive Manufacturing</t>
    </r>
    <r>
      <rPr>
        <vertAlign val="superscript"/>
        <sz val="10"/>
        <color indexed="8"/>
        <rFont val="Arial"/>
        <family val="2"/>
      </rPr>
      <t>T</t>
    </r>
    <r>
      <rPr>
        <sz val="10"/>
        <color theme="1"/>
        <rFont val="Arial"/>
        <family val="2"/>
      </rPr>
      <t xml:space="preserve"> </t>
    </r>
  </si>
  <si>
    <r>
      <t>Soap and Cleaning Compound Manufacturing</t>
    </r>
    <r>
      <rPr>
        <vertAlign val="superscript"/>
        <sz val="10"/>
        <color indexed="8"/>
        <rFont val="Arial"/>
        <family val="2"/>
      </rPr>
      <t>T</t>
    </r>
    <r>
      <rPr>
        <sz val="10"/>
        <color theme="1"/>
        <rFont val="Arial"/>
        <family val="2"/>
      </rPr>
      <t xml:space="preserve"> </t>
    </r>
  </si>
  <si>
    <r>
      <t>Toilet Preparation Manufacturing</t>
    </r>
    <r>
      <rPr>
        <vertAlign val="superscript"/>
        <sz val="10"/>
        <color indexed="8"/>
        <rFont val="Arial"/>
        <family val="2"/>
      </rPr>
      <t>T</t>
    </r>
    <r>
      <rPr>
        <sz val="10"/>
        <color theme="1"/>
        <rFont val="Arial"/>
        <family val="2"/>
      </rPr>
      <t xml:space="preserve"> </t>
    </r>
  </si>
  <si>
    <r>
      <t>Printing Ink Manufacturing</t>
    </r>
    <r>
      <rPr>
        <vertAlign val="superscript"/>
        <sz val="10"/>
        <color indexed="8"/>
        <rFont val="Arial"/>
        <family val="2"/>
      </rPr>
      <t>T</t>
    </r>
    <r>
      <rPr>
        <sz val="10"/>
        <color theme="1"/>
        <rFont val="Arial"/>
        <family val="2"/>
      </rPr>
      <t xml:space="preserve"> </t>
    </r>
  </si>
  <si>
    <r>
      <t>Explosives Manufacturing</t>
    </r>
    <r>
      <rPr>
        <vertAlign val="superscript"/>
        <sz val="10"/>
        <color indexed="8"/>
        <rFont val="Arial"/>
        <family val="2"/>
      </rPr>
      <t>T</t>
    </r>
    <r>
      <rPr>
        <sz val="10"/>
        <color theme="1"/>
        <rFont val="Arial"/>
        <family val="2"/>
      </rPr>
      <t xml:space="preserve"> </t>
    </r>
  </si>
  <si>
    <r>
      <t>All Other Chemical Product and Preparation Manufacturing</t>
    </r>
    <r>
      <rPr>
        <vertAlign val="superscript"/>
        <sz val="10"/>
        <color indexed="8"/>
        <rFont val="Arial"/>
        <family val="2"/>
      </rPr>
      <t>T</t>
    </r>
    <r>
      <rPr>
        <sz val="10"/>
        <color theme="1"/>
        <rFont val="Arial"/>
        <family val="2"/>
      </rPr>
      <t xml:space="preserve"> </t>
    </r>
  </si>
  <si>
    <r>
      <t>Plastics Packaging Materials and Unlaminated Film and Sheet Manufacturing</t>
    </r>
    <r>
      <rPr>
        <vertAlign val="superscript"/>
        <sz val="10"/>
        <color indexed="8"/>
        <rFont val="Arial"/>
        <family val="2"/>
      </rPr>
      <t>T</t>
    </r>
    <r>
      <rPr>
        <sz val="10"/>
        <color theme="1"/>
        <rFont val="Arial"/>
        <family val="2"/>
      </rPr>
      <t xml:space="preserve"> </t>
    </r>
  </si>
  <si>
    <r>
      <t>Plastics Pipe, Pipe Fitting, and Unlaminated Profile Shape Manufacturing</t>
    </r>
    <r>
      <rPr>
        <vertAlign val="superscript"/>
        <sz val="10"/>
        <color indexed="8"/>
        <rFont val="Arial"/>
        <family val="2"/>
      </rPr>
      <t>T</t>
    </r>
    <r>
      <rPr>
        <sz val="10"/>
        <color theme="1"/>
        <rFont val="Arial"/>
        <family val="2"/>
      </rPr>
      <t xml:space="preserve"> </t>
    </r>
  </si>
  <si>
    <r>
      <t>Laminated Plastics Plate, Sheet (except Packaging), and Shape Manufacturing</t>
    </r>
    <r>
      <rPr>
        <vertAlign val="superscript"/>
        <sz val="10"/>
        <color indexed="8"/>
        <rFont val="Arial"/>
        <family val="2"/>
      </rPr>
      <t>T</t>
    </r>
    <r>
      <rPr>
        <sz val="10"/>
        <color theme="1"/>
        <rFont val="Arial"/>
        <family val="2"/>
      </rPr>
      <t xml:space="preserve"> </t>
    </r>
  </si>
  <si>
    <r>
      <t>Polystyrene Foam Product Manufacturing</t>
    </r>
    <r>
      <rPr>
        <vertAlign val="superscript"/>
        <sz val="10"/>
        <color indexed="8"/>
        <rFont val="Arial"/>
        <family val="2"/>
      </rPr>
      <t>T</t>
    </r>
    <r>
      <rPr>
        <sz val="10"/>
        <color theme="1"/>
        <rFont val="Arial"/>
        <family val="2"/>
      </rPr>
      <t xml:space="preserve"> </t>
    </r>
  </si>
  <si>
    <r>
      <t>Urethane and Other Foam Product (except Polystyrene) Manufacturing</t>
    </r>
    <r>
      <rPr>
        <vertAlign val="superscript"/>
        <sz val="10"/>
        <color indexed="8"/>
        <rFont val="Arial"/>
        <family val="2"/>
      </rPr>
      <t>T</t>
    </r>
    <r>
      <rPr>
        <sz val="10"/>
        <color theme="1"/>
        <rFont val="Arial"/>
        <family val="2"/>
      </rPr>
      <t xml:space="preserve"> </t>
    </r>
  </si>
  <si>
    <r>
      <t>Plastics Bottle Manufacturing</t>
    </r>
    <r>
      <rPr>
        <vertAlign val="superscript"/>
        <sz val="10"/>
        <color indexed="8"/>
        <rFont val="Arial"/>
        <family val="2"/>
      </rPr>
      <t>T</t>
    </r>
    <r>
      <rPr>
        <sz val="10"/>
        <color theme="1"/>
        <rFont val="Arial"/>
        <family val="2"/>
      </rPr>
      <t xml:space="preserve"> </t>
    </r>
  </si>
  <si>
    <r>
      <t>Other Plastics Product Manufacturing</t>
    </r>
    <r>
      <rPr>
        <vertAlign val="superscript"/>
        <sz val="10"/>
        <color indexed="8"/>
        <rFont val="Arial"/>
        <family val="2"/>
      </rPr>
      <t>T</t>
    </r>
    <r>
      <rPr>
        <sz val="10"/>
        <color theme="1"/>
        <rFont val="Arial"/>
        <family val="2"/>
      </rPr>
      <t xml:space="preserve"> </t>
    </r>
  </si>
  <si>
    <r>
      <t>Tire Manufacturing</t>
    </r>
    <r>
      <rPr>
        <vertAlign val="superscript"/>
        <sz val="10"/>
        <color indexed="8"/>
        <rFont val="Arial"/>
        <family val="2"/>
      </rPr>
      <t>T</t>
    </r>
    <r>
      <rPr>
        <sz val="10"/>
        <color theme="1"/>
        <rFont val="Arial"/>
        <family val="2"/>
      </rPr>
      <t xml:space="preserve"> </t>
    </r>
  </si>
  <si>
    <r>
      <t>Rubber and Plastics Hoses and Belting Manufacturing</t>
    </r>
    <r>
      <rPr>
        <vertAlign val="superscript"/>
        <sz val="10"/>
        <color indexed="8"/>
        <rFont val="Arial"/>
        <family val="2"/>
      </rPr>
      <t>T</t>
    </r>
    <r>
      <rPr>
        <sz val="10"/>
        <color theme="1"/>
        <rFont val="Arial"/>
        <family val="2"/>
      </rPr>
      <t xml:space="preserve"> </t>
    </r>
  </si>
  <si>
    <r>
      <t>Other Rubber Product Manufacturing</t>
    </r>
    <r>
      <rPr>
        <vertAlign val="superscript"/>
        <sz val="10"/>
        <color indexed="8"/>
        <rFont val="Arial"/>
        <family val="2"/>
      </rPr>
      <t>T</t>
    </r>
    <r>
      <rPr>
        <sz val="10"/>
        <color theme="1"/>
        <rFont val="Arial"/>
        <family val="2"/>
      </rPr>
      <t xml:space="preserve"> </t>
    </r>
  </si>
  <si>
    <r>
      <t>Pottery, Ceramics, and Plumbing Fixture Manufacturing</t>
    </r>
    <r>
      <rPr>
        <vertAlign val="superscript"/>
        <sz val="10"/>
        <color indexed="8"/>
        <rFont val="Arial"/>
        <family val="2"/>
      </rPr>
      <t>T</t>
    </r>
    <r>
      <rPr>
        <sz val="10"/>
        <color theme="1"/>
        <rFont val="Arial"/>
        <family val="2"/>
      </rPr>
      <t xml:space="preserve"> </t>
    </r>
  </si>
  <si>
    <r>
      <t>Clay Building Material and Refractories Manufacturing</t>
    </r>
    <r>
      <rPr>
        <vertAlign val="superscript"/>
        <sz val="10"/>
        <color indexed="8"/>
        <rFont val="Arial"/>
        <family val="2"/>
      </rPr>
      <t>T</t>
    </r>
    <r>
      <rPr>
        <sz val="10"/>
        <color theme="1"/>
        <rFont val="Arial"/>
        <family val="2"/>
      </rPr>
      <t xml:space="preserve"> </t>
    </r>
  </si>
  <si>
    <r>
      <t>Cement Manufacturing</t>
    </r>
    <r>
      <rPr>
        <vertAlign val="superscript"/>
        <sz val="10"/>
        <color indexed="8"/>
        <rFont val="Arial"/>
        <family val="2"/>
      </rPr>
      <t>T</t>
    </r>
    <r>
      <rPr>
        <sz val="10"/>
        <color theme="1"/>
        <rFont val="Arial"/>
        <family val="2"/>
      </rPr>
      <t xml:space="preserve"> </t>
    </r>
  </si>
  <si>
    <r>
      <t>Ready-Mix Concrete Manufacturing</t>
    </r>
    <r>
      <rPr>
        <vertAlign val="superscript"/>
        <sz val="10"/>
        <color indexed="8"/>
        <rFont val="Arial"/>
        <family val="2"/>
      </rPr>
      <t>T</t>
    </r>
    <r>
      <rPr>
        <sz val="10"/>
        <color theme="1"/>
        <rFont val="Arial"/>
        <family val="2"/>
      </rPr>
      <t xml:space="preserve"> </t>
    </r>
  </si>
  <si>
    <r>
      <t>Concrete Pipe, Brick, and Block Manufacturing</t>
    </r>
    <r>
      <rPr>
        <vertAlign val="superscript"/>
        <sz val="10"/>
        <color indexed="8"/>
        <rFont val="Arial"/>
        <family val="2"/>
      </rPr>
      <t>T</t>
    </r>
    <r>
      <rPr>
        <sz val="10"/>
        <color theme="1"/>
        <rFont val="Arial"/>
        <family val="2"/>
      </rPr>
      <t xml:space="preserve"> </t>
    </r>
  </si>
  <si>
    <r>
      <t>Other Concrete Product Manufacturing</t>
    </r>
    <r>
      <rPr>
        <vertAlign val="superscript"/>
        <sz val="10"/>
        <color indexed="8"/>
        <rFont val="Arial"/>
        <family val="2"/>
      </rPr>
      <t>T</t>
    </r>
    <r>
      <rPr>
        <sz val="10"/>
        <color theme="1"/>
        <rFont val="Arial"/>
        <family val="2"/>
      </rPr>
      <t xml:space="preserve"> </t>
    </r>
  </si>
  <si>
    <r>
      <t>Lime Manufacturing</t>
    </r>
    <r>
      <rPr>
        <vertAlign val="superscript"/>
        <sz val="10"/>
        <color indexed="8"/>
        <rFont val="Arial"/>
        <family val="2"/>
      </rPr>
      <t>T</t>
    </r>
    <r>
      <rPr>
        <sz val="10"/>
        <color theme="1"/>
        <rFont val="Arial"/>
        <family val="2"/>
      </rPr>
      <t xml:space="preserve"> </t>
    </r>
  </si>
  <si>
    <r>
      <t>Gypsum Product Manufacturing</t>
    </r>
    <r>
      <rPr>
        <vertAlign val="superscript"/>
        <sz val="10"/>
        <color indexed="8"/>
        <rFont val="Arial"/>
        <family val="2"/>
      </rPr>
      <t>T</t>
    </r>
    <r>
      <rPr>
        <sz val="10"/>
        <color theme="1"/>
        <rFont val="Arial"/>
        <family val="2"/>
      </rPr>
      <t xml:space="preserve"> </t>
    </r>
  </si>
  <si>
    <r>
      <t>Abrasive Product Manufacturing</t>
    </r>
    <r>
      <rPr>
        <vertAlign val="superscript"/>
        <sz val="10"/>
        <color indexed="8"/>
        <rFont val="Arial"/>
        <family val="2"/>
      </rPr>
      <t>T</t>
    </r>
    <r>
      <rPr>
        <sz val="10"/>
        <color theme="1"/>
        <rFont val="Arial"/>
        <family val="2"/>
      </rPr>
      <t xml:space="preserve"> </t>
    </r>
  </si>
  <si>
    <r>
      <t>All Other Nonmetallic Mineral Product Manufacturing</t>
    </r>
    <r>
      <rPr>
        <vertAlign val="superscript"/>
        <sz val="10"/>
        <color indexed="8"/>
        <rFont val="Arial"/>
        <family val="2"/>
      </rPr>
      <t>T</t>
    </r>
    <r>
      <rPr>
        <sz val="10"/>
        <color theme="1"/>
        <rFont val="Arial"/>
        <family val="2"/>
      </rPr>
      <t xml:space="preserve"> </t>
    </r>
  </si>
  <si>
    <r>
      <t>Iron and Steel Mills and Ferroalloy Manufacturing</t>
    </r>
    <r>
      <rPr>
        <vertAlign val="superscript"/>
        <sz val="10"/>
        <color indexed="8"/>
        <rFont val="Arial"/>
        <family val="2"/>
      </rPr>
      <t>T</t>
    </r>
    <r>
      <rPr>
        <sz val="10"/>
        <color theme="1"/>
        <rFont val="Arial"/>
        <family val="2"/>
      </rPr>
      <t xml:space="preserve"> </t>
    </r>
  </si>
  <si>
    <r>
      <t>Iron and Steel Pipe and Tube Manufacturing from Purchased Steel</t>
    </r>
    <r>
      <rPr>
        <vertAlign val="superscript"/>
        <sz val="10"/>
        <color indexed="8"/>
        <rFont val="Arial"/>
        <family val="2"/>
      </rPr>
      <t>T</t>
    </r>
    <r>
      <rPr>
        <sz val="10"/>
        <color theme="1"/>
        <rFont val="Arial"/>
        <family val="2"/>
      </rPr>
      <t xml:space="preserve"> </t>
    </r>
  </si>
  <si>
    <r>
      <t>Rolling and Drawing of Purchased Steel</t>
    </r>
    <r>
      <rPr>
        <vertAlign val="superscript"/>
        <sz val="10"/>
        <color indexed="8"/>
        <rFont val="Arial"/>
        <family val="2"/>
      </rPr>
      <t>T</t>
    </r>
    <r>
      <rPr>
        <sz val="10"/>
        <color theme="1"/>
        <rFont val="Arial"/>
        <family val="2"/>
      </rPr>
      <t xml:space="preserve"> </t>
    </r>
  </si>
  <si>
    <r>
      <t>Alumina and Aluminum Production and Processing</t>
    </r>
    <r>
      <rPr>
        <vertAlign val="superscript"/>
        <sz val="10"/>
        <color indexed="8"/>
        <rFont val="Arial"/>
        <family val="2"/>
      </rPr>
      <t>T</t>
    </r>
    <r>
      <rPr>
        <sz val="10"/>
        <color theme="1"/>
        <rFont val="Arial"/>
        <family val="2"/>
      </rPr>
      <t xml:space="preserve"> </t>
    </r>
  </si>
  <si>
    <r>
      <t>Nonferrous Metal (except Aluminum) Smelting and Refining</t>
    </r>
    <r>
      <rPr>
        <vertAlign val="superscript"/>
        <sz val="10"/>
        <color indexed="8"/>
        <rFont val="Arial"/>
        <family val="2"/>
      </rPr>
      <t>T</t>
    </r>
    <r>
      <rPr>
        <sz val="10"/>
        <color theme="1"/>
        <rFont val="Arial"/>
        <family val="2"/>
      </rPr>
      <t xml:space="preserve"> </t>
    </r>
  </si>
  <si>
    <r>
      <t>Copper Rolling, Drawing, Extruding, and Alloying</t>
    </r>
    <r>
      <rPr>
        <vertAlign val="superscript"/>
        <sz val="10"/>
        <color indexed="8"/>
        <rFont val="Arial"/>
        <family val="2"/>
      </rPr>
      <t>T</t>
    </r>
    <r>
      <rPr>
        <sz val="10"/>
        <color theme="1"/>
        <rFont val="Arial"/>
        <family val="2"/>
      </rPr>
      <t xml:space="preserve"> </t>
    </r>
  </si>
  <si>
    <r>
      <t>Nonferrous Metal (except Copper and Aluminum) Rolling, Drawing, Extruding, and Alloying</t>
    </r>
    <r>
      <rPr>
        <vertAlign val="superscript"/>
        <sz val="10"/>
        <color indexed="8"/>
        <rFont val="Arial"/>
        <family val="2"/>
      </rPr>
      <t>T</t>
    </r>
    <r>
      <rPr>
        <sz val="10"/>
        <color theme="1"/>
        <rFont val="Arial"/>
        <family val="2"/>
      </rPr>
      <t xml:space="preserve"> </t>
    </r>
  </si>
  <si>
    <r>
      <t>Ferrous Metal Foundries</t>
    </r>
    <r>
      <rPr>
        <vertAlign val="superscript"/>
        <sz val="10"/>
        <color indexed="8"/>
        <rFont val="Arial"/>
        <family val="2"/>
      </rPr>
      <t>T</t>
    </r>
    <r>
      <rPr>
        <sz val="10"/>
        <color theme="1"/>
        <rFont val="Arial"/>
        <family val="2"/>
      </rPr>
      <t xml:space="preserve"> </t>
    </r>
  </si>
  <si>
    <r>
      <t>Nonferrous Metal Foundries</t>
    </r>
    <r>
      <rPr>
        <vertAlign val="superscript"/>
        <sz val="10"/>
        <color indexed="8"/>
        <rFont val="Arial"/>
        <family val="2"/>
      </rPr>
      <t>T</t>
    </r>
    <r>
      <rPr>
        <sz val="10"/>
        <color theme="1"/>
        <rFont val="Arial"/>
        <family val="2"/>
      </rPr>
      <t xml:space="preserve"> </t>
    </r>
  </si>
  <si>
    <r>
      <t>Forging and Stamping</t>
    </r>
    <r>
      <rPr>
        <vertAlign val="superscript"/>
        <sz val="10"/>
        <color indexed="8"/>
        <rFont val="Arial"/>
        <family val="2"/>
      </rPr>
      <t>T</t>
    </r>
    <r>
      <rPr>
        <sz val="10"/>
        <color theme="1"/>
        <rFont val="Arial"/>
        <family val="2"/>
      </rPr>
      <t xml:space="preserve"> </t>
    </r>
  </si>
  <si>
    <r>
      <t>Cutlery and Handtool Manufacturing</t>
    </r>
    <r>
      <rPr>
        <vertAlign val="superscript"/>
        <sz val="10"/>
        <color indexed="8"/>
        <rFont val="Arial"/>
        <family val="2"/>
      </rPr>
      <t>T</t>
    </r>
    <r>
      <rPr>
        <sz val="10"/>
        <color theme="1"/>
        <rFont val="Arial"/>
        <family val="2"/>
      </rPr>
      <t xml:space="preserve"> </t>
    </r>
  </si>
  <si>
    <r>
      <t>Plate Work and Fabricated Structural Product Manufacturing</t>
    </r>
    <r>
      <rPr>
        <vertAlign val="superscript"/>
        <sz val="10"/>
        <color indexed="8"/>
        <rFont val="Arial"/>
        <family val="2"/>
      </rPr>
      <t>T</t>
    </r>
    <r>
      <rPr>
        <sz val="10"/>
        <color theme="1"/>
        <rFont val="Arial"/>
        <family val="2"/>
      </rPr>
      <t xml:space="preserve"> </t>
    </r>
  </si>
  <si>
    <r>
      <t>Ornamental and Architectural Metal Products Manufacturing</t>
    </r>
    <r>
      <rPr>
        <vertAlign val="superscript"/>
        <sz val="10"/>
        <color indexed="8"/>
        <rFont val="Arial"/>
        <family val="2"/>
      </rPr>
      <t>T</t>
    </r>
    <r>
      <rPr>
        <sz val="10"/>
        <color theme="1"/>
        <rFont val="Arial"/>
        <family val="2"/>
      </rPr>
      <t xml:space="preserve"> </t>
    </r>
  </si>
  <si>
    <r>
      <t>Power Boiler and Heat Exchanger Manufacturing</t>
    </r>
    <r>
      <rPr>
        <vertAlign val="superscript"/>
        <sz val="10"/>
        <color indexed="8"/>
        <rFont val="Arial"/>
        <family val="2"/>
      </rPr>
      <t>T</t>
    </r>
    <r>
      <rPr>
        <sz val="10"/>
        <color theme="1"/>
        <rFont val="Arial"/>
        <family val="2"/>
      </rPr>
      <t xml:space="preserve"> </t>
    </r>
  </si>
  <si>
    <r>
      <t>Metal Tank (Heavy Gauge) Manufacturing</t>
    </r>
    <r>
      <rPr>
        <vertAlign val="superscript"/>
        <sz val="10"/>
        <color indexed="8"/>
        <rFont val="Arial"/>
        <family val="2"/>
      </rPr>
      <t>T</t>
    </r>
    <r>
      <rPr>
        <sz val="10"/>
        <color theme="1"/>
        <rFont val="Arial"/>
        <family val="2"/>
      </rPr>
      <t xml:space="preserve"> </t>
    </r>
  </si>
  <si>
    <r>
      <t>Metal Can, Box, and Other Metal Container (Light Gauge) Manufacturing</t>
    </r>
    <r>
      <rPr>
        <vertAlign val="superscript"/>
        <sz val="10"/>
        <color indexed="8"/>
        <rFont val="Arial"/>
        <family val="2"/>
      </rPr>
      <t>T</t>
    </r>
    <r>
      <rPr>
        <sz val="10"/>
        <color theme="1"/>
        <rFont val="Arial"/>
        <family val="2"/>
      </rPr>
      <t xml:space="preserve"> </t>
    </r>
  </si>
  <si>
    <r>
      <t>Hardware Manufacturing</t>
    </r>
    <r>
      <rPr>
        <vertAlign val="superscript"/>
        <sz val="10"/>
        <color indexed="8"/>
        <rFont val="Arial"/>
        <family val="2"/>
      </rPr>
      <t>T</t>
    </r>
    <r>
      <rPr>
        <sz val="10"/>
        <color theme="1"/>
        <rFont val="Arial"/>
        <family val="2"/>
      </rPr>
      <t xml:space="preserve"> </t>
    </r>
  </si>
  <si>
    <r>
      <t>Spring and Wire Product Manufacturing</t>
    </r>
    <r>
      <rPr>
        <vertAlign val="superscript"/>
        <sz val="10"/>
        <color indexed="8"/>
        <rFont val="Arial"/>
        <family val="2"/>
      </rPr>
      <t>T</t>
    </r>
    <r>
      <rPr>
        <sz val="10"/>
        <color theme="1"/>
        <rFont val="Arial"/>
        <family val="2"/>
      </rPr>
      <t xml:space="preserve"> </t>
    </r>
  </si>
  <si>
    <r>
      <t>Machine Shops</t>
    </r>
    <r>
      <rPr>
        <vertAlign val="superscript"/>
        <sz val="10"/>
        <color indexed="8"/>
        <rFont val="Arial"/>
        <family val="2"/>
      </rPr>
      <t>T</t>
    </r>
    <r>
      <rPr>
        <sz val="10"/>
        <color theme="1"/>
        <rFont val="Arial"/>
        <family val="2"/>
      </rPr>
      <t xml:space="preserve"> </t>
    </r>
  </si>
  <si>
    <r>
      <t>Turned Product and Screw, Nut, and Bolt Manufacturing</t>
    </r>
    <r>
      <rPr>
        <vertAlign val="superscript"/>
        <sz val="10"/>
        <color indexed="8"/>
        <rFont val="Arial"/>
        <family val="2"/>
      </rPr>
      <t>T</t>
    </r>
    <r>
      <rPr>
        <sz val="10"/>
        <color theme="1"/>
        <rFont val="Arial"/>
        <family val="2"/>
      </rPr>
      <t xml:space="preserve"> </t>
    </r>
  </si>
  <si>
    <r>
      <t>Coating, Engraving, Heat Treating, and Allied Activities</t>
    </r>
    <r>
      <rPr>
        <vertAlign val="superscript"/>
        <sz val="10"/>
        <color indexed="8"/>
        <rFont val="Arial"/>
        <family val="2"/>
      </rPr>
      <t>T</t>
    </r>
    <r>
      <rPr>
        <sz val="10"/>
        <color theme="1"/>
        <rFont val="Arial"/>
        <family val="2"/>
      </rPr>
      <t xml:space="preserve"> </t>
    </r>
  </si>
  <si>
    <r>
      <t>Metal Valve Manufacturing</t>
    </r>
    <r>
      <rPr>
        <vertAlign val="superscript"/>
        <sz val="10"/>
        <color indexed="8"/>
        <rFont val="Arial"/>
        <family val="2"/>
      </rPr>
      <t>T</t>
    </r>
    <r>
      <rPr>
        <sz val="10"/>
        <color theme="1"/>
        <rFont val="Arial"/>
        <family val="2"/>
      </rPr>
      <t xml:space="preserve"> </t>
    </r>
  </si>
  <si>
    <r>
      <t>All Other Fabricated Metal Product Manufacturing</t>
    </r>
    <r>
      <rPr>
        <vertAlign val="superscript"/>
        <sz val="10"/>
        <color indexed="8"/>
        <rFont val="Arial"/>
        <family val="2"/>
      </rPr>
      <t>T</t>
    </r>
    <r>
      <rPr>
        <sz val="10"/>
        <color theme="1"/>
        <rFont val="Arial"/>
        <family val="2"/>
      </rPr>
      <t xml:space="preserve"> </t>
    </r>
  </si>
  <si>
    <r>
      <t>Agricultural Implement Manufacturing</t>
    </r>
    <r>
      <rPr>
        <vertAlign val="superscript"/>
        <sz val="10"/>
        <color indexed="8"/>
        <rFont val="Arial"/>
        <family val="2"/>
      </rPr>
      <t>T</t>
    </r>
    <r>
      <rPr>
        <sz val="10"/>
        <color theme="1"/>
        <rFont val="Arial"/>
        <family val="2"/>
      </rPr>
      <t xml:space="preserve"> </t>
    </r>
  </si>
  <si>
    <r>
      <t>Construction Machinery Manufacturing</t>
    </r>
    <r>
      <rPr>
        <vertAlign val="superscript"/>
        <sz val="10"/>
        <color indexed="8"/>
        <rFont val="Arial"/>
        <family val="2"/>
      </rPr>
      <t>T</t>
    </r>
    <r>
      <rPr>
        <sz val="10"/>
        <color theme="1"/>
        <rFont val="Arial"/>
        <family val="2"/>
      </rPr>
      <t xml:space="preserve"> </t>
    </r>
  </si>
  <si>
    <r>
      <t>Mining and Oil and Gas Field Machinery Manufacturing</t>
    </r>
    <r>
      <rPr>
        <vertAlign val="superscript"/>
        <sz val="10"/>
        <color indexed="8"/>
        <rFont val="Arial"/>
        <family val="2"/>
      </rPr>
      <t>T</t>
    </r>
    <r>
      <rPr>
        <sz val="10"/>
        <color theme="1"/>
        <rFont val="Arial"/>
        <family val="2"/>
      </rPr>
      <t xml:space="preserve"> </t>
    </r>
  </si>
  <si>
    <r>
      <t>Industrial Machinery Manufacturing</t>
    </r>
    <r>
      <rPr>
        <vertAlign val="superscript"/>
        <sz val="10"/>
        <color indexed="8"/>
        <rFont val="Arial"/>
        <family val="2"/>
      </rPr>
      <t>T</t>
    </r>
    <r>
      <rPr>
        <sz val="10"/>
        <color theme="1"/>
        <rFont val="Arial"/>
        <family val="2"/>
      </rPr>
      <t xml:space="preserve"> </t>
    </r>
  </si>
  <si>
    <r>
      <t>Commercial and Service Industry Machinery Manufacturing</t>
    </r>
    <r>
      <rPr>
        <vertAlign val="superscript"/>
        <sz val="10"/>
        <color indexed="8"/>
        <rFont val="Arial"/>
        <family val="2"/>
      </rPr>
      <t>T</t>
    </r>
    <r>
      <rPr>
        <sz val="10"/>
        <color theme="1"/>
        <rFont val="Arial"/>
        <family val="2"/>
      </rPr>
      <t xml:space="preserve"> </t>
    </r>
  </si>
  <si>
    <r>
      <t>Ventilation, Heating, Air-Conditioning, and Commercial Refrigeration Equipment Manufacturing</t>
    </r>
    <r>
      <rPr>
        <vertAlign val="superscript"/>
        <sz val="10"/>
        <color indexed="8"/>
        <rFont val="Arial"/>
        <family val="2"/>
      </rPr>
      <t>T</t>
    </r>
    <r>
      <rPr>
        <sz val="10"/>
        <color theme="1"/>
        <rFont val="Arial"/>
        <family val="2"/>
      </rPr>
      <t xml:space="preserve"> </t>
    </r>
  </si>
  <si>
    <r>
      <t>Metalworking Machinery Manufacturing</t>
    </r>
    <r>
      <rPr>
        <vertAlign val="superscript"/>
        <sz val="10"/>
        <color indexed="8"/>
        <rFont val="Arial"/>
        <family val="2"/>
      </rPr>
      <t>T</t>
    </r>
    <r>
      <rPr>
        <sz val="10"/>
        <color theme="1"/>
        <rFont val="Arial"/>
        <family val="2"/>
      </rPr>
      <t xml:space="preserve"> </t>
    </r>
  </si>
  <si>
    <r>
      <t>Engine, Turbine, and Power Transmission Equipment Manufacturing</t>
    </r>
    <r>
      <rPr>
        <vertAlign val="superscript"/>
        <sz val="10"/>
        <color indexed="8"/>
        <rFont val="Arial"/>
        <family val="2"/>
      </rPr>
      <t>T</t>
    </r>
    <r>
      <rPr>
        <sz val="10"/>
        <color theme="1"/>
        <rFont val="Arial"/>
        <family val="2"/>
      </rPr>
      <t xml:space="preserve"> </t>
    </r>
  </si>
  <si>
    <r>
      <t>Pump and Compressor Manufacturing</t>
    </r>
    <r>
      <rPr>
        <vertAlign val="superscript"/>
        <sz val="10"/>
        <color indexed="8"/>
        <rFont val="Arial"/>
        <family val="2"/>
      </rPr>
      <t>T</t>
    </r>
    <r>
      <rPr>
        <sz val="10"/>
        <color theme="1"/>
        <rFont val="Arial"/>
        <family val="2"/>
      </rPr>
      <t xml:space="preserve"> </t>
    </r>
  </si>
  <si>
    <r>
      <t>Material Handling Equipment Manufacturing</t>
    </r>
    <r>
      <rPr>
        <vertAlign val="superscript"/>
        <sz val="10"/>
        <color indexed="8"/>
        <rFont val="Arial"/>
        <family val="2"/>
      </rPr>
      <t>T</t>
    </r>
    <r>
      <rPr>
        <sz val="10"/>
        <color theme="1"/>
        <rFont val="Arial"/>
        <family val="2"/>
      </rPr>
      <t xml:space="preserve"> </t>
    </r>
  </si>
  <si>
    <r>
      <t>All Other General Purpose Machinery Manufacturing</t>
    </r>
    <r>
      <rPr>
        <vertAlign val="superscript"/>
        <sz val="10"/>
        <color indexed="8"/>
        <rFont val="Arial"/>
        <family val="2"/>
      </rPr>
      <t>T</t>
    </r>
    <r>
      <rPr>
        <sz val="10"/>
        <color theme="1"/>
        <rFont val="Arial"/>
        <family val="2"/>
      </rPr>
      <t xml:space="preserve"> </t>
    </r>
  </si>
  <si>
    <r>
      <t>Computer and Peripheral Equipment Manufacturing</t>
    </r>
    <r>
      <rPr>
        <vertAlign val="superscript"/>
        <sz val="10"/>
        <color indexed="8"/>
        <rFont val="Arial"/>
        <family val="2"/>
      </rPr>
      <t>T</t>
    </r>
    <r>
      <rPr>
        <sz val="10"/>
        <color theme="1"/>
        <rFont val="Arial"/>
        <family val="2"/>
      </rPr>
      <t xml:space="preserve"> </t>
    </r>
  </si>
  <si>
    <r>
      <t>Telephone Apparatus Manufacturing</t>
    </r>
    <r>
      <rPr>
        <vertAlign val="superscript"/>
        <sz val="10"/>
        <color indexed="8"/>
        <rFont val="Arial"/>
        <family val="2"/>
      </rPr>
      <t>T</t>
    </r>
    <r>
      <rPr>
        <sz val="10"/>
        <color theme="1"/>
        <rFont val="Arial"/>
        <family val="2"/>
      </rPr>
      <t xml:space="preserve"> </t>
    </r>
  </si>
  <si>
    <r>
      <t>Radio and Television Broadcasting and Wireless Communications Equipment Manufacturing</t>
    </r>
    <r>
      <rPr>
        <vertAlign val="superscript"/>
        <sz val="10"/>
        <color indexed="8"/>
        <rFont val="Arial"/>
        <family val="2"/>
      </rPr>
      <t>T</t>
    </r>
    <r>
      <rPr>
        <sz val="10"/>
        <color theme="1"/>
        <rFont val="Arial"/>
        <family val="2"/>
      </rPr>
      <t xml:space="preserve"> </t>
    </r>
  </si>
  <si>
    <r>
      <t>Other Communications Equipment Manufacturing</t>
    </r>
    <r>
      <rPr>
        <vertAlign val="superscript"/>
        <sz val="10"/>
        <color indexed="8"/>
        <rFont val="Arial"/>
        <family val="2"/>
      </rPr>
      <t>T</t>
    </r>
    <r>
      <rPr>
        <sz val="10"/>
        <color theme="1"/>
        <rFont val="Arial"/>
        <family val="2"/>
      </rPr>
      <t xml:space="preserve"> </t>
    </r>
  </si>
  <si>
    <r>
      <t>Audio and Video Equipment Manufacturing</t>
    </r>
    <r>
      <rPr>
        <vertAlign val="superscript"/>
        <sz val="10"/>
        <color indexed="8"/>
        <rFont val="Arial"/>
        <family val="2"/>
      </rPr>
      <t>T</t>
    </r>
    <r>
      <rPr>
        <sz val="10"/>
        <color theme="1"/>
        <rFont val="Arial"/>
        <family val="2"/>
      </rPr>
      <t xml:space="preserve"> </t>
    </r>
  </si>
  <si>
    <r>
      <t>Semiconductor and Other Electronic Component Manufacturing</t>
    </r>
    <r>
      <rPr>
        <vertAlign val="superscript"/>
        <sz val="10"/>
        <color indexed="8"/>
        <rFont val="Arial"/>
        <family val="2"/>
      </rPr>
      <t>T</t>
    </r>
    <r>
      <rPr>
        <sz val="10"/>
        <color theme="1"/>
        <rFont val="Arial"/>
        <family val="2"/>
      </rPr>
      <t xml:space="preserve"> </t>
    </r>
  </si>
  <si>
    <r>
      <t>Navigational, Measuring, Electromedical, and Control Instruments Manufacturing</t>
    </r>
    <r>
      <rPr>
        <vertAlign val="superscript"/>
        <sz val="10"/>
        <color indexed="8"/>
        <rFont val="Arial"/>
        <family val="2"/>
      </rPr>
      <t>T</t>
    </r>
    <r>
      <rPr>
        <sz val="10"/>
        <color theme="1"/>
        <rFont val="Arial"/>
        <family val="2"/>
      </rPr>
      <t xml:space="preserve"> </t>
    </r>
  </si>
  <si>
    <r>
      <t>Manufacturing and Reproducing Magnetic and Optical Media</t>
    </r>
    <r>
      <rPr>
        <vertAlign val="superscript"/>
        <sz val="10"/>
        <color indexed="8"/>
        <rFont val="Arial"/>
        <family val="2"/>
      </rPr>
      <t>T</t>
    </r>
    <r>
      <rPr>
        <sz val="10"/>
        <color theme="1"/>
        <rFont val="Arial"/>
        <family val="2"/>
      </rPr>
      <t xml:space="preserve"> </t>
    </r>
  </si>
  <si>
    <r>
      <t>Electric Lamp Bulb and Part Manufacturing</t>
    </r>
    <r>
      <rPr>
        <vertAlign val="superscript"/>
        <sz val="10"/>
        <color indexed="8"/>
        <rFont val="Arial"/>
        <family val="2"/>
      </rPr>
      <t>T</t>
    </r>
    <r>
      <rPr>
        <sz val="10"/>
        <color theme="1"/>
        <rFont val="Arial"/>
        <family val="2"/>
      </rPr>
      <t xml:space="preserve"> </t>
    </r>
  </si>
  <si>
    <r>
      <t>Lighting Fixture Manufacturing</t>
    </r>
    <r>
      <rPr>
        <vertAlign val="superscript"/>
        <sz val="10"/>
        <color indexed="8"/>
        <rFont val="Arial"/>
        <family val="2"/>
      </rPr>
      <t>T</t>
    </r>
    <r>
      <rPr>
        <sz val="10"/>
        <color theme="1"/>
        <rFont val="Arial"/>
        <family val="2"/>
      </rPr>
      <t xml:space="preserve"> </t>
    </r>
  </si>
  <si>
    <r>
      <t>Small Electrical Appliance Manufacturing</t>
    </r>
    <r>
      <rPr>
        <vertAlign val="superscript"/>
        <sz val="10"/>
        <color indexed="8"/>
        <rFont val="Arial"/>
        <family val="2"/>
      </rPr>
      <t>T</t>
    </r>
    <r>
      <rPr>
        <sz val="10"/>
        <color theme="1"/>
        <rFont val="Arial"/>
        <family val="2"/>
      </rPr>
      <t xml:space="preserve"> </t>
    </r>
  </si>
  <si>
    <r>
      <t>Major Appliance Manufacturing</t>
    </r>
    <r>
      <rPr>
        <vertAlign val="superscript"/>
        <sz val="10"/>
        <color indexed="8"/>
        <rFont val="Arial"/>
        <family val="2"/>
      </rPr>
      <t>T</t>
    </r>
    <r>
      <rPr>
        <sz val="10"/>
        <color theme="1"/>
        <rFont val="Arial"/>
        <family val="2"/>
      </rPr>
      <t xml:space="preserve"> </t>
    </r>
  </si>
  <si>
    <r>
      <t>Electrical Equipment Manufacturing</t>
    </r>
    <r>
      <rPr>
        <vertAlign val="superscript"/>
        <sz val="10"/>
        <color indexed="8"/>
        <rFont val="Arial"/>
        <family val="2"/>
      </rPr>
      <t>T</t>
    </r>
    <r>
      <rPr>
        <sz val="10"/>
        <color theme="1"/>
        <rFont val="Arial"/>
        <family val="2"/>
      </rPr>
      <t xml:space="preserve"> </t>
    </r>
  </si>
  <si>
    <r>
      <t>Battery Manufacturing</t>
    </r>
    <r>
      <rPr>
        <vertAlign val="superscript"/>
        <sz val="10"/>
        <color indexed="8"/>
        <rFont val="Arial"/>
        <family val="2"/>
      </rPr>
      <t>T</t>
    </r>
    <r>
      <rPr>
        <sz val="10"/>
        <color theme="1"/>
        <rFont val="Arial"/>
        <family val="2"/>
      </rPr>
      <t xml:space="preserve"> </t>
    </r>
  </si>
  <si>
    <r>
      <t>Communication and Energy Wire and Cable Manufacturing</t>
    </r>
    <r>
      <rPr>
        <vertAlign val="superscript"/>
        <sz val="10"/>
        <color indexed="8"/>
        <rFont val="Arial"/>
        <family val="2"/>
      </rPr>
      <t>T</t>
    </r>
    <r>
      <rPr>
        <sz val="10"/>
        <color theme="1"/>
        <rFont val="Arial"/>
        <family val="2"/>
      </rPr>
      <t xml:space="preserve"> </t>
    </r>
  </si>
  <si>
    <r>
      <t>Wiring Device Manufacturing</t>
    </r>
    <r>
      <rPr>
        <vertAlign val="superscript"/>
        <sz val="10"/>
        <color indexed="8"/>
        <rFont val="Arial"/>
        <family val="2"/>
      </rPr>
      <t>T</t>
    </r>
    <r>
      <rPr>
        <sz val="10"/>
        <color theme="1"/>
        <rFont val="Arial"/>
        <family val="2"/>
      </rPr>
      <t xml:space="preserve"> </t>
    </r>
  </si>
  <si>
    <r>
      <t>All Other Electrical Equipment and Component Manufacturing</t>
    </r>
    <r>
      <rPr>
        <vertAlign val="superscript"/>
        <sz val="10"/>
        <color indexed="8"/>
        <rFont val="Arial"/>
        <family val="2"/>
      </rPr>
      <t>T</t>
    </r>
    <r>
      <rPr>
        <sz val="10"/>
        <color theme="1"/>
        <rFont val="Arial"/>
        <family val="2"/>
      </rPr>
      <t xml:space="preserve"> </t>
    </r>
  </si>
  <si>
    <r>
      <t>Automobile and Light Duty Motor Vehicle Manufacturing</t>
    </r>
    <r>
      <rPr>
        <vertAlign val="superscript"/>
        <sz val="10"/>
        <color indexed="8"/>
        <rFont val="Arial"/>
        <family val="2"/>
      </rPr>
      <t>T</t>
    </r>
    <r>
      <rPr>
        <sz val="10"/>
        <color theme="1"/>
        <rFont val="Arial"/>
        <family val="2"/>
      </rPr>
      <t xml:space="preserve"> </t>
    </r>
  </si>
  <si>
    <r>
      <t>Heavy Duty Truck Manufacturing</t>
    </r>
    <r>
      <rPr>
        <vertAlign val="superscript"/>
        <sz val="10"/>
        <color indexed="8"/>
        <rFont val="Arial"/>
        <family val="2"/>
      </rPr>
      <t>T</t>
    </r>
    <r>
      <rPr>
        <sz val="10"/>
        <color theme="1"/>
        <rFont val="Arial"/>
        <family val="2"/>
      </rPr>
      <t xml:space="preserve"> </t>
    </r>
  </si>
  <si>
    <r>
      <t>Motor Vehicle Body and Trailer Manufacturing</t>
    </r>
    <r>
      <rPr>
        <vertAlign val="superscript"/>
        <sz val="10"/>
        <color indexed="8"/>
        <rFont val="Arial"/>
        <family val="2"/>
      </rPr>
      <t>T</t>
    </r>
    <r>
      <rPr>
        <sz val="10"/>
        <color theme="1"/>
        <rFont val="Arial"/>
        <family val="2"/>
      </rPr>
      <t xml:space="preserve"> </t>
    </r>
  </si>
  <si>
    <r>
      <t>Motor Vehicle Gasoline Engine and Engine Parts Manufacturing</t>
    </r>
    <r>
      <rPr>
        <vertAlign val="superscript"/>
        <sz val="10"/>
        <color indexed="8"/>
        <rFont val="Arial"/>
        <family val="2"/>
      </rPr>
      <t>T</t>
    </r>
    <r>
      <rPr>
        <sz val="10"/>
        <color theme="1"/>
        <rFont val="Arial"/>
        <family val="2"/>
      </rPr>
      <t xml:space="preserve"> </t>
    </r>
  </si>
  <si>
    <r>
      <t>Motor Vehicle Electrical and Electronic Equipment Manufacturing</t>
    </r>
    <r>
      <rPr>
        <vertAlign val="superscript"/>
        <sz val="10"/>
        <color indexed="8"/>
        <rFont val="Arial"/>
        <family val="2"/>
      </rPr>
      <t>T</t>
    </r>
    <r>
      <rPr>
        <sz val="10"/>
        <color theme="1"/>
        <rFont val="Arial"/>
        <family val="2"/>
      </rPr>
      <t xml:space="preserve"> </t>
    </r>
  </si>
  <si>
    <r>
      <t>Motor Vehicle Steering and Suspension Components (except Spring) Manufacturing</t>
    </r>
    <r>
      <rPr>
        <vertAlign val="superscript"/>
        <sz val="10"/>
        <color indexed="8"/>
        <rFont val="Arial"/>
        <family val="2"/>
      </rPr>
      <t>T</t>
    </r>
    <r>
      <rPr>
        <sz val="10"/>
        <color theme="1"/>
        <rFont val="Arial"/>
        <family val="2"/>
      </rPr>
      <t xml:space="preserve"> </t>
    </r>
  </si>
  <si>
    <r>
      <t>Motor Vehicle Brake System Manufacturing</t>
    </r>
    <r>
      <rPr>
        <vertAlign val="superscript"/>
        <sz val="10"/>
        <color indexed="8"/>
        <rFont val="Arial"/>
        <family val="2"/>
      </rPr>
      <t>T</t>
    </r>
    <r>
      <rPr>
        <sz val="10"/>
        <color theme="1"/>
        <rFont val="Arial"/>
        <family val="2"/>
      </rPr>
      <t xml:space="preserve"> </t>
    </r>
  </si>
  <si>
    <r>
      <t>Motor Vehicle Transmission and Power Train Parts Manufacturing</t>
    </r>
    <r>
      <rPr>
        <vertAlign val="superscript"/>
        <sz val="10"/>
        <color indexed="8"/>
        <rFont val="Arial"/>
        <family val="2"/>
      </rPr>
      <t>T</t>
    </r>
    <r>
      <rPr>
        <sz val="10"/>
        <color theme="1"/>
        <rFont val="Arial"/>
        <family val="2"/>
      </rPr>
      <t xml:space="preserve"> </t>
    </r>
  </si>
  <si>
    <r>
      <t>Motor Vehicle Seating and Interior Trim Manufacturing</t>
    </r>
    <r>
      <rPr>
        <vertAlign val="superscript"/>
        <sz val="10"/>
        <color indexed="8"/>
        <rFont val="Arial"/>
        <family val="2"/>
      </rPr>
      <t>T</t>
    </r>
    <r>
      <rPr>
        <sz val="10"/>
        <color theme="1"/>
        <rFont val="Arial"/>
        <family val="2"/>
      </rPr>
      <t xml:space="preserve"> </t>
    </r>
  </si>
  <si>
    <r>
      <t>Motor Vehicle Metal Stamping</t>
    </r>
    <r>
      <rPr>
        <vertAlign val="superscript"/>
        <sz val="10"/>
        <color indexed="8"/>
        <rFont val="Arial"/>
        <family val="2"/>
      </rPr>
      <t>T</t>
    </r>
    <r>
      <rPr>
        <sz val="10"/>
        <color theme="1"/>
        <rFont val="Arial"/>
        <family val="2"/>
      </rPr>
      <t xml:space="preserve"> </t>
    </r>
  </si>
  <si>
    <r>
      <t>Other Motor Vehicle Parts Manufacturing</t>
    </r>
    <r>
      <rPr>
        <vertAlign val="superscript"/>
        <sz val="10"/>
        <color indexed="8"/>
        <rFont val="Arial"/>
        <family val="2"/>
      </rPr>
      <t>T</t>
    </r>
    <r>
      <rPr>
        <sz val="10"/>
        <color theme="1"/>
        <rFont val="Arial"/>
        <family val="2"/>
      </rPr>
      <t xml:space="preserve"> </t>
    </r>
  </si>
  <si>
    <r>
      <t>Aerospace Product and Parts Manufacturing</t>
    </r>
    <r>
      <rPr>
        <vertAlign val="superscript"/>
        <sz val="10"/>
        <color indexed="8"/>
        <rFont val="Arial"/>
        <family val="2"/>
      </rPr>
      <t>T</t>
    </r>
    <r>
      <rPr>
        <sz val="10"/>
        <color theme="1"/>
        <rFont val="Arial"/>
        <family val="2"/>
      </rPr>
      <t xml:space="preserve"> </t>
    </r>
  </si>
  <si>
    <r>
      <t>Railroad Rolling Stock Manufacturing</t>
    </r>
    <r>
      <rPr>
        <vertAlign val="superscript"/>
        <sz val="10"/>
        <color indexed="8"/>
        <rFont val="Arial"/>
        <family val="2"/>
      </rPr>
      <t>T</t>
    </r>
    <r>
      <rPr>
        <sz val="10"/>
        <color theme="1"/>
        <rFont val="Arial"/>
        <family val="2"/>
      </rPr>
      <t xml:space="preserve"> </t>
    </r>
  </si>
  <si>
    <r>
      <t>Ship and Boat Building</t>
    </r>
    <r>
      <rPr>
        <vertAlign val="superscript"/>
        <sz val="10"/>
        <color indexed="8"/>
        <rFont val="Arial"/>
        <family val="2"/>
      </rPr>
      <t>T</t>
    </r>
    <r>
      <rPr>
        <sz val="10"/>
        <color theme="1"/>
        <rFont val="Arial"/>
        <family val="2"/>
      </rPr>
      <t xml:space="preserve"> </t>
    </r>
  </si>
  <si>
    <r>
      <t>Other Transportation Equipment Manufacturing</t>
    </r>
    <r>
      <rPr>
        <vertAlign val="superscript"/>
        <sz val="10"/>
        <color indexed="8"/>
        <rFont val="Arial"/>
        <family val="2"/>
      </rPr>
      <t>T</t>
    </r>
    <r>
      <rPr>
        <sz val="10"/>
        <color theme="1"/>
        <rFont val="Arial"/>
        <family val="2"/>
      </rPr>
      <t xml:space="preserve"> </t>
    </r>
  </si>
  <si>
    <r>
      <t>Wood Kitchen Cabinet and Countertop Manufacturing</t>
    </r>
    <r>
      <rPr>
        <vertAlign val="superscript"/>
        <sz val="10"/>
        <color indexed="8"/>
        <rFont val="Arial"/>
        <family val="2"/>
      </rPr>
      <t>T</t>
    </r>
    <r>
      <rPr>
        <sz val="10"/>
        <color theme="1"/>
        <rFont val="Arial"/>
        <family val="2"/>
      </rPr>
      <t xml:space="preserve"> </t>
    </r>
  </si>
  <si>
    <r>
      <t>Household and Institutional Furniture Manufacturing</t>
    </r>
    <r>
      <rPr>
        <vertAlign val="superscript"/>
        <sz val="10"/>
        <color indexed="8"/>
        <rFont val="Arial"/>
        <family val="2"/>
      </rPr>
      <t>T</t>
    </r>
    <r>
      <rPr>
        <sz val="10"/>
        <color theme="1"/>
        <rFont val="Arial"/>
        <family val="2"/>
      </rPr>
      <t xml:space="preserve"> </t>
    </r>
  </si>
  <si>
    <r>
      <t>Office Furniture (including Fixtures) Manufacturing</t>
    </r>
    <r>
      <rPr>
        <vertAlign val="superscript"/>
        <sz val="10"/>
        <color indexed="8"/>
        <rFont val="Arial"/>
        <family val="2"/>
      </rPr>
      <t>T</t>
    </r>
    <r>
      <rPr>
        <sz val="10"/>
        <color theme="1"/>
        <rFont val="Arial"/>
        <family val="2"/>
      </rPr>
      <t xml:space="preserve"> </t>
    </r>
  </si>
  <si>
    <r>
      <t>Mattress Manufacturing</t>
    </r>
    <r>
      <rPr>
        <vertAlign val="superscript"/>
        <sz val="10"/>
        <color indexed="8"/>
        <rFont val="Arial"/>
        <family val="2"/>
      </rPr>
      <t>T</t>
    </r>
    <r>
      <rPr>
        <sz val="10"/>
        <color theme="1"/>
        <rFont val="Arial"/>
        <family val="2"/>
      </rPr>
      <t xml:space="preserve"> </t>
    </r>
  </si>
  <si>
    <r>
      <t>Blind and Shade Manufacturing</t>
    </r>
    <r>
      <rPr>
        <vertAlign val="superscript"/>
        <sz val="10"/>
        <color indexed="8"/>
        <rFont val="Arial"/>
        <family val="2"/>
      </rPr>
      <t>T</t>
    </r>
    <r>
      <rPr>
        <sz val="10"/>
        <color theme="1"/>
        <rFont val="Arial"/>
        <family val="2"/>
      </rPr>
      <t xml:space="preserve"> </t>
    </r>
  </si>
  <si>
    <r>
      <t>Medical Equipment and Supplies Manufacturing</t>
    </r>
    <r>
      <rPr>
        <vertAlign val="superscript"/>
        <sz val="10"/>
        <color indexed="8"/>
        <rFont val="Arial"/>
        <family val="2"/>
      </rPr>
      <t>T</t>
    </r>
    <r>
      <rPr>
        <sz val="10"/>
        <color theme="1"/>
        <rFont val="Arial"/>
        <family val="2"/>
      </rPr>
      <t xml:space="preserve"> </t>
    </r>
  </si>
  <si>
    <r>
      <t>Jewelry and Silverware Manufacturing</t>
    </r>
    <r>
      <rPr>
        <vertAlign val="superscript"/>
        <sz val="10"/>
        <color indexed="8"/>
        <rFont val="Arial"/>
        <family val="2"/>
      </rPr>
      <t>T</t>
    </r>
    <r>
      <rPr>
        <sz val="10"/>
        <color theme="1"/>
        <rFont val="Arial"/>
        <family val="2"/>
      </rPr>
      <t xml:space="preserve"> </t>
    </r>
  </si>
  <si>
    <r>
      <t>Sporting and Athletic Goods Manufacturing</t>
    </r>
    <r>
      <rPr>
        <vertAlign val="superscript"/>
        <sz val="10"/>
        <color indexed="8"/>
        <rFont val="Arial"/>
        <family val="2"/>
      </rPr>
      <t>T</t>
    </r>
    <r>
      <rPr>
        <sz val="10"/>
        <color theme="1"/>
        <rFont val="Arial"/>
        <family val="2"/>
      </rPr>
      <t xml:space="preserve"> </t>
    </r>
  </si>
  <si>
    <r>
      <t>Doll, Toy, and Game Manufacturing</t>
    </r>
    <r>
      <rPr>
        <vertAlign val="superscript"/>
        <sz val="10"/>
        <color indexed="8"/>
        <rFont val="Arial"/>
        <family val="2"/>
      </rPr>
      <t>T</t>
    </r>
    <r>
      <rPr>
        <sz val="10"/>
        <color theme="1"/>
        <rFont val="Arial"/>
        <family val="2"/>
      </rPr>
      <t xml:space="preserve"> </t>
    </r>
  </si>
  <si>
    <r>
      <t>Office Supplies (except Paper) Manufacturing</t>
    </r>
    <r>
      <rPr>
        <vertAlign val="superscript"/>
        <sz val="10"/>
        <color indexed="8"/>
        <rFont val="Arial"/>
        <family val="2"/>
      </rPr>
      <t>T</t>
    </r>
    <r>
      <rPr>
        <sz val="10"/>
        <color theme="1"/>
        <rFont val="Arial"/>
        <family val="2"/>
      </rPr>
      <t xml:space="preserve"> </t>
    </r>
  </si>
  <si>
    <r>
      <t>Sign Manufacturing</t>
    </r>
    <r>
      <rPr>
        <vertAlign val="superscript"/>
        <sz val="10"/>
        <color indexed="8"/>
        <rFont val="Arial"/>
        <family val="2"/>
      </rPr>
      <t>T</t>
    </r>
    <r>
      <rPr>
        <sz val="10"/>
        <color theme="1"/>
        <rFont val="Arial"/>
        <family val="2"/>
      </rPr>
      <t xml:space="preserve"> </t>
    </r>
  </si>
  <si>
    <r>
      <t>All Other Miscellaneous Manufacturing</t>
    </r>
    <r>
      <rPr>
        <vertAlign val="superscript"/>
        <sz val="10"/>
        <color indexed="8"/>
        <rFont val="Arial"/>
        <family val="2"/>
      </rPr>
      <t>T</t>
    </r>
    <r>
      <rPr>
        <sz val="10"/>
        <color theme="1"/>
        <rFont val="Arial"/>
        <family val="2"/>
      </rPr>
      <t xml:space="preserve"> </t>
    </r>
  </si>
  <si>
    <r>
      <t>Scheduled Air Transportation</t>
    </r>
    <r>
      <rPr>
        <vertAlign val="superscript"/>
        <sz val="10"/>
        <color indexed="8"/>
        <rFont val="Arial"/>
        <family val="2"/>
      </rPr>
      <t>T</t>
    </r>
    <r>
      <rPr>
        <sz val="10"/>
        <color theme="1"/>
        <rFont val="Arial"/>
        <family val="2"/>
      </rPr>
      <t xml:space="preserve"> </t>
    </r>
  </si>
  <si>
    <r>
      <t>Nonscheduled Air Transportation</t>
    </r>
    <r>
      <rPr>
        <vertAlign val="superscript"/>
        <sz val="10"/>
        <color indexed="8"/>
        <rFont val="Arial"/>
        <family val="2"/>
      </rPr>
      <t>T</t>
    </r>
    <r>
      <rPr>
        <sz val="10"/>
        <color theme="1"/>
        <rFont val="Arial"/>
        <family val="2"/>
      </rPr>
      <t xml:space="preserve"> </t>
    </r>
  </si>
  <si>
    <r>
      <t>Rail Transportation</t>
    </r>
    <r>
      <rPr>
        <vertAlign val="superscript"/>
        <sz val="10"/>
        <color indexed="8"/>
        <rFont val="Arial"/>
        <family val="2"/>
      </rPr>
      <t>T</t>
    </r>
    <r>
      <rPr>
        <sz val="10"/>
        <color theme="1"/>
        <rFont val="Arial"/>
        <family val="2"/>
      </rPr>
      <t xml:space="preserve"> </t>
    </r>
  </si>
  <si>
    <r>
      <t>Deep Sea, Coastal, and Great Lakes Water Transportation</t>
    </r>
    <r>
      <rPr>
        <vertAlign val="superscript"/>
        <sz val="10"/>
        <color indexed="8"/>
        <rFont val="Arial"/>
        <family val="2"/>
      </rPr>
      <t>T</t>
    </r>
    <r>
      <rPr>
        <sz val="10"/>
        <color theme="1"/>
        <rFont val="Arial"/>
        <family val="2"/>
      </rPr>
      <t xml:space="preserve"> </t>
    </r>
  </si>
  <si>
    <r>
      <t>Inland Water Transportation</t>
    </r>
    <r>
      <rPr>
        <vertAlign val="superscript"/>
        <sz val="10"/>
        <color indexed="8"/>
        <rFont val="Arial"/>
        <family val="2"/>
      </rPr>
      <t>T</t>
    </r>
    <r>
      <rPr>
        <sz val="10"/>
        <color theme="1"/>
        <rFont val="Arial"/>
        <family val="2"/>
      </rPr>
      <t xml:space="preserve"> </t>
    </r>
  </si>
  <si>
    <r>
      <t>General Freight Trucking, Local</t>
    </r>
    <r>
      <rPr>
        <vertAlign val="superscript"/>
        <sz val="10"/>
        <color indexed="8"/>
        <rFont val="Arial"/>
        <family val="2"/>
      </rPr>
      <t>T</t>
    </r>
    <r>
      <rPr>
        <sz val="10"/>
        <color theme="1"/>
        <rFont val="Arial"/>
        <family val="2"/>
      </rPr>
      <t xml:space="preserve"> </t>
    </r>
  </si>
  <si>
    <r>
      <t>General Freight Trucking, Long-Distance</t>
    </r>
    <r>
      <rPr>
        <vertAlign val="superscript"/>
        <sz val="10"/>
        <color indexed="8"/>
        <rFont val="Arial"/>
        <family val="2"/>
      </rPr>
      <t>T</t>
    </r>
    <r>
      <rPr>
        <sz val="10"/>
        <color theme="1"/>
        <rFont val="Arial"/>
        <family val="2"/>
      </rPr>
      <t xml:space="preserve"> </t>
    </r>
  </si>
  <si>
    <r>
      <t>Used Household and Office Goods Moving</t>
    </r>
    <r>
      <rPr>
        <vertAlign val="superscript"/>
        <sz val="10"/>
        <color indexed="8"/>
        <rFont val="Arial"/>
        <family val="2"/>
      </rPr>
      <t>T</t>
    </r>
    <r>
      <rPr>
        <sz val="10"/>
        <color theme="1"/>
        <rFont val="Arial"/>
        <family val="2"/>
      </rPr>
      <t xml:space="preserve"> </t>
    </r>
  </si>
  <si>
    <r>
      <t>Specialized Freight (except Used Goods) Trucking, Local</t>
    </r>
    <r>
      <rPr>
        <vertAlign val="superscript"/>
        <sz val="10"/>
        <color indexed="8"/>
        <rFont val="Arial"/>
        <family val="2"/>
      </rPr>
      <t>T</t>
    </r>
    <r>
      <rPr>
        <sz val="10"/>
        <color theme="1"/>
        <rFont val="Arial"/>
        <family val="2"/>
      </rPr>
      <t xml:space="preserve"> </t>
    </r>
  </si>
  <si>
    <r>
      <t>Specialized Freight (except Used Goods) Trucking, Long-Distance</t>
    </r>
    <r>
      <rPr>
        <vertAlign val="superscript"/>
        <sz val="10"/>
        <color indexed="8"/>
        <rFont val="Arial"/>
        <family val="2"/>
      </rPr>
      <t>T</t>
    </r>
    <r>
      <rPr>
        <sz val="10"/>
        <color theme="1"/>
        <rFont val="Arial"/>
        <family val="2"/>
      </rPr>
      <t xml:space="preserve"> </t>
    </r>
  </si>
  <si>
    <r>
      <t>Urban Transit Systems</t>
    </r>
    <r>
      <rPr>
        <vertAlign val="superscript"/>
        <sz val="10"/>
        <color indexed="8"/>
        <rFont val="Arial"/>
        <family val="2"/>
      </rPr>
      <t>T</t>
    </r>
    <r>
      <rPr>
        <sz val="10"/>
        <color theme="1"/>
        <rFont val="Arial"/>
        <family val="2"/>
      </rPr>
      <t xml:space="preserve"> </t>
    </r>
  </si>
  <si>
    <r>
      <t>Interurban and Rural Bus Transportation</t>
    </r>
    <r>
      <rPr>
        <vertAlign val="superscript"/>
        <sz val="10"/>
        <color indexed="8"/>
        <rFont val="Arial"/>
        <family val="2"/>
      </rPr>
      <t>T</t>
    </r>
    <r>
      <rPr>
        <sz val="10"/>
        <color theme="1"/>
        <rFont val="Arial"/>
        <family val="2"/>
      </rPr>
      <t xml:space="preserve"> </t>
    </r>
  </si>
  <si>
    <r>
      <t>Taxi Service</t>
    </r>
    <r>
      <rPr>
        <vertAlign val="superscript"/>
        <sz val="10"/>
        <color indexed="8"/>
        <rFont val="Arial"/>
        <family val="2"/>
      </rPr>
      <t>T</t>
    </r>
    <r>
      <rPr>
        <sz val="10"/>
        <color theme="1"/>
        <rFont val="Arial"/>
        <family val="2"/>
      </rPr>
      <t xml:space="preserve"> </t>
    </r>
  </si>
  <si>
    <r>
      <t>Limousine Service</t>
    </r>
    <r>
      <rPr>
        <vertAlign val="superscript"/>
        <sz val="10"/>
        <color indexed="8"/>
        <rFont val="Arial"/>
        <family val="2"/>
      </rPr>
      <t>T</t>
    </r>
    <r>
      <rPr>
        <sz val="10"/>
        <color theme="1"/>
        <rFont val="Arial"/>
        <family val="2"/>
      </rPr>
      <t xml:space="preserve"> </t>
    </r>
  </si>
  <si>
    <r>
      <t>Charter Bus Industry</t>
    </r>
    <r>
      <rPr>
        <vertAlign val="superscript"/>
        <sz val="10"/>
        <color indexed="8"/>
        <rFont val="Arial"/>
        <family val="2"/>
      </rPr>
      <t>T</t>
    </r>
    <r>
      <rPr>
        <sz val="10"/>
        <color theme="1"/>
        <rFont val="Arial"/>
        <family val="2"/>
      </rPr>
      <t xml:space="preserve"> </t>
    </r>
  </si>
  <si>
    <r>
      <t>Other Transit and Ground Passenger Transportation</t>
    </r>
    <r>
      <rPr>
        <vertAlign val="superscript"/>
        <sz val="10"/>
        <color indexed="8"/>
        <rFont val="Arial"/>
        <family val="2"/>
      </rPr>
      <t>T</t>
    </r>
    <r>
      <rPr>
        <sz val="10"/>
        <color theme="1"/>
        <rFont val="Arial"/>
        <family val="2"/>
      </rPr>
      <t xml:space="preserve"> </t>
    </r>
  </si>
  <si>
    <r>
      <t>Pipeline Transportation of Crude Oil</t>
    </r>
    <r>
      <rPr>
        <vertAlign val="superscript"/>
        <sz val="10"/>
        <color indexed="8"/>
        <rFont val="Arial"/>
        <family val="2"/>
      </rPr>
      <t>T</t>
    </r>
    <r>
      <rPr>
        <sz val="10"/>
        <color theme="1"/>
        <rFont val="Arial"/>
        <family val="2"/>
      </rPr>
      <t xml:space="preserve"> </t>
    </r>
  </si>
  <si>
    <r>
      <t>Pipeline Transportation of Natural Gas</t>
    </r>
    <r>
      <rPr>
        <vertAlign val="superscript"/>
        <sz val="10"/>
        <color indexed="8"/>
        <rFont val="Arial"/>
        <family val="2"/>
      </rPr>
      <t>T</t>
    </r>
    <r>
      <rPr>
        <sz val="10"/>
        <color theme="1"/>
        <rFont val="Arial"/>
        <family val="2"/>
      </rPr>
      <t xml:space="preserve"> </t>
    </r>
  </si>
  <si>
    <r>
      <t>Pipeline Transportation of Refined Petroleum Products</t>
    </r>
    <r>
      <rPr>
        <vertAlign val="superscript"/>
        <sz val="10"/>
        <color indexed="8"/>
        <rFont val="Arial"/>
        <family val="2"/>
      </rPr>
      <t>T</t>
    </r>
    <r>
      <rPr>
        <sz val="10"/>
        <color theme="1"/>
        <rFont val="Arial"/>
        <family val="2"/>
      </rPr>
      <t xml:space="preserve"> </t>
    </r>
  </si>
  <si>
    <r>
      <t>All Other Pipeline Transportation</t>
    </r>
    <r>
      <rPr>
        <vertAlign val="superscript"/>
        <sz val="10"/>
        <color indexed="8"/>
        <rFont val="Arial"/>
        <family val="2"/>
      </rPr>
      <t>T</t>
    </r>
    <r>
      <rPr>
        <sz val="10"/>
        <color theme="1"/>
        <rFont val="Arial"/>
        <family val="2"/>
      </rPr>
      <t xml:space="preserve"> </t>
    </r>
  </si>
  <si>
    <r>
      <t>Scenic and Sightseeing Transportation, Land</t>
    </r>
    <r>
      <rPr>
        <vertAlign val="superscript"/>
        <sz val="10"/>
        <color indexed="8"/>
        <rFont val="Arial"/>
        <family val="2"/>
      </rPr>
      <t>T</t>
    </r>
    <r>
      <rPr>
        <sz val="10"/>
        <color theme="1"/>
        <rFont val="Arial"/>
        <family val="2"/>
      </rPr>
      <t xml:space="preserve"> </t>
    </r>
  </si>
  <si>
    <r>
      <t>Scenic and Sightseeing Transportation, Water</t>
    </r>
    <r>
      <rPr>
        <vertAlign val="superscript"/>
        <sz val="10"/>
        <color indexed="8"/>
        <rFont val="Arial"/>
        <family val="2"/>
      </rPr>
      <t>T</t>
    </r>
    <r>
      <rPr>
        <sz val="10"/>
        <color theme="1"/>
        <rFont val="Arial"/>
        <family val="2"/>
      </rPr>
      <t xml:space="preserve"> </t>
    </r>
  </si>
  <si>
    <r>
      <t>Scenic and Sightseeing Transportation, Other</t>
    </r>
    <r>
      <rPr>
        <vertAlign val="superscript"/>
        <sz val="10"/>
        <color indexed="8"/>
        <rFont val="Arial"/>
        <family val="2"/>
      </rPr>
      <t>T</t>
    </r>
    <r>
      <rPr>
        <sz val="10"/>
        <color theme="1"/>
        <rFont val="Arial"/>
        <family val="2"/>
      </rPr>
      <t xml:space="preserve"> </t>
    </r>
  </si>
  <si>
    <r>
      <t>Airport Operations</t>
    </r>
    <r>
      <rPr>
        <vertAlign val="superscript"/>
        <sz val="10"/>
        <color indexed="8"/>
        <rFont val="Arial"/>
        <family val="2"/>
      </rPr>
      <t>T</t>
    </r>
    <r>
      <rPr>
        <sz val="10"/>
        <color theme="1"/>
        <rFont val="Arial"/>
        <family val="2"/>
      </rPr>
      <t xml:space="preserve"> </t>
    </r>
  </si>
  <si>
    <r>
      <t>Other Support Activities for Air Transportation</t>
    </r>
    <r>
      <rPr>
        <vertAlign val="superscript"/>
        <sz val="10"/>
        <color indexed="8"/>
        <rFont val="Arial"/>
        <family val="2"/>
      </rPr>
      <t>T</t>
    </r>
    <r>
      <rPr>
        <sz val="10"/>
        <color theme="1"/>
        <rFont val="Arial"/>
        <family val="2"/>
      </rPr>
      <t xml:space="preserve"> </t>
    </r>
  </si>
  <si>
    <r>
      <t>Support Activities for Rail Transportation</t>
    </r>
    <r>
      <rPr>
        <vertAlign val="superscript"/>
        <sz val="10"/>
        <color indexed="8"/>
        <rFont val="Arial"/>
        <family val="2"/>
      </rPr>
      <t>T</t>
    </r>
    <r>
      <rPr>
        <sz val="10"/>
        <color theme="1"/>
        <rFont val="Arial"/>
        <family val="2"/>
      </rPr>
      <t xml:space="preserve"> </t>
    </r>
  </si>
  <si>
    <r>
      <t>Port and Harbor Operations</t>
    </r>
    <r>
      <rPr>
        <vertAlign val="superscript"/>
        <sz val="10"/>
        <color indexed="8"/>
        <rFont val="Arial"/>
        <family val="2"/>
      </rPr>
      <t>T</t>
    </r>
    <r>
      <rPr>
        <sz val="10"/>
        <color theme="1"/>
        <rFont val="Arial"/>
        <family val="2"/>
      </rPr>
      <t xml:space="preserve"> </t>
    </r>
  </si>
  <si>
    <r>
      <t>Marine Cargo Handling</t>
    </r>
    <r>
      <rPr>
        <vertAlign val="superscript"/>
        <sz val="10"/>
        <color indexed="8"/>
        <rFont val="Arial"/>
        <family val="2"/>
      </rPr>
      <t>T</t>
    </r>
    <r>
      <rPr>
        <sz val="10"/>
        <color theme="1"/>
        <rFont val="Arial"/>
        <family val="2"/>
      </rPr>
      <t xml:space="preserve"> </t>
    </r>
  </si>
  <si>
    <r>
      <t>Navigational Services to Shipping</t>
    </r>
    <r>
      <rPr>
        <vertAlign val="superscript"/>
        <sz val="10"/>
        <color indexed="8"/>
        <rFont val="Arial"/>
        <family val="2"/>
      </rPr>
      <t>T</t>
    </r>
    <r>
      <rPr>
        <sz val="10"/>
        <color theme="1"/>
        <rFont val="Arial"/>
        <family val="2"/>
      </rPr>
      <t xml:space="preserve"> </t>
    </r>
  </si>
  <si>
    <r>
      <t>Other Support Activities for Water Transportation</t>
    </r>
    <r>
      <rPr>
        <vertAlign val="superscript"/>
        <sz val="10"/>
        <color indexed="8"/>
        <rFont val="Arial"/>
        <family val="2"/>
      </rPr>
      <t>T</t>
    </r>
    <r>
      <rPr>
        <sz val="10"/>
        <color theme="1"/>
        <rFont val="Arial"/>
        <family val="2"/>
      </rPr>
      <t xml:space="preserve"> </t>
    </r>
  </si>
  <si>
    <r>
      <t>Motor Vehicle Towing</t>
    </r>
    <r>
      <rPr>
        <vertAlign val="superscript"/>
        <sz val="10"/>
        <color indexed="8"/>
        <rFont val="Arial"/>
        <family val="2"/>
      </rPr>
      <t>T</t>
    </r>
    <r>
      <rPr>
        <sz val="10"/>
        <color theme="1"/>
        <rFont val="Arial"/>
        <family val="2"/>
      </rPr>
      <t xml:space="preserve"> </t>
    </r>
  </si>
  <si>
    <r>
      <t>Other Support Activities for Road Transportation</t>
    </r>
    <r>
      <rPr>
        <vertAlign val="superscript"/>
        <sz val="10"/>
        <color indexed="8"/>
        <rFont val="Arial"/>
        <family val="2"/>
      </rPr>
      <t>T</t>
    </r>
    <r>
      <rPr>
        <sz val="10"/>
        <color theme="1"/>
        <rFont val="Arial"/>
        <family val="2"/>
      </rPr>
      <t xml:space="preserve"> </t>
    </r>
  </si>
  <si>
    <r>
      <t>Freight Transportation Arrangement</t>
    </r>
    <r>
      <rPr>
        <vertAlign val="superscript"/>
        <sz val="10"/>
        <color indexed="8"/>
        <rFont val="Arial"/>
        <family val="2"/>
      </rPr>
      <t>T</t>
    </r>
    <r>
      <rPr>
        <sz val="10"/>
        <color theme="1"/>
        <rFont val="Arial"/>
        <family val="2"/>
      </rPr>
      <t xml:space="preserve"> </t>
    </r>
  </si>
  <si>
    <r>
      <t>Other Support Activities for Transportation</t>
    </r>
    <r>
      <rPr>
        <vertAlign val="superscript"/>
        <sz val="10"/>
        <color indexed="8"/>
        <rFont val="Arial"/>
        <family val="2"/>
      </rPr>
      <t>T</t>
    </r>
    <r>
      <rPr>
        <sz val="10"/>
        <color theme="1"/>
        <rFont val="Arial"/>
        <family val="2"/>
      </rPr>
      <t xml:space="preserve"> </t>
    </r>
  </si>
  <si>
    <r>
      <t>Postal Service</t>
    </r>
    <r>
      <rPr>
        <vertAlign val="superscript"/>
        <sz val="10"/>
        <color indexed="8"/>
        <rFont val="Arial"/>
        <family val="2"/>
      </rPr>
      <t>T</t>
    </r>
    <r>
      <rPr>
        <sz val="10"/>
        <color theme="1"/>
        <rFont val="Arial"/>
        <family val="2"/>
      </rPr>
      <t xml:space="preserve"> </t>
    </r>
  </si>
  <si>
    <r>
      <t>Couriers and Express Delivery Services</t>
    </r>
    <r>
      <rPr>
        <vertAlign val="superscript"/>
        <sz val="10"/>
        <color indexed="8"/>
        <rFont val="Arial"/>
        <family val="2"/>
      </rPr>
      <t>T</t>
    </r>
    <r>
      <rPr>
        <sz val="10"/>
        <color theme="1"/>
        <rFont val="Arial"/>
        <family val="2"/>
      </rPr>
      <t xml:space="preserve"> </t>
    </r>
  </si>
  <si>
    <r>
      <t>Local Messengers and Local Delivery</t>
    </r>
    <r>
      <rPr>
        <vertAlign val="superscript"/>
        <sz val="10"/>
        <color indexed="8"/>
        <rFont val="Arial"/>
        <family val="2"/>
      </rPr>
      <t>T</t>
    </r>
    <r>
      <rPr>
        <sz val="10"/>
        <color theme="1"/>
        <rFont val="Arial"/>
        <family val="2"/>
      </rPr>
      <t xml:space="preserve"> </t>
    </r>
  </si>
  <si>
    <r>
      <t>General Warehousing and Storage</t>
    </r>
    <r>
      <rPr>
        <vertAlign val="superscript"/>
        <sz val="10"/>
        <color indexed="8"/>
        <rFont val="Arial"/>
        <family val="2"/>
      </rPr>
      <t>T</t>
    </r>
    <r>
      <rPr>
        <sz val="10"/>
        <color theme="1"/>
        <rFont val="Arial"/>
        <family val="2"/>
      </rPr>
      <t xml:space="preserve"> </t>
    </r>
  </si>
  <si>
    <r>
      <t>Refrigerated Warehousing and Storage</t>
    </r>
    <r>
      <rPr>
        <vertAlign val="superscript"/>
        <sz val="10"/>
        <color indexed="8"/>
        <rFont val="Arial"/>
        <family val="2"/>
      </rPr>
      <t>T</t>
    </r>
    <r>
      <rPr>
        <sz val="10"/>
        <color theme="1"/>
        <rFont val="Arial"/>
        <family val="2"/>
      </rPr>
      <t xml:space="preserve"> </t>
    </r>
  </si>
  <si>
    <r>
      <t>Farm Product Warehousing and Storage</t>
    </r>
    <r>
      <rPr>
        <vertAlign val="superscript"/>
        <sz val="10"/>
        <color indexed="8"/>
        <rFont val="Arial"/>
        <family val="2"/>
      </rPr>
      <t>T</t>
    </r>
  </si>
  <si>
    <r>
      <t>Other Warehousing and Storage</t>
    </r>
    <r>
      <rPr>
        <vertAlign val="superscript"/>
        <sz val="10"/>
        <color indexed="8"/>
        <rFont val="Arial"/>
        <family val="2"/>
      </rPr>
      <t>T</t>
    </r>
    <r>
      <rPr>
        <sz val="10"/>
        <color theme="1"/>
        <rFont val="Arial"/>
        <family val="2"/>
      </rPr>
      <t xml:space="preserve"> </t>
    </r>
  </si>
  <si>
    <r>
      <t>Newspaper Publishers</t>
    </r>
    <r>
      <rPr>
        <vertAlign val="superscript"/>
        <sz val="10"/>
        <color indexed="8"/>
        <rFont val="Arial"/>
        <family val="2"/>
      </rPr>
      <t>T</t>
    </r>
    <r>
      <rPr>
        <sz val="10"/>
        <color theme="1"/>
        <rFont val="Arial"/>
        <family val="2"/>
      </rPr>
      <t xml:space="preserve"> </t>
    </r>
  </si>
  <si>
    <r>
      <t>Periodical Publishers</t>
    </r>
    <r>
      <rPr>
        <vertAlign val="superscript"/>
        <sz val="10"/>
        <color indexed="8"/>
        <rFont val="Arial"/>
        <family val="2"/>
      </rPr>
      <t>T</t>
    </r>
    <r>
      <rPr>
        <sz val="10"/>
        <color theme="1"/>
        <rFont val="Arial"/>
        <family val="2"/>
      </rPr>
      <t xml:space="preserve"> </t>
    </r>
  </si>
  <si>
    <r>
      <t>Book Publishers</t>
    </r>
    <r>
      <rPr>
        <vertAlign val="superscript"/>
        <sz val="10"/>
        <color indexed="8"/>
        <rFont val="Arial"/>
        <family val="2"/>
      </rPr>
      <t>T</t>
    </r>
    <r>
      <rPr>
        <sz val="10"/>
        <color theme="1"/>
        <rFont val="Arial"/>
        <family val="2"/>
      </rPr>
      <t xml:space="preserve"> </t>
    </r>
  </si>
  <si>
    <r>
      <t>Directory and Mailing List Publishers</t>
    </r>
    <r>
      <rPr>
        <vertAlign val="superscript"/>
        <sz val="10"/>
        <color indexed="8"/>
        <rFont val="Arial"/>
        <family val="2"/>
      </rPr>
      <t>T</t>
    </r>
    <r>
      <rPr>
        <sz val="10"/>
        <color theme="1"/>
        <rFont val="Arial"/>
        <family val="2"/>
      </rPr>
      <t xml:space="preserve"> </t>
    </r>
  </si>
  <si>
    <r>
      <t>Other Publishers</t>
    </r>
    <r>
      <rPr>
        <vertAlign val="superscript"/>
        <sz val="10"/>
        <color indexed="8"/>
        <rFont val="Arial"/>
        <family val="2"/>
      </rPr>
      <t>T</t>
    </r>
    <r>
      <rPr>
        <sz val="10"/>
        <color theme="1"/>
        <rFont val="Arial"/>
        <family val="2"/>
      </rPr>
      <t xml:space="preserve"> </t>
    </r>
  </si>
  <si>
    <r>
      <t>Software Publishers</t>
    </r>
    <r>
      <rPr>
        <vertAlign val="superscript"/>
        <sz val="10"/>
        <color indexed="8"/>
        <rFont val="Arial"/>
        <family val="2"/>
      </rPr>
      <t>T</t>
    </r>
    <r>
      <rPr>
        <sz val="10"/>
        <color theme="1"/>
        <rFont val="Arial"/>
        <family val="2"/>
      </rPr>
      <t xml:space="preserve"> </t>
    </r>
  </si>
  <si>
    <r>
      <t>Motion Picture and Video Production</t>
    </r>
    <r>
      <rPr>
        <vertAlign val="superscript"/>
        <sz val="10"/>
        <color indexed="8"/>
        <rFont val="Arial"/>
        <family val="2"/>
      </rPr>
      <t>T</t>
    </r>
    <r>
      <rPr>
        <sz val="10"/>
        <color theme="1"/>
        <rFont val="Arial"/>
        <family val="2"/>
      </rPr>
      <t xml:space="preserve"> </t>
    </r>
  </si>
  <si>
    <r>
      <t>Motion Picture and Video Distribution</t>
    </r>
    <r>
      <rPr>
        <vertAlign val="superscript"/>
        <sz val="10"/>
        <color indexed="8"/>
        <rFont val="Arial"/>
        <family val="2"/>
      </rPr>
      <t>T</t>
    </r>
    <r>
      <rPr>
        <sz val="10"/>
        <color theme="1"/>
        <rFont val="Arial"/>
        <family val="2"/>
      </rPr>
      <t xml:space="preserve"> </t>
    </r>
  </si>
  <si>
    <r>
      <t>Motion Picture and Video Exhibition</t>
    </r>
    <r>
      <rPr>
        <vertAlign val="superscript"/>
        <sz val="10"/>
        <color indexed="8"/>
        <rFont val="Arial"/>
        <family val="2"/>
      </rPr>
      <t>T</t>
    </r>
    <r>
      <rPr>
        <sz val="10"/>
        <color theme="1"/>
        <rFont val="Arial"/>
        <family val="2"/>
      </rPr>
      <t xml:space="preserve"> </t>
    </r>
  </si>
  <si>
    <r>
      <t>Postproduction Services and Other Motion Picture and Video Industries</t>
    </r>
    <r>
      <rPr>
        <vertAlign val="superscript"/>
        <sz val="10"/>
        <color indexed="8"/>
        <rFont val="Arial"/>
        <family val="2"/>
      </rPr>
      <t>T</t>
    </r>
    <r>
      <rPr>
        <sz val="10"/>
        <color theme="1"/>
        <rFont val="Arial"/>
        <family val="2"/>
      </rPr>
      <t xml:space="preserve"> </t>
    </r>
  </si>
  <si>
    <r>
      <t>Record Production</t>
    </r>
    <r>
      <rPr>
        <vertAlign val="superscript"/>
        <sz val="10"/>
        <color indexed="8"/>
        <rFont val="Arial"/>
        <family val="2"/>
      </rPr>
      <t>T</t>
    </r>
    <r>
      <rPr>
        <sz val="10"/>
        <color theme="1"/>
        <rFont val="Arial"/>
        <family val="2"/>
      </rPr>
      <t xml:space="preserve"> </t>
    </r>
  </si>
  <si>
    <r>
      <t>Integrated Record Production/Distribution</t>
    </r>
    <r>
      <rPr>
        <vertAlign val="superscript"/>
        <sz val="10"/>
        <color indexed="8"/>
        <rFont val="Arial"/>
        <family val="2"/>
      </rPr>
      <t>T</t>
    </r>
    <r>
      <rPr>
        <sz val="10"/>
        <color theme="1"/>
        <rFont val="Arial"/>
        <family val="2"/>
      </rPr>
      <t xml:space="preserve"> </t>
    </r>
  </si>
  <si>
    <r>
      <t>Music Publishers</t>
    </r>
    <r>
      <rPr>
        <vertAlign val="superscript"/>
        <sz val="10"/>
        <color indexed="8"/>
        <rFont val="Arial"/>
        <family val="2"/>
      </rPr>
      <t>T</t>
    </r>
    <r>
      <rPr>
        <sz val="10"/>
        <color theme="1"/>
        <rFont val="Arial"/>
        <family val="2"/>
      </rPr>
      <t xml:space="preserve"> </t>
    </r>
  </si>
  <si>
    <r>
      <t>Sound Recording Studios</t>
    </r>
    <r>
      <rPr>
        <vertAlign val="superscript"/>
        <sz val="10"/>
        <color indexed="8"/>
        <rFont val="Arial"/>
        <family val="2"/>
      </rPr>
      <t>T</t>
    </r>
    <r>
      <rPr>
        <sz val="10"/>
        <color theme="1"/>
        <rFont val="Arial"/>
        <family val="2"/>
      </rPr>
      <t xml:space="preserve"> </t>
    </r>
  </si>
  <si>
    <r>
      <t>Other Sound Recording Industries</t>
    </r>
    <r>
      <rPr>
        <vertAlign val="superscript"/>
        <sz val="10"/>
        <color indexed="8"/>
        <rFont val="Arial"/>
        <family val="2"/>
      </rPr>
      <t>T</t>
    </r>
    <r>
      <rPr>
        <sz val="10"/>
        <color theme="1"/>
        <rFont val="Arial"/>
        <family val="2"/>
      </rPr>
      <t xml:space="preserve"> </t>
    </r>
  </si>
  <si>
    <r>
      <t>Radio Broadcasting</t>
    </r>
    <r>
      <rPr>
        <vertAlign val="superscript"/>
        <sz val="10"/>
        <color indexed="8"/>
        <rFont val="Arial"/>
        <family val="2"/>
      </rPr>
      <t>T</t>
    </r>
    <r>
      <rPr>
        <sz val="10"/>
        <color theme="1"/>
        <rFont val="Arial"/>
        <family val="2"/>
      </rPr>
      <t xml:space="preserve"> </t>
    </r>
  </si>
  <si>
    <r>
      <t>Television Broadcasting</t>
    </r>
    <r>
      <rPr>
        <vertAlign val="superscript"/>
        <sz val="10"/>
        <color indexed="8"/>
        <rFont val="Arial"/>
        <family val="2"/>
      </rPr>
      <t>T</t>
    </r>
    <r>
      <rPr>
        <sz val="10"/>
        <color theme="1"/>
        <rFont val="Arial"/>
        <family val="2"/>
      </rPr>
      <t xml:space="preserve"> </t>
    </r>
  </si>
  <si>
    <r>
      <t>Cable and Other Subscription Programming</t>
    </r>
    <r>
      <rPr>
        <vertAlign val="superscript"/>
        <sz val="10"/>
        <color indexed="8"/>
        <rFont val="Arial"/>
        <family val="2"/>
      </rPr>
      <t>T</t>
    </r>
    <r>
      <rPr>
        <sz val="10"/>
        <color theme="1"/>
        <rFont val="Arial"/>
        <family val="2"/>
      </rPr>
      <t xml:space="preserve"> </t>
    </r>
  </si>
  <si>
    <r>
      <t>Wired Telecommunications Carriers</t>
    </r>
    <r>
      <rPr>
        <vertAlign val="superscript"/>
        <sz val="10"/>
        <color indexed="8"/>
        <rFont val="Arial"/>
        <family val="2"/>
      </rPr>
      <t>T</t>
    </r>
    <r>
      <rPr>
        <sz val="10"/>
        <color theme="1"/>
        <rFont val="Arial"/>
        <family val="2"/>
      </rPr>
      <t xml:space="preserve"> </t>
    </r>
  </si>
  <si>
    <r>
      <t>Wireless Telecommunications Carriers (except Satellite)</t>
    </r>
    <r>
      <rPr>
        <vertAlign val="superscript"/>
        <sz val="10"/>
        <color indexed="8"/>
        <rFont val="Arial"/>
        <family val="2"/>
      </rPr>
      <t>T</t>
    </r>
    <r>
      <rPr>
        <sz val="10"/>
        <color theme="1"/>
        <rFont val="Arial"/>
        <family val="2"/>
      </rPr>
      <t xml:space="preserve"> </t>
    </r>
  </si>
  <si>
    <r>
      <t>Satellite Telecommunications</t>
    </r>
    <r>
      <rPr>
        <vertAlign val="superscript"/>
        <sz val="10"/>
        <color indexed="8"/>
        <rFont val="Arial"/>
        <family val="2"/>
      </rPr>
      <t>T</t>
    </r>
    <r>
      <rPr>
        <sz val="10"/>
        <color theme="1"/>
        <rFont val="Arial"/>
        <family val="2"/>
      </rPr>
      <t xml:space="preserve"> </t>
    </r>
  </si>
  <si>
    <r>
      <t>Other Telecommunications</t>
    </r>
    <r>
      <rPr>
        <vertAlign val="superscript"/>
        <sz val="10"/>
        <color indexed="8"/>
        <rFont val="Arial"/>
        <family val="2"/>
      </rPr>
      <t>T</t>
    </r>
    <r>
      <rPr>
        <sz val="10"/>
        <color theme="1"/>
        <rFont val="Arial"/>
        <family val="2"/>
      </rPr>
      <t xml:space="preserve"> </t>
    </r>
  </si>
  <si>
    <r>
      <t>Data Processing, Hosting, and Related Services</t>
    </r>
    <r>
      <rPr>
        <vertAlign val="superscript"/>
        <sz val="10"/>
        <color indexed="8"/>
        <rFont val="Arial"/>
        <family val="2"/>
      </rPr>
      <t>T</t>
    </r>
    <r>
      <rPr>
        <sz val="10"/>
        <color theme="1"/>
        <rFont val="Arial"/>
        <family val="2"/>
      </rPr>
      <t xml:space="preserve"> </t>
    </r>
  </si>
  <si>
    <r>
      <t>News Syndicates</t>
    </r>
    <r>
      <rPr>
        <vertAlign val="superscript"/>
        <sz val="10"/>
        <color indexed="8"/>
        <rFont val="Arial"/>
        <family val="2"/>
      </rPr>
      <t>T</t>
    </r>
    <r>
      <rPr>
        <sz val="10"/>
        <color theme="1"/>
        <rFont val="Arial"/>
        <family val="2"/>
      </rPr>
      <t xml:space="preserve"> </t>
    </r>
  </si>
  <si>
    <r>
      <t>Libraries and Archives</t>
    </r>
    <r>
      <rPr>
        <vertAlign val="superscript"/>
        <sz val="10"/>
        <color indexed="8"/>
        <rFont val="Arial"/>
        <family val="2"/>
      </rPr>
      <t>T</t>
    </r>
    <r>
      <rPr>
        <sz val="10"/>
        <color theme="1"/>
        <rFont val="Arial"/>
        <family val="2"/>
      </rPr>
      <t xml:space="preserve"> </t>
    </r>
  </si>
  <si>
    <r>
      <t>Internet Publishing and Broadcasting and Web Search Portals</t>
    </r>
    <r>
      <rPr>
        <vertAlign val="superscript"/>
        <sz val="10"/>
        <color indexed="8"/>
        <rFont val="Arial"/>
        <family val="2"/>
      </rPr>
      <t>T</t>
    </r>
    <r>
      <rPr>
        <sz val="10"/>
        <color theme="1"/>
        <rFont val="Arial"/>
        <family val="2"/>
      </rPr>
      <t xml:space="preserve"> </t>
    </r>
  </si>
  <si>
    <r>
      <t>All Other Information Services</t>
    </r>
    <r>
      <rPr>
        <vertAlign val="superscript"/>
        <sz val="10"/>
        <color indexed="8"/>
        <rFont val="Arial"/>
        <family val="2"/>
      </rPr>
      <t>T</t>
    </r>
    <r>
      <rPr>
        <sz val="10"/>
        <color theme="1"/>
        <rFont val="Arial"/>
        <family val="2"/>
      </rPr>
      <t xml:space="preserve"> </t>
    </r>
  </si>
  <si>
    <r>
      <t>Monetary Authorities-Central Bank</t>
    </r>
    <r>
      <rPr>
        <vertAlign val="superscript"/>
        <sz val="10"/>
        <color indexed="8"/>
        <rFont val="Arial"/>
        <family val="2"/>
      </rPr>
      <t>T</t>
    </r>
    <r>
      <rPr>
        <sz val="10"/>
        <color theme="1"/>
        <rFont val="Arial"/>
        <family val="2"/>
      </rPr>
      <t xml:space="preserve"> </t>
    </r>
  </si>
  <si>
    <r>
      <t>Credit Intermediation and Related Activities</t>
    </r>
    <r>
      <rPr>
        <b/>
        <vertAlign val="superscript"/>
        <sz val="12"/>
        <color indexed="8"/>
        <rFont val="Arial"/>
        <family val="2"/>
      </rPr>
      <t>T</t>
    </r>
    <r>
      <rPr>
        <b/>
        <sz val="12"/>
        <color indexed="8"/>
        <rFont val="Arial"/>
        <family val="2"/>
      </rPr>
      <t xml:space="preserve"> </t>
    </r>
  </si>
  <si>
    <r>
      <t>Securities and Commodity Contracts Intermediation and Brokerage</t>
    </r>
    <r>
      <rPr>
        <b/>
        <vertAlign val="superscript"/>
        <sz val="10"/>
        <color indexed="8"/>
        <rFont val="Arial"/>
        <family val="2"/>
      </rPr>
      <t>T</t>
    </r>
    <r>
      <rPr>
        <b/>
        <sz val="10"/>
        <color indexed="8"/>
        <rFont val="Arial"/>
        <family val="2"/>
      </rPr>
      <t xml:space="preserve"> </t>
    </r>
  </si>
  <si>
    <r>
      <t>Securities and Commodity Exchanges</t>
    </r>
    <r>
      <rPr>
        <vertAlign val="superscript"/>
        <sz val="10"/>
        <color indexed="8"/>
        <rFont val="Arial"/>
        <family val="2"/>
      </rPr>
      <t>T</t>
    </r>
    <r>
      <rPr>
        <sz val="10"/>
        <color theme="1"/>
        <rFont val="Arial"/>
        <family val="2"/>
      </rPr>
      <t xml:space="preserve"> </t>
    </r>
  </si>
  <si>
    <r>
      <t>Other Financial Investment Activities</t>
    </r>
    <r>
      <rPr>
        <b/>
        <vertAlign val="superscript"/>
        <sz val="10"/>
        <color indexed="8"/>
        <rFont val="Arial"/>
        <family val="2"/>
      </rPr>
      <t>T</t>
    </r>
    <r>
      <rPr>
        <b/>
        <sz val="10"/>
        <color indexed="8"/>
        <rFont val="Arial"/>
        <family val="2"/>
      </rPr>
      <t xml:space="preserve"> </t>
    </r>
  </si>
  <si>
    <r>
      <t>Insurance Carriers</t>
    </r>
    <r>
      <rPr>
        <b/>
        <vertAlign val="superscript"/>
        <sz val="10"/>
        <color indexed="8"/>
        <rFont val="Arial"/>
        <family val="2"/>
      </rPr>
      <t>T</t>
    </r>
    <r>
      <rPr>
        <b/>
        <sz val="10"/>
        <color indexed="8"/>
        <rFont val="Arial"/>
        <family val="2"/>
      </rPr>
      <t xml:space="preserve"> </t>
    </r>
  </si>
  <si>
    <r>
      <t>Agencies, Brokerages, and Other Insurance Related Activities</t>
    </r>
    <r>
      <rPr>
        <b/>
        <vertAlign val="superscript"/>
        <sz val="10"/>
        <color indexed="8"/>
        <rFont val="Arial"/>
        <family val="2"/>
      </rPr>
      <t>T</t>
    </r>
    <r>
      <rPr>
        <b/>
        <sz val="10"/>
        <color indexed="8"/>
        <rFont val="Arial"/>
        <family val="2"/>
      </rPr>
      <t xml:space="preserve"> </t>
    </r>
  </si>
  <si>
    <r>
      <t>Lessors of Real Estate</t>
    </r>
    <r>
      <rPr>
        <b/>
        <vertAlign val="superscript"/>
        <sz val="10"/>
        <color indexed="8"/>
        <rFont val="Arial"/>
        <family val="2"/>
      </rPr>
      <t>T</t>
    </r>
    <r>
      <rPr>
        <b/>
        <sz val="10"/>
        <color indexed="8"/>
        <rFont val="Arial"/>
        <family val="2"/>
      </rPr>
      <t xml:space="preserve"> </t>
    </r>
  </si>
  <si>
    <r>
      <t>Offices of Real Estate Agents and Brokers</t>
    </r>
    <r>
      <rPr>
        <vertAlign val="superscript"/>
        <sz val="10"/>
        <color indexed="8"/>
        <rFont val="Arial"/>
        <family val="2"/>
      </rPr>
      <t>T</t>
    </r>
    <r>
      <rPr>
        <sz val="10"/>
        <color theme="1"/>
        <rFont val="Arial"/>
        <family val="2"/>
      </rPr>
      <t xml:space="preserve"> </t>
    </r>
  </si>
  <si>
    <r>
      <t>Activities Related to Real Estate</t>
    </r>
    <r>
      <rPr>
        <b/>
        <vertAlign val="superscript"/>
        <sz val="10"/>
        <color indexed="8"/>
        <rFont val="Arial"/>
        <family val="2"/>
      </rPr>
      <t>T</t>
    </r>
    <r>
      <rPr>
        <b/>
        <sz val="10"/>
        <color indexed="8"/>
        <rFont val="Arial"/>
        <family val="2"/>
      </rPr>
      <t xml:space="preserve"> </t>
    </r>
  </si>
  <si>
    <r>
      <t>Passenger Car Rental and Leasing</t>
    </r>
    <r>
      <rPr>
        <vertAlign val="superscript"/>
        <sz val="10"/>
        <color indexed="8"/>
        <rFont val="Arial"/>
        <family val="2"/>
      </rPr>
      <t>T</t>
    </r>
    <r>
      <rPr>
        <sz val="10"/>
        <color theme="1"/>
        <rFont val="Arial"/>
        <family val="2"/>
      </rPr>
      <t xml:space="preserve"> </t>
    </r>
  </si>
  <si>
    <r>
      <t>Truck, Utility Trailer, and RV (Recreational Vehicle) Rental and Leasing</t>
    </r>
    <r>
      <rPr>
        <vertAlign val="superscript"/>
        <sz val="10"/>
        <color indexed="8"/>
        <rFont val="Arial"/>
        <family val="2"/>
      </rPr>
      <t>T</t>
    </r>
    <r>
      <rPr>
        <sz val="10"/>
        <color theme="1"/>
        <rFont val="Arial"/>
        <family val="2"/>
      </rPr>
      <t xml:space="preserve"> </t>
    </r>
  </si>
  <si>
    <r>
      <t>Consumer Electronics and Appliances Rental</t>
    </r>
    <r>
      <rPr>
        <vertAlign val="superscript"/>
        <sz val="10"/>
        <color indexed="8"/>
        <rFont val="Arial"/>
        <family val="2"/>
      </rPr>
      <t>T</t>
    </r>
    <r>
      <rPr>
        <sz val="10"/>
        <color theme="1"/>
        <rFont val="Arial"/>
        <family val="2"/>
      </rPr>
      <t xml:space="preserve"> </t>
    </r>
  </si>
  <si>
    <r>
      <t>Formal Wear and Costume Rental</t>
    </r>
    <r>
      <rPr>
        <vertAlign val="superscript"/>
        <sz val="10"/>
        <color indexed="8"/>
        <rFont val="Arial"/>
        <family val="2"/>
      </rPr>
      <t>T</t>
    </r>
    <r>
      <rPr>
        <sz val="10"/>
        <color theme="1"/>
        <rFont val="Arial"/>
        <family val="2"/>
      </rPr>
      <t xml:space="preserve"> </t>
    </r>
  </si>
  <si>
    <r>
      <t>Video Tape and Disc Rental</t>
    </r>
    <r>
      <rPr>
        <vertAlign val="superscript"/>
        <sz val="10"/>
        <color indexed="8"/>
        <rFont val="Arial"/>
        <family val="2"/>
      </rPr>
      <t>T</t>
    </r>
    <r>
      <rPr>
        <sz val="10"/>
        <color theme="1"/>
        <rFont val="Arial"/>
        <family val="2"/>
      </rPr>
      <t xml:space="preserve"> </t>
    </r>
  </si>
  <si>
    <r>
      <t>Other Consumer Goods Rental</t>
    </r>
    <r>
      <rPr>
        <vertAlign val="superscript"/>
        <sz val="10"/>
        <color indexed="8"/>
        <rFont val="Arial"/>
        <family val="2"/>
      </rPr>
      <t>T</t>
    </r>
    <r>
      <rPr>
        <sz val="10"/>
        <color theme="1"/>
        <rFont val="Arial"/>
        <family val="2"/>
      </rPr>
      <t xml:space="preserve"> </t>
    </r>
  </si>
  <si>
    <r>
      <t>General Rental Centers</t>
    </r>
    <r>
      <rPr>
        <vertAlign val="superscript"/>
        <sz val="10"/>
        <color indexed="8"/>
        <rFont val="Arial"/>
        <family val="2"/>
      </rPr>
      <t>T</t>
    </r>
    <r>
      <rPr>
        <sz val="10"/>
        <color theme="1"/>
        <rFont val="Arial"/>
        <family val="2"/>
      </rPr>
      <t xml:space="preserve"> </t>
    </r>
  </si>
  <si>
    <r>
      <t>Construction, Transportation, Mining, and Forestry Machinery and Equipment Rental and Leasing</t>
    </r>
    <r>
      <rPr>
        <vertAlign val="superscript"/>
        <sz val="10"/>
        <color indexed="8"/>
        <rFont val="Arial"/>
        <family val="2"/>
      </rPr>
      <t>T</t>
    </r>
    <r>
      <rPr>
        <sz val="10"/>
        <color theme="1"/>
        <rFont val="Arial"/>
        <family val="2"/>
      </rPr>
      <t xml:space="preserve"> </t>
    </r>
  </si>
  <si>
    <r>
      <t>Office Machinery and Equipment Rental and Leasing</t>
    </r>
    <r>
      <rPr>
        <vertAlign val="superscript"/>
        <sz val="10"/>
        <color indexed="8"/>
        <rFont val="Arial"/>
        <family val="2"/>
      </rPr>
      <t>T</t>
    </r>
    <r>
      <rPr>
        <sz val="10"/>
        <color theme="1"/>
        <rFont val="Arial"/>
        <family val="2"/>
      </rPr>
      <t xml:space="preserve"> </t>
    </r>
  </si>
  <si>
    <r>
      <t>Other Commercial and Industrial Machinery and Equipment Rental and Leasing</t>
    </r>
    <r>
      <rPr>
        <vertAlign val="superscript"/>
        <sz val="10"/>
        <color indexed="8"/>
        <rFont val="Arial"/>
        <family val="2"/>
      </rPr>
      <t>T</t>
    </r>
    <r>
      <rPr>
        <sz val="10"/>
        <color theme="1"/>
        <rFont val="Arial"/>
        <family val="2"/>
      </rPr>
      <t xml:space="preserve"> </t>
    </r>
  </si>
  <si>
    <r>
      <t>Lessors of Nonfinancial Intangible Assets (except Copyrighted Works)</t>
    </r>
    <r>
      <rPr>
        <vertAlign val="superscript"/>
        <sz val="10"/>
        <color indexed="8"/>
        <rFont val="Arial"/>
        <family val="2"/>
      </rPr>
      <t>T</t>
    </r>
    <r>
      <rPr>
        <sz val="10"/>
        <color theme="1"/>
        <rFont val="Arial"/>
        <family val="2"/>
      </rPr>
      <t xml:space="preserve"> </t>
    </r>
  </si>
  <si>
    <r>
      <t>Offices of Lawyers</t>
    </r>
    <r>
      <rPr>
        <vertAlign val="superscript"/>
        <sz val="10"/>
        <color indexed="8"/>
        <rFont val="Arial"/>
        <family val="2"/>
      </rPr>
      <t>T</t>
    </r>
    <r>
      <rPr>
        <sz val="10"/>
        <color theme="1"/>
        <rFont val="Arial"/>
        <family val="2"/>
      </rPr>
      <t xml:space="preserve"> </t>
    </r>
  </si>
  <si>
    <r>
      <t>Offices of Notaries</t>
    </r>
    <r>
      <rPr>
        <vertAlign val="superscript"/>
        <sz val="10"/>
        <color indexed="8"/>
        <rFont val="Arial"/>
        <family val="2"/>
      </rPr>
      <t>T</t>
    </r>
    <r>
      <rPr>
        <sz val="10"/>
        <color theme="1"/>
        <rFont val="Arial"/>
        <family val="2"/>
      </rPr>
      <t xml:space="preserve"> </t>
    </r>
  </si>
  <si>
    <r>
      <t>Other Legal Services</t>
    </r>
    <r>
      <rPr>
        <vertAlign val="superscript"/>
        <sz val="10"/>
        <color indexed="8"/>
        <rFont val="Arial"/>
        <family val="2"/>
      </rPr>
      <t>T</t>
    </r>
    <r>
      <rPr>
        <sz val="10"/>
        <color theme="1"/>
        <rFont val="Arial"/>
        <family val="2"/>
      </rPr>
      <t xml:space="preserve"> </t>
    </r>
  </si>
  <si>
    <r>
      <t>Accounting, Tax Preparation, Bookkeeping, and Payroll Services</t>
    </r>
    <r>
      <rPr>
        <vertAlign val="superscript"/>
        <sz val="10"/>
        <color indexed="8"/>
        <rFont val="Arial"/>
        <family val="2"/>
      </rPr>
      <t>T</t>
    </r>
    <r>
      <rPr>
        <sz val="10"/>
        <color theme="1"/>
        <rFont val="Arial"/>
        <family val="2"/>
      </rPr>
      <t xml:space="preserve"> </t>
    </r>
  </si>
  <si>
    <r>
      <t>Architectural Services</t>
    </r>
    <r>
      <rPr>
        <vertAlign val="superscript"/>
        <sz val="10"/>
        <color indexed="8"/>
        <rFont val="Arial"/>
        <family val="2"/>
      </rPr>
      <t>T</t>
    </r>
    <r>
      <rPr>
        <sz val="10"/>
        <color theme="1"/>
        <rFont val="Arial"/>
        <family val="2"/>
      </rPr>
      <t xml:space="preserve"> </t>
    </r>
  </si>
  <si>
    <r>
      <t>Landscape Architectural Services</t>
    </r>
    <r>
      <rPr>
        <vertAlign val="superscript"/>
        <sz val="10"/>
        <color indexed="8"/>
        <rFont val="Arial"/>
        <family val="2"/>
      </rPr>
      <t>T</t>
    </r>
    <r>
      <rPr>
        <sz val="10"/>
        <color theme="1"/>
        <rFont val="Arial"/>
        <family val="2"/>
      </rPr>
      <t xml:space="preserve"> </t>
    </r>
  </si>
  <si>
    <r>
      <t>Engineering Services</t>
    </r>
    <r>
      <rPr>
        <vertAlign val="superscript"/>
        <sz val="10"/>
        <color indexed="8"/>
        <rFont val="Arial"/>
        <family val="2"/>
      </rPr>
      <t>T</t>
    </r>
    <r>
      <rPr>
        <sz val="10"/>
        <color theme="1"/>
        <rFont val="Arial"/>
        <family val="2"/>
      </rPr>
      <t xml:space="preserve"> </t>
    </r>
  </si>
  <si>
    <r>
      <t>Drafting Services</t>
    </r>
    <r>
      <rPr>
        <vertAlign val="superscript"/>
        <sz val="10"/>
        <color indexed="8"/>
        <rFont val="Arial"/>
        <family val="2"/>
      </rPr>
      <t>T</t>
    </r>
    <r>
      <rPr>
        <sz val="10"/>
        <color theme="1"/>
        <rFont val="Arial"/>
        <family val="2"/>
      </rPr>
      <t xml:space="preserve"> </t>
    </r>
  </si>
  <si>
    <r>
      <t>Building Inspection Services</t>
    </r>
    <r>
      <rPr>
        <vertAlign val="superscript"/>
        <sz val="10"/>
        <color indexed="8"/>
        <rFont val="Arial"/>
        <family val="2"/>
      </rPr>
      <t>T</t>
    </r>
    <r>
      <rPr>
        <sz val="10"/>
        <color theme="1"/>
        <rFont val="Arial"/>
        <family val="2"/>
      </rPr>
      <t xml:space="preserve"> </t>
    </r>
  </si>
  <si>
    <r>
      <t>Geophysical Surveying and Mapping Services</t>
    </r>
    <r>
      <rPr>
        <vertAlign val="superscript"/>
        <sz val="10"/>
        <color indexed="8"/>
        <rFont val="Arial"/>
        <family val="2"/>
      </rPr>
      <t>T</t>
    </r>
    <r>
      <rPr>
        <sz val="10"/>
        <color theme="1"/>
        <rFont val="Arial"/>
        <family val="2"/>
      </rPr>
      <t xml:space="preserve"> </t>
    </r>
  </si>
  <si>
    <r>
      <t>Surveying and Mapping (except Geophysical) Services</t>
    </r>
    <r>
      <rPr>
        <vertAlign val="superscript"/>
        <sz val="10"/>
        <color indexed="8"/>
        <rFont val="Arial"/>
        <family val="2"/>
      </rPr>
      <t>T</t>
    </r>
    <r>
      <rPr>
        <sz val="10"/>
        <color theme="1"/>
        <rFont val="Arial"/>
        <family val="2"/>
      </rPr>
      <t xml:space="preserve"> </t>
    </r>
  </si>
  <si>
    <r>
      <t>Testing Laboratories</t>
    </r>
    <r>
      <rPr>
        <vertAlign val="superscript"/>
        <sz val="10"/>
        <color indexed="8"/>
        <rFont val="Arial"/>
        <family val="2"/>
      </rPr>
      <t>T</t>
    </r>
    <r>
      <rPr>
        <sz val="10"/>
        <color theme="1"/>
        <rFont val="Arial"/>
        <family val="2"/>
      </rPr>
      <t xml:space="preserve"> </t>
    </r>
  </si>
  <si>
    <r>
      <t>Interior Design Services</t>
    </r>
    <r>
      <rPr>
        <vertAlign val="superscript"/>
        <sz val="10"/>
        <color indexed="8"/>
        <rFont val="Arial"/>
        <family val="2"/>
      </rPr>
      <t>T</t>
    </r>
    <r>
      <rPr>
        <sz val="10"/>
        <color theme="1"/>
        <rFont val="Arial"/>
        <family val="2"/>
      </rPr>
      <t xml:space="preserve"> </t>
    </r>
  </si>
  <si>
    <r>
      <t>Industrial Design Services</t>
    </r>
    <r>
      <rPr>
        <vertAlign val="superscript"/>
        <sz val="10"/>
        <color indexed="8"/>
        <rFont val="Arial"/>
        <family val="2"/>
      </rPr>
      <t>T</t>
    </r>
    <r>
      <rPr>
        <sz val="10"/>
        <color theme="1"/>
        <rFont val="Arial"/>
        <family val="2"/>
      </rPr>
      <t xml:space="preserve"> </t>
    </r>
  </si>
  <si>
    <r>
      <t>Graphic Design Services</t>
    </r>
    <r>
      <rPr>
        <vertAlign val="superscript"/>
        <sz val="10"/>
        <color indexed="8"/>
        <rFont val="Arial"/>
        <family val="2"/>
      </rPr>
      <t>T</t>
    </r>
    <r>
      <rPr>
        <sz val="10"/>
        <color theme="1"/>
        <rFont val="Arial"/>
        <family val="2"/>
      </rPr>
      <t xml:space="preserve"> </t>
    </r>
  </si>
  <si>
    <r>
      <t>Other Specialized Design Services</t>
    </r>
    <r>
      <rPr>
        <vertAlign val="superscript"/>
        <sz val="10"/>
        <color indexed="8"/>
        <rFont val="Arial"/>
        <family val="2"/>
      </rPr>
      <t>T</t>
    </r>
    <r>
      <rPr>
        <sz val="10"/>
        <color theme="1"/>
        <rFont val="Arial"/>
        <family val="2"/>
      </rPr>
      <t xml:space="preserve"> </t>
    </r>
  </si>
  <si>
    <r>
      <t>Computer Systems Design and Related Services</t>
    </r>
    <r>
      <rPr>
        <vertAlign val="superscript"/>
        <sz val="10"/>
        <color indexed="8"/>
        <rFont val="Arial"/>
        <family val="2"/>
      </rPr>
      <t>T</t>
    </r>
    <r>
      <rPr>
        <sz val="10"/>
        <color theme="1"/>
        <rFont val="Arial"/>
        <family val="2"/>
      </rPr>
      <t xml:space="preserve"> </t>
    </r>
  </si>
  <si>
    <r>
      <t>Management Consulting Services</t>
    </r>
    <r>
      <rPr>
        <vertAlign val="superscript"/>
        <sz val="10"/>
        <color indexed="8"/>
        <rFont val="Arial"/>
        <family val="2"/>
      </rPr>
      <t>T</t>
    </r>
    <r>
      <rPr>
        <sz val="10"/>
        <color theme="1"/>
        <rFont val="Arial"/>
        <family val="2"/>
      </rPr>
      <t xml:space="preserve"> </t>
    </r>
  </si>
  <si>
    <r>
      <t>Environmental Consulting Services</t>
    </r>
    <r>
      <rPr>
        <vertAlign val="superscript"/>
        <sz val="10"/>
        <color indexed="8"/>
        <rFont val="Arial"/>
        <family val="2"/>
      </rPr>
      <t>T</t>
    </r>
    <r>
      <rPr>
        <sz val="10"/>
        <color theme="1"/>
        <rFont val="Arial"/>
        <family val="2"/>
      </rPr>
      <t xml:space="preserve"> </t>
    </r>
  </si>
  <si>
    <r>
      <t>Other Scientific and Technical Consulting Services</t>
    </r>
    <r>
      <rPr>
        <vertAlign val="superscript"/>
        <sz val="10"/>
        <color indexed="8"/>
        <rFont val="Arial"/>
        <family val="2"/>
      </rPr>
      <t>T</t>
    </r>
    <r>
      <rPr>
        <sz val="10"/>
        <color theme="1"/>
        <rFont val="Arial"/>
        <family val="2"/>
      </rPr>
      <t xml:space="preserve"> </t>
    </r>
  </si>
  <si>
    <r>
      <t>Research and Development in the Physical, Engineering, and Life Sciences</t>
    </r>
    <r>
      <rPr>
        <vertAlign val="superscript"/>
        <sz val="10"/>
        <color indexed="8"/>
        <rFont val="Arial"/>
        <family val="2"/>
      </rPr>
      <t>T</t>
    </r>
    <r>
      <rPr>
        <sz val="10"/>
        <color theme="1"/>
        <rFont val="Arial"/>
        <family val="2"/>
      </rPr>
      <t xml:space="preserve"> </t>
    </r>
  </si>
  <si>
    <r>
      <t>Research and Development in the Social Sciences and Humanities</t>
    </r>
    <r>
      <rPr>
        <vertAlign val="superscript"/>
        <sz val="10"/>
        <color indexed="8"/>
        <rFont val="Arial"/>
        <family val="2"/>
      </rPr>
      <t>T</t>
    </r>
    <r>
      <rPr>
        <sz val="10"/>
        <color theme="1"/>
        <rFont val="Arial"/>
        <family val="2"/>
      </rPr>
      <t xml:space="preserve"> </t>
    </r>
  </si>
  <si>
    <r>
      <t>Advertising Agencies</t>
    </r>
    <r>
      <rPr>
        <vertAlign val="superscript"/>
        <sz val="10"/>
        <color indexed="8"/>
        <rFont val="Arial"/>
        <family val="2"/>
      </rPr>
      <t>T</t>
    </r>
    <r>
      <rPr>
        <sz val="10"/>
        <color theme="1"/>
        <rFont val="Arial"/>
        <family val="2"/>
      </rPr>
      <t xml:space="preserve"> </t>
    </r>
  </si>
  <si>
    <r>
      <t>Public Relations Agencies</t>
    </r>
    <r>
      <rPr>
        <vertAlign val="superscript"/>
        <sz val="10"/>
        <color indexed="8"/>
        <rFont val="Arial"/>
        <family val="2"/>
      </rPr>
      <t>T</t>
    </r>
    <r>
      <rPr>
        <sz val="10"/>
        <color theme="1"/>
        <rFont val="Arial"/>
        <family val="2"/>
      </rPr>
      <t xml:space="preserve"> </t>
    </r>
  </si>
  <si>
    <r>
      <t>Media Buying Agencies</t>
    </r>
    <r>
      <rPr>
        <vertAlign val="superscript"/>
        <sz val="10"/>
        <color indexed="8"/>
        <rFont val="Arial"/>
        <family val="2"/>
      </rPr>
      <t>T</t>
    </r>
    <r>
      <rPr>
        <sz val="10"/>
        <color theme="1"/>
        <rFont val="Arial"/>
        <family val="2"/>
      </rPr>
      <t xml:space="preserve"> </t>
    </r>
  </si>
  <si>
    <r>
      <t>Media Representatives</t>
    </r>
    <r>
      <rPr>
        <vertAlign val="superscript"/>
        <sz val="10"/>
        <color indexed="8"/>
        <rFont val="Arial"/>
        <family val="2"/>
      </rPr>
      <t>T</t>
    </r>
    <r>
      <rPr>
        <sz val="10"/>
        <color theme="1"/>
        <rFont val="Arial"/>
        <family val="2"/>
      </rPr>
      <t xml:space="preserve"> </t>
    </r>
  </si>
  <si>
    <r>
      <t>Outdoor Advertising</t>
    </r>
    <r>
      <rPr>
        <vertAlign val="superscript"/>
        <sz val="10"/>
        <color indexed="8"/>
        <rFont val="Arial"/>
        <family val="2"/>
      </rPr>
      <t>T</t>
    </r>
    <r>
      <rPr>
        <sz val="10"/>
        <color theme="1"/>
        <rFont val="Arial"/>
        <family val="2"/>
      </rPr>
      <t xml:space="preserve"> </t>
    </r>
  </si>
  <si>
    <r>
      <t>Direct Mail Advertising</t>
    </r>
    <r>
      <rPr>
        <vertAlign val="superscript"/>
        <sz val="10"/>
        <color indexed="8"/>
        <rFont val="Arial"/>
        <family val="2"/>
      </rPr>
      <t>T</t>
    </r>
    <r>
      <rPr>
        <sz val="10"/>
        <color theme="1"/>
        <rFont val="Arial"/>
        <family val="2"/>
      </rPr>
      <t xml:space="preserve"> </t>
    </r>
  </si>
  <si>
    <r>
      <t>Advertising Material Distribution Services</t>
    </r>
    <r>
      <rPr>
        <vertAlign val="superscript"/>
        <sz val="10"/>
        <color indexed="8"/>
        <rFont val="Arial"/>
        <family val="2"/>
      </rPr>
      <t>T</t>
    </r>
    <r>
      <rPr>
        <sz val="10"/>
        <color theme="1"/>
        <rFont val="Arial"/>
        <family val="2"/>
      </rPr>
      <t xml:space="preserve"> </t>
    </r>
  </si>
  <si>
    <r>
      <t>Other Services Related to Advertising</t>
    </r>
    <r>
      <rPr>
        <vertAlign val="superscript"/>
        <sz val="10"/>
        <color indexed="8"/>
        <rFont val="Arial"/>
        <family val="2"/>
      </rPr>
      <t>T</t>
    </r>
    <r>
      <rPr>
        <sz val="10"/>
        <color theme="1"/>
        <rFont val="Arial"/>
        <family val="2"/>
      </rPr>
      <t xml:space="preserve"> </t>
    </r>
  </si>
  <si>
    <r>
      <t>Marketing Research and Public Opinion Polling</t>
    </r>
    <r>
      <rPr>
        <vertAlign val="superscript"/>
        <sz val="10"/>
        <color indexed="8"/>
        <rFont val="Arial"/>
        <family val="2"/>
      </rPr>
      <t>T</t>
    </r>
    <r>
      <rPr>
        <sz val="10"/>
        <color theme="1"/>
        <rFont val="Arial"/>
        <family val="2"/>
      </rPr>
      <t xml:space="preserve"> </t>
    </r>
  </si>
  <si>
    <r>
      <t>Photographic Services</t>
    </r>
    <r>
      <rPr>
        <vertAlign val="superscript"/>
        <sz val="10"/>
        <color indexed="8"/>
        <rFont val="Arial"/>
        <family val="2"/>
      </rPr>
      <t>T</t>
    </r>
    <r>
      <rPr>
        <sz val="10"/>
        <color theme="1"/>
        <rFont val="Arial"/>
        <family val="2"/>
      </rPr>
      <t xml:space="preserve"> </t>
    </r>
  </si>
  <si>
    <r>
      <t>Translation and Interpretation Services</t>
    </r>
    <r>
      <rPr>
        <vertAlign val="superscript"/>
        <sz val="10"/>
        <color indexed="8"/>
        <rFont val="Arial"/>
        <family val="2"/>
      </rPr>
      <t>T</t>
    </r>
    <r>
      <rPr>
        <sz val="10"/>
        <color theme="1"/>
        <rFont val="Arial"/>
        <family val="2"/>
      </rPr>
      <t xml:space="preserve"> </t>
    </r>
  </si>
  <si>
    <r>
      <t>Veterinary Services</t>
    </r>
    <r>
      <rPr>
        <vertAlign val="superscript"/>
        <sz val="10"/>
        <color indexed="8"/>
        <rFont val="Arial"/>
        <family val="2"/>
      </rPr>
      <t>T</t>
    </r>
    <r>
      <rPr>
        <sz val="10"/>
        <color theme="1"/>
        <rFont val="Arial"/>
        <family val="2"/>
      </rPr>
      <t xml:space="preserve"> </t>
    </r>
  </si>
  <si>
    <r>
      <t>All Other Professional, Scientific, and Technical Services</t>
    </r>
    <r>
      <rPr>
        <vertAlign val="superscript"/>
        <sz val="10"/>
        <color indexed="8"/>
        <rFont val="Arial"/>
        <family val="2"/>
      </rPr>
      <t>T</t>
    </r>
    <r>
      <rPr>
        <sz val="10"/>
        <color theme="1"/>
        <rFont val="Arial"/>
        <family val="2"/>
      </rPr>
      <t xml:space="preserve"> </t>
    </r>
  </si>
  <si>
    <r>
      <t>Management of Companies and Enterprises</t>
    </r>
    <r>
      <rPr>
        <vertAlign val="superscript"/>
        <sz val="10"/>
        <color indexed="8"/>
        <rFont val="Arial"/>
        <family val="2"/>
      </rPr>
      <t>T</t>
    </r>
    <r>
      <rPr>
        <sz val="10"/>
        <color theme="1"/>
        <rFont val="Arial"/>
        <family val="2"/>
      </rPr>
      <t xml:space="preserve"> </t>
    </r>
  </si>
  <si>
    <r>
      <t>Office Administrative Services</t>
    </r>
    <r>
      <rPr>
        <vertAlign val="superscript"/>
        <sz val="10"/>
        <color indexed="8"/>
        <rFont val="Arial"/>
        <family val="2"/>
      </rPr>
      <t>T</t>
    </r>
    <r>
      <rPr>
        <sz val="10"/>
        <color theme="1"/>
        <rFont val="Arial"/>
        <family val="2"/>
      </rPr>
      <t xml:space="preserve"> </t>
    </r>
  </si>
  <si>
    <r>
      <t>Facilities Support Services</t>
    </r>
    <r>
      <rPr>
        <vertAlign val="superscript"/>
        <sz val="10"/>
        <color indexed="8"/>
        <rFont val="Arial"/>
        <family val="2"/>
      </rPr>
      <t>T</t>
    </r>
    <r>
      <rPr>
        <sz val="10"/>
        <color theme="1"/>
        <rFont val="Arial"/>
        <family val="2"/>
      </rPr>
      <t xml:space="preserve"> </t>
    </r>
  </si>
  <si>
    <r>
      <t>Employment Placement Agencies and Executive Search Services</t>
    </r>
    <r>
      <rPr>
        <vertAlign val="superscript"/>
        <sz val="10"/>
        <color indexed="8"/>
        <rFont val="Arial"/>
        <family val="2"/>
      </rPr>
      <t>T</t>
    </r>
    <r>
      <rPr>
        <sz val="10"/>
        <color theme="1"/>
        <rFont val="Arial"/>
        <family val="2"/>
      </rPr>
      <t xml:space="preserve"> </t>
    </r>
  </si>
  <si>
    <r>
      <t>Executive Search Services</t>
    </r>
    <r>
      <rPr>
        <sz val="10"/>
        <color theme="1"/>
        <rFont val="Arial"/>
        <family val="2"/>
      </rPr>
      <t xml:space="preserve"> </t>
    </r>
  </si>
  <si>
    <r>
      <t>Temporary Help Services</t>
    </r>
    <r>
      <rPr>
        <vertAlign val="superscript"/>
        <sz val="10"/>
        <color indexed="8"/>
        <rFont val="Arial"/>
        <family val="2"/>
      </rPr>
      <t>T</t>
    </r>
    <r>
      <rPr>
        <sz val="10"/>
        <color theme="1"/>
        <rFont val="Arial"/>
        <family val="2"/>
      </rPr>
      <t xml:space="preserve"> </t>
    </r>
  </si>
  <si>
    <r>
      <t>Professional Employer Organizations</t>
    </r>
    <r>
      <rPr>
        <vertAlign val="superscript"/>
        <sz val="10"/>
        <color indexed="8"/>
        <rFont val="Arial"/>
        <family val="2"/>
      </rPr>
      <t>T</t>
    </r>
    <r>
      <rPr>
        <sz val="10"/>
        <color theme="1"/>
        <rFont val="Arial"/>
        <family val="2"/>
      </rPr>
      <t xml:space="preserve"> </t>
    </r>
  </si>
  <si>
    <r>
      <t>Document Preparation Services</t>
    </r>
    <r>
      <rPr>
        <vertAlign val="superscript"/>
        <sz val="10"/>
        <color indexed="8"/>
        <rFont val="Arial"/>
        <family val="2"/>
      </rPr>
      <t>T</t>
    </r>
    <r>
      <rPr>
        <sz val="10"/>
        <color theme="1"/>
        <rFont val="Arial"/>
        <family val="2"/>
      </rPr>
      <t xml:space="preserve"> </t>
    </r>
  </si>
  <si>
    <r>
      <t>Telephone Call Centers</t>
    </r>
    <r>
      <rPr>
        <vertAlign val="superscript"/>
        <sz val="10"/>
        <color indexed="8"/>
        <rFont val="Arial"/>
        <family val="2"/>
      </rPr>
      <t>T</t>
    </r>
    <r>
      <rPr>
        <sz val="10"/>
        <color theme="1"/>
        <rFont val="Arial"/>
        <family val="2"/>
      </rPr>
      <t xml:space="preserve"> </t>
    </r>
  </si>
  <si>
    <r>
      <t>Business Service Centers</t>
    </r>
    <r>
      <rPr>
        <vertAlign val="superscript"/>
        <sz val="10"/>
        <color indexed="8"/>
        <rFont val="Arial"/>
        <family val="2"/>
      </rPr>
      <t>T</t>
    </r>
    <r>
      <rPr>
        <sz val="10"/>
        <color theme="1"/>
        <rFont val="Arial"/>
        <family val="2"/>
      </rPr>
      <t xml:space="preserve"> </t>
    </r>
  </si>
  <si>
    <r>
      <t>Collection Agencies</t>
    </r>
    <r>
      <rPr>
        <vertAlign val="superscript"/>
        <sz val="10"/>
        <color indexed="8"/>
        <rFont val="Arial"/>
        <family val="2"/>
      </rPr>
      <t>T</t>
    </r>
    <r>
      <rPr>
        <sz val="10"/>
        <color theme="1"/>
        <rFont val="Arial"/>
        <family val="2"/>
      </rPr>
      <t xml:space="preserve"> </t>
    </r>
  </si>
  <si>
    <r>
      <t>Credit Bureaus</t>
    </r>
    <r>
      <rPr>
        <vertAlign val="superscript"/>
        <sz val="10"/>
        <color indexed="8"/>
        <rFont val="Arial"/>
        <family val="2"/>
      </rPr>
      <t>T</t>
    </r>
    <r>
      <rPr>
        <sz val="10"/>
        <color theme="1"/>
        <rFont val="Arial"/>
        <family val="2"/>
      </rPr>
      <t xml:space="preserve"> </t>
    </r>
  </si>
  <si>
    <r>
      <t>Other Business Support Services</t>
    </r>
    <r>
      <rPr>
        <vertAlign val="superscript"/>
        <sz val="10"/>
        <color indexed="8"/>
        <rFont val="Arial"/>
        <family val="2"/>
      </rPr>
      <t>T</t>
    </r>
    <r>
      <rPr>
        <sz val="10"/>
        <color theme="1"/>
        <rFont val="Arial"/>
        <family val="2"/>
      </rPr>
      <t xml:space="preserve"> </t>
    </r>
  </si>
  <si>
    <r>
      <t>Travel Agencies</t>
    </r>
    <r>
      <rPr>
        <vertAlign val="superscript"/>
        <sz val="10"/>
        <color indexed="8"/>
        <rFont val="Arial"/>
        <family val="2"/>
      </rPr>
      <t>T</t>
    </r>
    <r>
      <rPr>
        <sz val="10"/>
        <color theme="1"/>
        <rFont val="Arial"/>
        <family val="2"/>
      </rPr>
      <t xml:space="preserve"> </t>
    </r>
  </si>
  <si>
    <r>
      <t>Tour Operators</t>
    </r>
    <r>
      <rPr>
        <vertAlign val="superscript"/>
        <sz val="10"/>
        <color indexed="8"/>
        <rFont val="Arial"/>
        <family val="2"/>
      </rPr>
      <t>T</t>
    </r>
    <r>
      <rPr>
        <sz val="10"/>
        <color theme="1"/>
        <rFont val="Arial"/>
        <family val="2"/>
      </rPr>
      <t xml:space="preserve"> </t>
    </r>
  </si>
  <si>
    <r>
      <t>Other Travel Arrangement and Reservation Services</t>
    </r>
    <r>
      <rPr>
        <vertAlign val="superscript"/>
        <sz val="10"/>
        <color indexed="8"/>
        <rFont val="Arial"/>
        <family val="2"/>
      </rPr>
      <t>T</t>
    </r>
    <r>
      <rPr>
        <sz val="10"/>
        <color theme="1"/>
        <rFont val="Arial"/>
        <family val="2"/>
      </rPr>
      <t xml:space="preserve"> </t>
    </r>
  </si>
  <si>
    <r>
      <t>Investigation, Guard, and Armored Car Services</t>
    </r>
    <r>
      <rPr>
        <vertAlign val="superscript"/>
        <sz val="10"/>
        <color indexed="8"/>
        <rFont val="Arial"/>
        <family val="2"/>
      </rPr>
      <t>T</t>
    </r>
    <r>
      <rPr>
        <sz val="10"/>
        <color theme="1"/>
        <rFont val="Arial"/>
        <family val="2"/>
      </rPr>
      <t xml:space="preserve"> </t>
    </r>
  </si>
  <si>
    <r>
      <t>Security Systems Services</t>
    </r>
    <r>
      <rPr>
        <vertAlign val="superscript"/>
        <sz val="10"/>
        <color indexed="8"/>
        <rFont val="Arial"/>
        <family val="2"/>
      </rPr>
      <t>T</t>
    </r>
    <r>
      <rPr>
        <sz val="10"/>
        <color theme="1"/>
        <rFont val="Arial"/>
        <family val="2"/>
      </rPr>
      <t xml:space="preserve"> </t>
    </r>
  </si>
  <si>
    <r>
      <t>Exterminating and Pest Control Services</t>
    </r>
    <r>
      <rPr>
        <vertAlign val="superscript"/>
        <sz val="10"/>
        <color indexed="8"/>
        <rFont val="Arial"/>
        <family val="2"/>
      </rPr>
      <t>T</t>
    </r>
    <r>
      <rPr>
        <sz val="10"/>
        <color theme="1"/>
        <rFont val="Arial"/>
        <family val="2"/>
      </rPr>
      <t xml:space="preserve"> </t>
    </r>
  </si>
  <si>
    <r>
      <t>Janitorial Services</t>
    </r>
    <r>
      <rPr>
        <vertAlign val="superscript"/>
        <sz val="10"/>
        <color indexed="8"/>
        <rFont val="Arial"/>
        <family val="2"/>
      </rPr>
      <t>T</t>
    </r>
    <r>
      <rPr>
        <sz val="10"/>
        <color theme="1"/>
        <rFont val="Arial"/>
        <family val="2"/>
      </rPr>
      <t xml:space="preserve"> </t>
    </r>
  </si>
  <si>
    <r>
      <t>Landscaping Services</t>
    </r>
    <r>
      <rPr>
        <vertAlign val="superscript"/>
        <sz val="10"/>
        <color indexed="8"/>
        <rFont val="Arial"/>
        <family val="2"/>
      </rPr>
      <t>T</t>
    </r>
    <r>
      <rPr>
        <sz val="10"/>
        <color theme="1"/>
        <rFont val="Arial"/>
        <family val="2"/>
      </rPr>
      <t xml:space="preserve"> </t>
    </r>
  </si>
  <si>
    <r>
      <t>Carpet and Upholstery Cleaning Services</t>
    </r>
    <r>
      <rPr>
        <vertAlign val="superscript"/>
        <sz val="10"/>
        <color indexed="8"/>
        <rFont val="Arial"/>
        <family val="2"/>
      </rPr>
      <t>T</t>
    </r>
    <r>
      <rPr>
        <sz val="10"/>
        <color theme="1"/>
        <rFont val="Arial"/>
        <family val="2"/>
      </rPr>
      <t xml:space="preserve"> </t>
    </r>
  </si>
  <si>
    <r>
      <t>Other Services to Buildings and Dwellings</t>
    </r>
    <r>
      <rPr>
        <vertAlign val="superscript"/>
        <sz val="10"/>
        <color indexed="8"/>
        <rFont val="Arial"/>
        <family val="2"/>
      </rPr>
      <t>T</t>
    </r>
    <r>
      <rPr>
        <sz val="10"/>
        <color theme="1"/>
        <rFont val="Arial"/>
        <family val="2"/>
      </rPr>
      <t xml:space="preserve"> </t>
    </r>
  </si>
  <si>
    <r>
      <t>Packaging and Labeling Services</t>
    </r>
    <r>
      <rPr>
        <vertAlign val="superscript"/>
        <sz val="10"/>
        <color indexed="8"/>
        <rFont val="Arial"/>
        <family val="2"/>
      </rPr>
      <t>T</t>
    </r>
    <r>
      <rPr>
        <sz val="10"/>
        <color theme="1"/>
        <rFont val="Arial"/>
        <family val="2"/>
      </rPr>
      <t xml:space="preserve"> </t>
    </r>
  </si>
  <si>
    <r>
      <t>Convention and Trade Show Organizers</t>
    </r>
    <r>
      <rPr>
        <vertAlign val="superscript"/>
        <sz val="10"/>
        <color indexed="8"/>
        <rFont val="Arial"/>
        <family val="2"/>
      </rPr>
      <t>T</t>
    </r>
    <r>
      <rPr>
        <sz val="10"/>
        <color theme="1"/>
        <rFont val="Arial"/>
        <family val="2"/>
      </rPr>
      <t xml:space="preserve"> </t>
    </r>
  </si>
  <si>
    <r>
      <t>All Other Support Services</t>
    </r>
    <r>
      <rPr>
        <vertAlign val="superscript"/>
        <sz val="10"/>
        <color indexed="8"/>
        <rFont val="Arial"/>
        <family val="2"/>
      </rPr>
      <t>T</t>
    </r>
    <r>
      <rPr>
        <sz val="10"/>
        <color theme="1"/>
        <rFont val="Arial"/>
        <family val="2"/>
      </rPr>
      <t xml:space="preserve"> </t>
    </r>
  </si>
  <si>
    <r>
      <t>Waste Management and Remediation Services</t>
    </r>
    <r>
      <rPr>
        <b/>
        <vertAlign val="superscript"/>
        <sz val="12"/>
        <color indexed="8"/>
        <rFont val="Arial"/>
        <family val="2"/>
      </rPr>
      <t>T</t>
    </r>
    <r>
      <rPr>
        <b/>
        <sz val="12"/>
        <color indexed="8"/>
        <rFont val="Arial"/>
        <family val="2"/>
      </rPr>
      <t xml:space="preserve"> </t>
    </r>
  </si>
  <si>
    <r>
      <t>Elementary and Secondary Schools</t>
    </r>
    <r>
      <rPr>
        <b/>
        <vertAlign val="superscript"/>
        <sz val="10"/>
        <color indexed="8"/>
        <rFont val="Arial"/>
        <family val="2"/>
      </rPr>
      <t>T</t>
    </r>
    <r>
      <rPr>
        <b/>
        <sz val="10"/>
        <color indexed="8"/>
        <rFont val="Arial"/>
        <family val="2"/>
      </rPr>
      <t xml:space="preserve"> </t>
    </r>
  </si>
  <si>
    <r>
      <t>Junior Colleges</t>
    </r>
    <r>
      <rPr>
        <vertAlign val="superscript"/>
        <sz val="10"/>
        <color indexed="8"/>
        <rFont val="Arial"/>
        <family val="2"/>
      </rPr>
      <t>T</t>
    </r>
    <r>
      <rPr>
        <sz val="10"/>
        <color theme="1"/>
        <rFont val="Arial"/>
        <family val="2"/>
      </rPr>
      <t xml:space="preserve"> </t>
    </r>
  </si>
  <si>
    <r>
      <t>Colleges, Universities, and Professional Schools</t>
    </r>
    <r>
      <rPr>
        <vertAlign val="superscript"/>
        <sz val="10"/>
        <color indexed="8"/>
        <rFont val="Arial"/>
        <family val="2"/>
      </rPr>
      <t>T</t>
    </r>
    <r>
      <rPr>
        <sz val="10"/>
        <color theme="1"/>
        <rFont val="Arial"/>
        <family val="2"/>
      </rPr>
      <t xml:space="preserve"> </t>
    </r>
  </si>
  <si>
    <r>
      <t>Business and Secretarial Schools</t>
    </r>
    <r>
      <rPr>
        <vertAlign val="superscript"/>
        <sz val="10"/>
        <color indexed="8"/>
        <rFont val="Arial"/>
        <family val="2"/>
      </rPr>
      <t>T</t>
    </r>
    <r>
      <rPr>
        <sz val="10"/>
        <color theme="1"/>
        <rFont val="Arial"/>
        <family val="2"/>
      </rPr>
      <t xml:space="preserve"> </t>
    </r>
  </si>
  <si>
    <r>
      <t>Computer Training</t>
    </r>
    <r>
      <rPr>
        <vertAlign val="superscript"/>
        <sz val="10"/>
        <color indexed="8"/>
        <rFont val="Arial"/>
        <family val="2"/>
      </rPr>
      <t>T</t>
    </r>
    <r>
      <rPr>
        <sz val="10"/>
        <color theme="1"/>
        <rFont val="Arial"/>
        <family val="2"/>
      </rPr>
      <t xml:space="preserve"> </t>
    </r>
  </si>
  <si>
    <r>
      <t>Professional and Management Development Training</t>
    </r>
    <r>
      <rPr>
        <vertAlign val="superscript"/>
        <sz val="10"/>
        <color indexed="8"/>
        <rFont val="Arial"/>
        <family val="2"/>
      </rPr>
      <t>T</t>
    </r>
    <r>
      <rPr>
        <sz val="10"/>
        <color theme="1"/>
        <rFont val="Arial"/>
        <family val="2"/>
      </rPr>
      <t xml:space="preserve"> </t>
    </r>
  </si>
  <si>
    <r>
      <t>Technical and Trade Schools</t>
    </r>
    <r>
      <rPr>
        <vertAlign val="superscript"/>
        <sz val="10"/>
        <color indexed="8"/>
        <rFont val="Arial"/>
        <family val="2"/>
      </rPr>
      <t>T</t>
    </r>
    <r>
      <rPr>
        <sz val="10"/>
        <color theme="1"/>
        <rFont val="Arial"/>
        <family val="2"/>
      </rPr>
      <t xml:space="preserve"> </t>
    </r>
  </si>
  <si>
    <r>
      <t>Fine Arts Schools</t>
    </r>
    <r>
      <rPr>
        <vertAlign val="superscript"/>
        <sz val="10"/>
        <color indexed="8"/>
        <rFont val="Arial"/>
        <family val="2"/>
      </rPr>
      <t>T</t>
    </r>
    <r>
      <rPr>
        <sz val="10"/>
        <color theme="1"/>
        <rFont val="Arial"/>
        <family val="2"/>
      </rPr>
      <t xml:space="preserve"> </t>
    </r>
  </si>
  <si>
    <r>
      <t>Sports and Recreation Instruction</t>
    </r>
    <r>
      <rPr>
        <vertAlign val="superscript"/>
        <sz val="10"/>
        <color indexed="8"/>
        <rFont val="Arial"/>
        <family val="2"/>
      </rPr>
      <t>T</t>
    </r>
    <r>
      <rPr>
        <sz val="10"/>
        <color theme="1"/>
        <rFont val="Arial"/>
        <family val="2"/>
      </rPr>
      <t xml:space="preserve"> </t>
    </r>
  </si>
  <si>
    <r>
      <t>Language Schools</t>
    </r>
    <r>
      <rPr>
        <vertAlign val="superscript"/>
        <sz val="10"/>
        <color indexed="8"/>
        <rFont val="Arial"/>
        <family val="2"/>
      </rPr>
      <t>T</t>
    </r>
    <r>
      <rPr>
        <sz val="10"/>
        <color theme="1"/>
        <rFont val="Arial"/>
        <family val="2"/>
      </rPr>
      <t xml:space="preserve"> </t>
    </r>
  </si>
  <si>
    <r>
      <t>All Other Schools and Instruction</t>
    </r>
    <r>
      <rPr>
        <vertAlign val="superscript"/>
        <sz val="10"/>
        <color indexed="8"/>
        <rFont val="Arial"/>
        <family val="2"/>
      </rPr>
      <t>T</t>
    </r>
    <r>
      <rPr>
        <sz val="10"/>
        <color theme="1"/>
        <rFont val="Arial"/>
        <family val="2"/>
      </rPr>
      <t xml:space="preserve"> </t>
    </r>
  </si>
  <si>
    <r>
      <t>Educational Support Services</t>
    </r>
    <r>
      <rPr>
        <vertAlign val="superscript"/>
        <sz val="10"/>
        <color indexed="8"/>
        <rFont val="Arial"/>
        <family val="2"/>
      </rPr>
      <t>T</t>
    </r>
    <r>
      <rPr>
        <sz val="10"/>
        <color theme="1"/>
        <rFont val="Arial"/>
        <family val="2"/>
      </rPr>
      <t xml:space="preserve"> </t>
    </r>
  </si>
  <si>
    <r>
      <t>Offices of Physicians</t>
    </r>
    <r>
      <rPr>
        <vertAlign val="superscript"/>
        <sz val="10"/>
        <color indexed="8"/>
        <rFont val="Arial"/>
        <family val="2"/>
      </rPr>
      <t>T</t>
    </r>
    <r>
      <rPr>
        <sz val="10"/>
        <color theme="1"/>
        <rFont val="Arial"/>
        <family val="2"/>
      </rPr>
      <t xml:space="preserve"> </t>
    </r>
  </si>
  <si>
    <r>
      <t>Offices of Dentists</t>
    </r>
    <r>
      <rPr>
        <vertAlign val="superscript"/>
        <sz val="10"/>
        <color indexed="8"/>
        <rFont val="Arial"/>
        <family val="2"/>
      </rPr>
      <t>T</t>
    </r>
    <r>
      <rPr>
        <sz val="10"/>
        <color theme="1"/>
        <rFont val="Arial"/>
        <family val="2"/>
      </rPr>
      <t xml:space="preserve"> </t>
    </r>
  </si>
  <si>
    <r>
      <t>Offices of Chiropractors</t>
    </r>
    <r>
      <rPr>
        <vertAlign val="superscript"/>
        <sz val="10"/>
        <color indexed="8"/>
        <rFont val="Arial"/>
        <family val="2"/>
      </rPr>
      <t>T</t>
    </r>
    <r>
      <rPr>
        <sz val="10"/>
        <color theme="1"/>
        <rFont val="Arial"/>
        <family val="2"/>
      </rPr>
      <t xml:space="preserve"> </t>
    </r>
  </si>
  <si>
    <r>
      <t>Offices of Optometrists</t>
    </r>
    <r>
      <rPr>
        <vertAlign val="superscript"/>
        <sz val="10"/>
        <color indexed="8"/>
        <rFont val="Arial"/>
        <family val="2"/>
      </rPr>
      <t>T</t>
    </r>
    <r>
      <rPr>
        <sz val="10"/>
        <color theme="1"/>
        <rFont val="Arial"/>
        <family val="2"/>
      </rPr>
      <t xml:space="preserve"> </t>
    </r>
  </si>
  <si>
    <r>
      <t>Offices of Mental Health Practitioners (except Physicians)</t>
    </r>
    <r>
      <rPr>
        <vertAlign val="superscript"/>
        <sz val="10"/>
        <color indexed="8"/>
        <rFont val="Arial"/>
        <family val="2"/>
      </rPr>
      <t>T</t>
    </r>
    <r>
      <rPr>
        <sz val="10"/>
        <color theme="1"/>
        <rFont val="Arial"/>
        <family val="2"/>
      </rPr>
      <t xml:space="preserve"> </t>
    </r>
  </si>
  <si>
    <r>
      <t>Offices of Physical, Occupational and Speech Therapists, and Audiologists</t>
    </r>
    <r>
      <rPr>
        <vertAlign val="superscript"/>
        <sz val="10"/>
        <color indexed="8"/>
        <rFont val="Arial"/>
        <family val="2"/>
      </rPr>
      <t>T</t>
    </r>
    <r>
      <rPr>
        <sz val="10"/>
        <color theme="1"/>
        <rFont val="Arial"/>
        <family val="2"/>
      </rPr>
      <t xml:space="preserve"> </t>
    </r>
  </si>
  <si>
    <r>
      <t>Offices of All Other Health Practitioners</t>
    </r>
    <r>
      <rPr>
        <vertAlign val="superscript"/>
        <sz val="10"/>
        <color indexed="8"/>
        <rFont val="Arial"/>
        <family val="2"/>
      </rPr>
      <t>T</t>
    </r>
    <r>
      <rPr>
        <sz val="10"/>
        <color theme="1"/>
        <rFont val="Arial"/>
        <family val="2"/>
      </rPr>
      <t xml:space="preserve"> </t>
    </r>
  </si>
  <si>
    <r>
      <t>Family Planning Centers</t>
    </r>
    <r>
      <rPr>
        <vertAlign val="superscript"/>
        <sz val="10"/>
        <color indexed="8"/>
        <rFont val="Arial"/>
        <family val="2"/>
      </rPr>
      <t>T</t>
    </r>
    <r>
      <rPr>
        <sz val="10"/>
        <color theme="1"/>
        <rFont val="Arial"/>
        <family val="2"/>
      </rPr>
      <t xml:space="preserve"> </t>
    </r>
  </si>
  <si>
    <r>
      <t>Outpatient Mental Health and Substance Abuse Centers</t>
    </r>
    <r>
      <rPr>
        <vertAlign val="superscript"/>
        <sz val="10"/>
        <color indexed="8"/>
        <rFont val="Arial"/>
        <family val="2"/>
      </rPr>
      <t>T</t>
    </r>
    <r>
      <rPr>
        <sz val="10"/>
        <color theme="1"/>
        <rFont val="Arial"/>
        <family val="2"/>
      </rPr>
      <t xml:space="preserve"> </t>
    </r>
  </si>
  <si>
    <r>
      <t>Other Outpatient Care Centers</t>
    </r>
    <r>
      <rPr>
        <vertAlign val="superscript"/>
        <sz val="10"/>
        <color indexed="8"/>
        <rFont val="Arial"/>
        <family val="2"/>
      </rPr>
      <t>T</t>
    </r>
    <r>
      <rPr>
        <sz val="10"/>
        <color theme="1"/>
        <rFont val="Arial"/>
        <family val="2"/>
      </rPr>
      <t xml:space="preserve"> </t>
    </r>
  </si>
  <si>
    <r>
      <t>Medical and Diagnostic Laboratories</t>
    </r>
    <r>
      <rPr>
        <vertAlign val="superscript"/>
        <sz val="10"/>
        <color indexed="8"/>
        <rFont val="Arial"/>
        <family val="2"/>
      </rPr>
      <t>T</t>
    </r>
    <r>
      <rPr>
        <sz val="10"/>
        <color theme="1"/>
        <rFont val="Arial"/>
        <family val="2"/>
      </rPr>
      <t xml:space="preserve"> </t>
    </r>
  </si>
  <si>
    <r>
      <t>Home Health Care Services</t>
    </r>
    <r>
      <rPr>
        <vertAlign val="superscript"/>
        <sz val="10"/>
        <color indexed="8"/>
        <rFont val="Arial"/>
        <family val="2"/>
      </rPr>
      <t>T</t>
    </r>
    <r>
      <rPr>
        <sz val="10"/>
        <color theme="1"/>
        <rFont val="Arial"/>
        <family val="2"/>
      </rPr>
      <t xml:space="preserve"> </t>
    </r>
  </si>
  <si>
    <r>
      <t>Ambulance Services</t>
    </r>
    <r>
      <rPr>
        <vertAlign val="superscript"/>
        <sz val="10"/>
        <color indexed="8"/>
        <rFont val="Arial"/>
        <family val="2"/>
      </rPr>
      <t>T</t>
    </r>
    <r>
      <rPr>
        <sz val="10"/>
        <color theme="1"/>
        <rFont val="Arial"/>
        <family val="2"/>
      </rPr>
      <t xml:space="preserve"> </t>
    </r>
  </si>
  <si>
    <r>
      <t>All Other Ambulatory Health Care Services</t>
    </r>
    <r>
      <rPr>
        <vertAlign val="superscript"/>
        <sz val="10"/>
        <color indexed="8"/>
        <rFont val="Arial"/>
        <family val="2"/>
      </rPr>
      <t>T</t>
    </r>
    <r>
      <rPr>
        <sz val="10"/>
        <color theme="1"/>
        <rFont val="Arial"/>
        <family val="2"/>
      </rPr>
      <t xml:space="preserve"> </t>
    </r>
  </si>
  <si>
    <r>
      <t>General Medical and Surgical Hospitals</t>
    </r>
    <r>
      <rPr>
        <vertAlign val="superscript"/>
        <sz val="10"/>
        <color indexed="8"/>
        <rFont val="Arial"/>
        <family val="2"/>
      </rPr>
      <t>T</t>
    </r>
    <r>
      <rPr>
        <sz val="10"/>
        <color theme="1"/>
        <rFont val="Arial"/>
        <family val="2"/>
      </rPr>
      <t xml:space="preserve"> </t>
    </r>
  </si>
  <si>
    <r>
      <t>Psychiatric and Substance Abuse Hospitals</t>
    </r>
    <r>
      <rPr>
        <vertAlign val="superscript"/>
        <sz val="10"/>
        <color indexed="8"/>
        <rFont val="Arial"/>
        <family val="2"/>
      </rPr>
      <t>T</t>
    </r>
    <r>
      <rPr>
        <sz val="10"/>
        <color theme="1"/>
        <rFont val="Arial"/>
        <family val="2"/>
      </rPr>
      <t xml:space="preserve"> </t>
    </r>
  </si>
  <si>
    <r>
      <t>Specialty (except Psychiatric and Substance Abuse) Hospitals</t>
    </r>
    <r>
      <rPr>
        <vertAlign val="superscript"/>
        <sz val="10"/>
        <color indexed="8"/>
        <rFont val="Arial"/>
        <family val="2"/>
      </rPr>
      <t>T</t>
    </r>
    <r>
      <rPr>
        <sz val="10"/>
        <color theme="1"/>
        <rFont val="Arial"/>
        <family val="2"/>
      </rPr>
      <t xml:space="preserve"> </t>
    </r>
  </si>
  <si>
    <r>
      <t>Nursing Care Facilities (Skilled Nursing Facilities)</t>
    </r>
    <r>
      <rPr>
        <vertAlign val="superscript"/>
        <sz val="10"/>
        <color indexed="8"/>
        <rFont val="Arial"/>
        <family val="2"/>
      </rPr>
      <t>T</t>
    </r>
    <r>
      <rPr>
        <sz val="10"/>
        <color theme="1"/>
        <rFont val="Arial"/>
        <family val="2"/>
      </rPr>
      <t xml:space="preserve"> </t>
    </r>
  </si>
  <si>
    <r>
      <t>Residential Intellectual and Developmental Disability Facilities</t>
    </r>
    <r>
      <rPr>
        <vertAlign val="superscript"/>
        <sz val="10"/>
        <color indexed="8"/>
        <rFont val="Arial"/>
        <family val="2"/>
      </rPr>
      <t>T</t>
    </r>
    <r>
      <rPr>
        <sz val="10"/>
        <color theme="1"/>
        <rFont val="Arial"/>
        <family val="2"/>
      </rPr>
      <t xml:space="preserve"> </t>
    </r>
  </si>
  <si>
    <r>
      <t>Residential Mental Health and Substance Abuse Facilities</t>
    </r>
    <r>
      <rPr>
        <vertAlign val="superscript"/>
        <sz val="10"/>
        <color indexed="8"/>
        <rFont val="Arial"/>
        <family val="2"/>
      </rPr>
      <t>T</t>
    </r>
    <r>
      <rPr>
        <sz val="10"/>
        <color theme="1"/>
        <rFont val="Arial"/>
        <family val="2"/>
      </rPr>
      <t xml:space="preserve"> </t>
    </r>
  </si>
  <si>
    <r>
      <t>Continuing Care Retirement Communities and Assisted Living Facilities for the Elderly</t>
    </r>
    <r>
      <rPr>
        <vertAlign val="superscript"/>
        <sz val="10"/>
        <color indexed="8"/>
        <rFont val="Arial"/>
        <family val="2"/>
      </rPr>
      <t>T</t>
    </r>
    <r>
      <rPr>
        <sz val="10"/>
        <color theme="1"/>
        <rFont val="Arial"/>
        <family val="2"/>
      </rPr>
      <t xml:space="preserve"> </t>
    </r>
  </si>
  <si>
    <r>
      <t>Other Residential Care Facilities</t>
    </r>
    <r>
      <rPr>
        <vertAlign val="superscript"/>
        <sz val="10"/>
        <color indexed="8"/>
        <rFont val="Arial"/>
        <family val="2"/>
      </rPr>
      <t>T</t>
    </r>
    <r>
      <rPr>
        <sz val="10"/>
        <color theme="1"/>
        <rFont val="Arial"/>
        <family val="2"/>
      </rPr>
      <t xml:space="preserve"> </t>
    </r>
  </si>
  <si>
    <r>
      <t>Child and Youth Services</t>
    </r>
    <r>
      <rPr>
        <vertAlign val="superscript"/>
        <sz val="10"/>
        <color indexed="8"/>
        <rFont val="Arial"/>
        <family val="2"/>
      </rPr>
      <t>T</t>
    </r>
    <r>
      <rPr>
        <sz val="10"/>
        <color theme="1"/>
        <rFont val="Arial"/>
        <family val="2"/>
      </rPr>
      <t xml:space="preserve"> </t>
    </r>
  </si>
  <si>
    <r>
      <t>Services for the Elderly and Persons with Disabilities</t>
    </r>
    <r>
      <rPr>
        <vertAlign val="superscript"/>
        <sz val="10"/>
        <color indexed="8"/>
        <rFont val="Arial"/>
        <family val="2"/>
      </rPr>
      <t>T</t>
    </r>
    <r>
      <rPr>
        <sz val="10"/>
        <color theme="1"/>
        <rFont val="Arial"/>
        <family val="2"/>
      </rPr>
      <t xml:space="preserve"> </t>
    </r>
  </si>
  <si>
    <r>
      <t>Other Individual and Family Services</t>
    </r>
    <r>
      <rPr>
        <vertAlign val="superscript"/>
        <sz val="10"/>
        <color indexed="8"/>
        <rFont val="Arial"/>
        <family val="2"/>
      </rPr>
      <t>T</t>
    </r>
    <r>
      <rPr>
        <sz val="10"/>
        <color theme="1"/>
        <rFont val="Arial"/>
        <family val="2"/>
      </rPr>
      <t xml:space="preserve"> </t>
    </r>
  </si>
  <si>
    <r>
      <t>Community Food Services</t>
    </r>
    <r>
      <rPr>
        <vertAlign val="superscript"/>
        <sz val="10"/>
        <color indexed="8"/>
        <rFont val="Arial"/>
        <family val="2"/>
      </rPr>
      <t>T</t>
    </r>
    <r>
      <rPr>
        <sz val="10"/>
        <color theme="1"/>
        <rFont val="Arial"/>
        <family val="2"/>
      </rPr>
      <t xml:space="preserve"> </t>
    </r>
  </si>
  <si>
    <r>
      <t>Community Housing Services</t>
    </r>
    <r>
      <rPr>
        <vertAlign val="superscript"/>
        <sz val="10"/>
        <color indexed="8"/>
        <rFont val="Arial"/>
        <family val="2"/>
      </rPr>
      <t>T</t>
    </r>
    <r>
      <rPr>
        <sz val="10"/>
        <color theme="1"/>
        <rFont val="Arial"/>
        <family val="2"/>
      </rPr>
      <t xml:space="preserve"> </t>
    </r>
  </si>
  <si>
    <r>
      <t>Emergency and Other Relief Services</t>
    </r>
    <r>
      <rPr>
        <vertAlign val="superscript"/>
        <sz val="10"/>
        <color indexed="8"/>
        <rFont val="Arial"/>
        <family val="2"/>
      </rPr>
      <t>T</t>
    </r>
    <r>
      <rPr>
        <sz val="10"/>
        <color theme="1"/>
        <rFont val="Arial"/>
        <family val="2"/>
      </rPr>
      <t xml:space="preserve"> </t>
    </r>
  </si>
  <si>
    <r>
      <t>Child Day Care Services</t>
    </r>
    <r>
      <rPr>
        <vertAlign val="superscript"/>
        <sz val="10"/>
        <color indexed="8"/>
        <rFont val="Arial"/>
        <family val="2"/>
      </rPr>
      <t>T</t>
    </r>
    <r>
      <rPr>
        <sz val="10"/>
        <color theme="1"/>
        <rFont val="Arial"/>
        <family val="2"/>
      </rPr>
      <t xml:space="preserve"> </t>
    </r>
  </si>
  <si>
    <r>
      <t>Theater Companies and Dinner Theaters</t>
    </r>
    <r>
      <rPr>
        <vertAlign val="superscript"/>
        <sz val="10"/>
        <color indexed="8"/>
        <rFont val="Arial"/>
        <family val="2"/>
      </rPr>
      <t>T</t>
    </r>
    <r>
      <rPr>
        <sz val="10"/>
        <color theme="1"/>
        <rFont val="Arial"/>
        <family val="2"/>
      </rPr>
      <t xml:space="preserve"> </t>
    </r>
  </si>
  <si>
    <r>
      <t>Musical Groups and Artists</t>
    </r>
    <r>
      <rPr>
        <vertAlign val="superscript"/>
        <sz val="10"/>
        <color indexed="8"/>
        <rFont val="Arial"/>
        <family val="2"/>
      </rPr>
      <t>T</t>
    </r>
    <r>
      <rPr>
        <sz val="10"/>
        <color theme="1"/>
        <rFont val="Arial"/>
        <family val="2"/>
      </rPr>
      <t xml:space="preserve"> </t>
    </r>
  </si>
  <si>
    <r>
      <t>Other Performing Arts Companies</t>
    </r>
    <r>
      <rPr>
        <vertAlign val="superscript"/>
        <sz val="10"/>
        <color indexed="8"/>
        <rFont val="Arial"/>
        <family val="2"/>
      </rPr>
      <t>T</t>
    </r>
    <r>
      <rPr>
        <sz val="10"/>
        <color theme="1"/>
        <rFont val="Arial"/>
        <family val="2"/>
      </rPr>
      <t xml:space="preserve"> </t>
    </r>
  </si>
  <si>
    <r>
      <t>Spectator Sports</t>
    </r>
    <r>
      <rPr>
        <vertAlign val="superscript"/>
        <sz val="10"/>
        <color indexed="8"/>
        <rFont val="Arial"/>
        <family val="2"/>
      </rPr>
      <t>T</t>
    </r>
    <r>
      <rPr>
        <sz val="10"/>
        <color theme="1"/>
        <rFont val="Arial"/>
        <family val="2"/>
      </rPr>
      <t xml:space="preserve"> </t>
    </r>
  </si>
  <si>
    <r>
      <t>Promoters of Performing Arts, Sports, and Similar Events with Facilities</t>
    </r>
    <r>
      <rPr>
        <vertAlign val="superscript"/>
        <sz val="10"/>
        <color indexed="8"/>
        <rFont val="Arial"/>
        <family val="2"/>
      </rPr>
      <t>T</t>
    </r>
    <r>
      <rPr>
        <sz val="10"/>
        <color theme="1"/>
        <rFont val="Arial"/>
        <family val="2"/>
      </rPr>
      <t xml:space="preserve"> </t>
    </r>
  </si>
  <si>
    <r>
      <t>Promoters of Performing Arts, Sports, and Similar Events without Facilities</t>
    </r>
    <r>
      <rPr>
        <vertAlign val="superscript"/>
        <sz val="10"/>
        <color indexed="8"/>
        <rFont val="Arial"/>
        <family val="2"/>
      </rPr>
      <t>T</t>
    </r>
    <r>
      <rPr>
        <sz val="10"/>
        <color theme="1"/>
        <rFont val="Arial"/>
        <family val="2"/>
      </rPr>
      <t xml:space="preserve"> </t>
    </r>
  </si>
  <si>
    <r>
      <t>Agents and Managers for Artists, Athletes, Entertainers, and Other Public Figures</t>
    </r>
    <r>
      <rPr>
        <vertAlign val="superscript"/>
        <sz val="10"/>
        <color indexed="8"/>
        <rFont val="Arial"/>
        <family val="2"/>
      </rPr>
      <t>T</t>
    </r>
    <r>
      <rPr>
        <sz val="10"/>
        <color theme="1"/>
        <rFont val="Arial"/>
        <family val="2"/>
      </rPr>
      <t xml:space="preserve"> </t>
    </r>
  </si>
  <si>
    <r>
      <t>Independent Artists, Writers, and Performers</t>
    </r>
    <r>
      <rPr>
        <vertAlign val="superscript"/>
        <sz val="10"/>
        <color indexed="8"/>
        <rFont val="Arial"/>
        <family val="2"/>
      </rPr>
      <t>T</t>
    </r>
    <r>
      <rPr>
        <sz val="10"/>
        <color theme="1"/>
        <rFont val="Arial"/>
        <family val="2"/>
      </rPr>
      <t xml:space="preserve"> </t>
    </r>
  </si>
  <si>
    <r>
      <t>Museums</t>
    </r>
    <r>
      <rPr>
        <vertAlign val="superscript"/>
        <sz val="10"/>
        <color indexed="8"/>
        <rFont val="Arial"/>
        <family val="2"/>
      </rPr>
      <t>T</t>
    </r>
    <r>
      <rPr>
        <sz val="10"/>
        <color theme="1"/>
        <rFont val="Arial"/>
        <family val="2"/>
      </rPr>
      <t xml:space="preserve"> </t>
    </r>
  </si>
  <si>
    <r>
      <t>Historical Sites</t>
    </r>
    <r>
      <rPr>
        <vertAlign val="superscript"/>
        <sz val="10"/>
        <color indexed="8"/>
        <rFont val="Arial"/>
        <family val="2"/>
      </rPr>
      <t>T</t>
    </r>
    <r>
      <rPr>
        <sz val="10"/>
        <color theme="1"/>
        <rFont val="Arial"/>
        <family val="2"/>
      </rPr>
      <t xml:space="preserve"> </t>
    </r>
  </si>
  <si>
    <r>
      <t>Zoos and Botanical Gardens</t>
    </r>
    <r>
      <rPr>
        <vertAlign val="superscript"/>
        <sz val="10"/>
        <color indexed="8"/>
        <rFont val="Arial"/>
        <family val="2"/>
      </rPr>
      <t>T</t>
    </r>
    <r>
      <rPr>
        <sz val="10"/>
        <color theme="1"/>
        <rFont val="Arial"/>
        <family val="2"/>
      </rPr>
      <t xml:space="preserve"> </t>
    </r>
  </si>
  <si>
    <r>
      <t>Nature Parks and Other Similar Institutions</t>
    </r>
    <r>
      <rPr>
        <vertAlign val="superscript"/>
        <sz val="10"/>
        <color indexed="8"/>
        <rFont val="Arial"/>
        <family val="2"/>
      </rPr>
      <t>T</t>
    </r>
    <r>
      <rPr>
        <sz val="10"/>
        <color theme="1"/>
        <rFont val="Arial"/>
        <family val="2"/>
      </rPr>
      <t xml:space="preserve"> </t>
    </r>
  </si>
  <si>
    <r>
      <t>Amusement and Theme Parks</t>
    </r>
    <r>
      <rPr>
        <vertAlign val="superscript"/>
        <sz val="10"/>
        <color indexed="8"/>
        <rFont val="Arial"/>
        <family val="2"/>
      </rPr>
      <t>T</t>
    </r>
    <r>
      <rPr>
        <sz val="10"/>
        <color theme="1"/>
        <rFont val="Arial"/>
        <family val="2"/>
      </rPr>
      <t xml:space="preserve"> </t>
    </r>
  </si>
  <si>
    <r>
      <t>Amusement Arcades</t>
    </r>
    <r>
      <rPr>
        <vertAlign val="superscript"/>
        <sz val="10"/>
        <color indexed="8"/>
        <rFont val="Arial"/>
        <family val="2"/>
      </rPr>
      <t>T</t>
    </r>
    <r>
      <rPr>
        <sz val="10"/>
        <color theme="1"/>
        <rFont val="Arial"/>
        <family val="2"/>
      </rPr>
      <t xml:space="preserve"> </t>
    </r>
  </si>
  <si>
    <r>
      <t>Casinos (except Casino Hotels)</t>
    </r>
    <r>
      <rPr>
        <vertAlign val="superscript"/>
        <sz val="10"/>
        <color indexed="8"/>
        <rFont val="Arial"/>
        <family val="2"/>
      </rPr>
      <t>T</t>
    </r>
    <r>
      <rPr>
        <sz val="10"/>
        <color theme="1"/>
        <rFont val="Arial"/>
        <family val="2"/>
      </rPr>
      <t xml:space="preserve"> </t>
    </r>
  </si>
  <si>
    <r>
      <t>Other Gambling Industries</t>
    </r>
    <r>
      <rPr>
        <vertAlign val="superscript"/>
        <sz val="10"/>
        <color indexed="8"/>
        <rFont val="Arial"/>
        <family val="2"/>
      </rPr>
      <t>T</t>
    </r>
    <r>
      <rPr>
        <sz val="10"/>
        <color theme="1"/>
        <rFont val="Arial"/>
        <family val="2"/>
      </rPr>
      <t xml:space="preserve"> </t>
    </r>
  </si>
  <si>
    <r>
      <t>Golf Courses and Country Clubs</t>
    </r>
    <r>
      <rPr>
        <vertAlign val="superscript"/>
        <sz val="10"/>
        <color indexed="8"/>
        <rFont val="Arial"/>
        <family val="2"/>
      </rPr>
      <t>T</t>
    </r>
    <r>
      <rPr>
        <sz val="10"/>
        <color theme="1"/>
        <rFont val="Arial"/>
        <family val="2"/>
      </rPr>
      <t xml:space="preserve"> </t>
    </r>
  </si>
  <si>
    <r>
      <t>Skiing Facilities</t>
    </r>
    <r>
      <rPr>
        <vertAlign val="superscript"/>
        <sz val="10"/>
        <color indexed="8"/>
        <rFont val="Arial"/>
        <family val="2"/>
      </rPr>
      <t>T</t>
    </r>
    <r>
      <rPr>
        <sz val="10"/>
        <color theme="1"/>
        <rFont val="Arial"/>
        <family val="2"/>
      </rPr>
      <t xml:space="preserve"> </t>
    </r>
  </si>
  <si>
    <r>
      <t>Marinas</t>
    </r>
    <r>
      <rPr>
        <vertAlign val="superscript"/>
        <sz val="10"/>
        <color indexed="8"/>
        <rFont val="Arial"/>
        <family val="2"/>
      </rPr>
      <t>T</t>
    </r>
    <r>
      <rPr>
        <sz val="10"/>
        <color theme="1"/>
        <rFont val="Arial"/>
        <family val="2"/>
      </rPr>
      <t xml:space="preserve"> </t>
    </r>
  </si>
  <si>
    <r>
      <t>Fitness and Recreational Sports Centers</t>
    </r>
    <r>
      <rPr>
        <vertAlign val="superscript"/>
        <sz val="10"/>
        <color indexed="8"/>
        <rFont val="Arial"/>
        <family val="2"/>
      </rPr>
      <t>T</t>
    </r>
    <r>
      <rPr>
        <sz val="10"/>
        <color theme="1"/>
        <rFont val="Arial"/>
        <family val="2"/>
      </rPr>
      <t xml:space="preserve"> </t>
    </r>
  </si>
  <si>
    <r>
      <t>Bowling Centers</t>
    </r>
    <r>
      <rPr>
        <vertAlign val="superscript"/>
        <sz val="10"/>
        <color indexed="8"/>
        <rFont val="Arial"/>
        <family val="2"/>
      </rPr>
      <t>T</t>
    </r>
    <r>
      <rPr>
        <sz val="10"/>
        <color theme="1"/>
        <rFont val="Arial"/>
        <family val="2"/>
      </rPr>
      <t xml:space="preserve"> </t>
    </r>
  </si>
  <si>
    <r>
      <t>All Other Amusement and Recreation Industries</t>
    </r>
    <r>
      <rPr>
        <vertAlign val="superscript"/>
        <sz val="10"/>
        <color indexed="8"/>
        <rFont val="Arial"/>
        <family val="2"/>
      </rPr>
      <t>T</t>
    </r>
    <r>
      <rPr>
        <sz val="10"/>
        <color theme="1"/>
        <rFont val="Arial"/>
        <family val="2"/>
      </rPr>
      <t xml:space="preserve"> </t>
    </r>
  </si>
  <si>
    <r>
      <t>Hotels (except Casino Hotels) and Motels</t>
    </r>
    <r>
      <rPr>
        <vertAlign val="superscript"/>
        <sz val="10"/>
        <color indexed="8"/>
        <rFont val="Arial"/>
        <family val="2"/>
      </rPr>
      <t>T</t>
    </r>
    <r>
      <rPr>
        <sz val="10"/>
        <color theme="1"/>
        <rFont val="Arial"/>
        <family val="2"/>
      </rPr>
      <t xml:space="preserve"> </t>
    </r>
  </si>
  <si>
    <r>
      <t>Casino Hotels</t>
    </r>
    <r>
      <rPr>
        <vertAlign val="superscript"/>
        <sz val="10"/>
        <color indexed="8"/>
        <rFont val="Arial"/>
        <family val="2"/>
      </rPr>
      <t>T</t>
    </r>
    <r>
      <rPr>
        <sz val="10"/>
        <color theme="1"/>
        <rFont val="Arial"/>
        <family val="2"/>
      </rPr>
      <t xml:space="preserve"> </t>
    </r>
  </si>
  <si>
    <r>
      <t>Other Traveler Accommodation</t>
    </r>
    <r>
      <rPr>
        <vertAlign val="superscript"/>
        <sz val="10"/>
        <color indexed="8"/>
        <rFont val="Arial"/>
        <family val="2"/>
      </rPr>
      <t>T</t>
    </r>
    <r>
      <rPr>
        <sz val="10"/>
        <color theme="1"/>
        <rFont val="Arial"/>
        <family val="2"/>
      </rPr>
      <t xml:space="preserve"> </t>
    </r>
  </si>
  <si>
    <r>
      <t>RV (Recreational Vehicle) Parks and Recreational Camps</t>
    </r>
    <r>
      <rPr>
        <vertAlign val="superscript"/>
        <sz val="10"/>
        <color indexed="8"/>
        <rFont val="Arial"/>
        <family val="2"/>
      </rPr>
      <t>T</t>
    </r>
    <r>
      <rPr>
        <sz val="10"/>
        <color theme="1"/>
        <rFont val="Arial"/>
        <family val="2"/>
      </rPr>
      <t xml:space="preserve"> </t>
    </r>
  </si>
  <si>
    <r>
      <t>Rooming and Boarding Houses</t>
    </r>
    <r>
      <rPr>
        <vertAlign val="superscript"/>
        <sz val="10"/>
        <color indexed="8"/>
        <rFont val="Arial"/>
        <family val="2"/>
      </rPr>
      <t>T</t>
    </r>
    <r>
      <rPr>
        <sz val="10"/>
        <color theme="1"/>
        <rFont val="Arial"/>
        <family val="2"/>
      </rPr>
      <t xml:space="preserve"> </t>
    </r>
  </si>
  <si>
    <r>
      <t>Food Service Contractors</t>
    </r>
    <r>
      <rPr>
        <vertAlign val="superscript"/>
        <sz val="10"/>
        <color indexed="8"/>
        <rFont val="Arial"/>
        <family val="2"/>
      </rPr>
      <t>T</t>
    </r>
    <r>
      <rPr>
        <sz val="10"/>
        <color theme="1"/>
        <rFont val="Arial"/>
        <family val="2"/>
      </rPr>
      <t xml:space="preserve"> </t>
    </r>
  </si>
  <si>
    <r>
      <t>Caterers</t>
    </r>
    <r>
      <rPr>
        <vertAlign val="superscript"/>
        <sz val="10"/>
        <color indexed="8"/>
        <rFont val="Arial"/>
        <family val="2"/>
      </rPr>
      <t>T</t>
    </r>
    <r>
      <rPr>
        <sz val="10"/>
        <color theme="1"/>
        <rFont val="Arial"/>
        <family val="2"/>
      </rPr>
      <t xml:space="preserve"> </t>
    </r>
  </si>
  <si>
    <r>
      <t>Mobile Food Services</t>
    </r>
    <r>
      <rPr>
        <vertAlign val="superscript"/>
        <sz val="10"/>
        <color indexed="8"/>
        <rFont val="Arial"/>
        <family val="2"/>
      </rPr>
      <t>T</t>
    </r>
    <r>
      <rPr>
        <sz val="10"/>
        <color theme="1"/>
        <rFont val="Arial"/>
        <family val="2"/>
      </rPr>
      <t xml:space="preserve"> </t>
    </r>
  </si>
  <si>
    <r>
      <t>Drinking Places (Alcoholic Beverages)</t>
    </r>
    <r>
      <rPr>
        <vertAlign val="superscript"/>
        <sz val="10"/>
        <color indexed="8"/>
        <rFont val="Arial"/>
        <family val="2"/>
      </rPr>
      <t>T</t>
    </r>
    <r>
      <rPr>
        <sz val="10"/>
        <color theme="1"/>
        <rFont val="Arial"/>
        <family val="2"/>
      </rPr>
      <t xml:space="preserve"> </t>
    </r>
  </si>
  <si>
    <r>
      <t>Automotive Mechanical and Electrical Repair and Maintenance</t>
    </r>
    <r>
      <rPr>
        <vertAlign val="superscript"/>
        <sz val="10"/>
        <color indexed="8"/>
        <rFont val="Arial"/>
        <family val="2"/>
      </rPr>
      <t>T</t>
    </r>
    <r>
      <rPr>
        <sz val="10"/>
        <color theme="1"/>
        <rFont val="Arial"/>
        <family val="2"/>
      </rPr>
      <t xml:space="preserve"> </t>
    </r>
  </si>
  <si>
    <r>
      <t>Automotive Body, Paint, Interior, and Glass Repair</t>
    </r>
    <r>
      <rPr>
        <vertAlign val="superscript"/>
        <sz val="10"/>
        <color indexed="8"/>
        <rFont val="Arial"/>
        <family val="2"/>
      </rPr>
      <t>T</t>
    </r>
  </si>
  <si>
    <r>
      <t>Other Automotive Repair and Maintenance</t>
    </r>
    <r>
      <rPr>
        <vertAlign val="superscript"/>
        <sz val="10"/>
        <color indexed="8"/>
        <rFont val="Arial"/>
        <family val="2"/>
      </rPr>
      <t>T</t>
    </r>
    <r>
      <rPr>
        <sz val="10"/>
        <color theme="1"/>
        <rFont val="Arial"/>
        <family val="2"/>
      </rPr>
      <t xml:space="preserve"> </t>
    </r>
  </si>
  <si>
    <r>
      <t>Electronic and Precision Equipment Repair and Maintenance</t>
    </r>
    <r>
      <rPr>
        <vertAlign val="superscript"/>
        <sz val="10"/>
        <color indexed="8"/>
        <rFont val="Arial"/>
        <family val="2"/>
      </rPr>
      <t>T</t>
    </r>
    <r>
      <rPr>
        <sz val="10"/>
        <color theme="1"/>
        <rFont val="Arial"/>
        <family val="2"/>
      </rPr>
      <t xml:space="preserve"> </t>
    </r>
  </si>
  <si>
    <r>
      <t>Commercial and Industrial Machinery and Equipment (except Automotive and Electronic) Repair and Maintenance</t>
    </r>
    <r>
      <rPr>
        <vertAlign val="superscript"/>
        <sz val="10"/>
        <color indexed="8"/>
        <rFont val="Arial"/>
        <family val="2"/>
      </rPr>
      <t>T</t>
    </r>
    <r>
      <rPr>
        <sz val="10"/>
        <color theme="1"/>
        <rFont val="Arial"/>
        <family val="2"/>
      </rPr>
      <t xml:space="preserve"> </t>
    </r>
  </si>
  <si>
    <r>
      <t>Home and Garden Equipment and Appliance Repair and Maintenance</t>
    </r>
    <r>
      <rPr>
        <vertAlign val="superscript"/>
        <sz val="10"/>
        <color indexed="8"/>
        <rFont val="Arial"/>
        <family val="2"/>
      </rPr>
      <t>T</t>
    </r>
    <r>
      <rPr>
        <sz val="10"/>
        <color theme="1"/>
        <rFont val="Arial"/>
        <family val="2"/>
      </rPr>
      <t xml:space="preserve"> </t>
    </r>
  </si>
  <si>
    <r>
      <t>Reupholstery and Furniture Repair</t>
    </r>
    <r>
      <rPr>
        <vertAlign val="superscript"/>
        <sz val="10"/>
        <color indexed="8"/>
        <rFont val="Arial"/>
        <family val="2"/>
      </rPr>
      <t>T</t>
    </r>
    <r>
      <rPr>
        <sz val="10"/>
        <color theme="1"/>
        <rFont val="Arial"/>
        <family val="2"/>
      </rPr>
      <t xml:space="preserve"> </t>
    </r>
  </si>
  <si>
    <r>
      <t>Footwear and Leather Goods Repair</t>
    </r>
    <r>
      <rPr>
        <vertAlign val="superscript"/>
        <sz val="10"/>
        <color indexed="8"/>
        <rFont val="Arial"/>
        <family val="2"/>
      </rPr>
      <t>T</t>
    </r>
  </si>
  <si>
    <r>
      <t>Other Personal and Household Goods Repair and Maintenance</t>
    </r>
    <r>
      <rPr>
        <vertAlign val="superscript"/>
        <sz val="10"/>
        <color indexed="8"/>
        <rFont val="Arial"/>
        <family val="2"/>
      </rPr>
      <t>T</t>
    </r>
    <r>
      <rPr>
        <sz val="10"/>
        <color theme="1"/>
        <rFont val="Arial"/>
        <family val="2"/>
      </rPr>
      <t xml:space="preserve"> </t>
    </r>
  </si>
  <si>
    <r>
      <t>Personal and Laundry Services</t>
    </r>
    <r>
      <rPr>
        <b/>
        <vertAlign val="superscript"/>
        <sz val="12"/>
        <color indexed="8"/>
        <rFont val="Arial"/>
        <family val="2"/>
      </rPr>
      <t>T</t>
    </r>
  </si>
  <si>
    <r>
      <t>Religious, Grantmaking, Civic, Professional, and Similar Organizations</t>
    </r>
    <r>
      <rPr>
        <b/>
        <vertAlign val="superscript"/>
        <sz val="12"/>
        <color indexed="8"/>
        <rFont val="Arial"/>
        <family val="2"/>
      </rPr>
      <t>T</t>
    </r>
  </si>
  <si>
    <r>
      <t>Private Households</t>
    </r>
    <r>
      <rPr>
        <vertAlign val="superscript"/>
        <sz val="10"/>
        <color indexed="8"/>
        <rFont val="Arial"/>
        <family val="2"/>
      </rPr>
      <t>T</t>
    </r>
    <r>
      <rPr>
        <sz val="10"/>
        <color theme="1"/>
        <rFont val="Arial"/>
        <family val="2"/>
      </rPr>
      <t xml:space="preserve"> </t>
    </r>
  </si>
  <si>
    <r>
      <t>Crop Production</t>
    </r>
    <r>
      <rPr>
        <b/>
        <vertAlign val="superscript"/>
        <sz val="12"/>
        <color indexed="8"/>
        <rFont val="Arial"/>
        <family val="2"/>
      </rPr>
      <t>T</t>
    </r>
    <r>
      <rPr>
        <b/>
        <sz val="12"/>
        <color indexed="8"/>
        <rFont val="Arial"/>
        <family val="2"/>
      </rPr>
      <t xml:space="preserve"> </t>
    </r>
  </si>
  <si>
    <r>
      <t>Oilseed and Grain Farming</t>
    </r>
    <r>
      <rPr>
        <b/>
        <vertAlign val="superscript"/>
        <sz val="10"/>
        <color indexed="8"/>
        <rFont val="Arial"/>
        <family val="2"/>
      </rPr>
      <t>T</t>
    </r>
  </si>
  <si>
    <r>
      <t>Soybean Farming</t>
    </r>
    <r>
      <rPr>
        <vertAlign val="superscript"/>
        <sz val="10"/>
        <color indexed="8"/>
        <rFont val="Arial"/>
        <family val="2"/>
      </rPr>
      <t>T</t>
    </r>
  </si>
  <si>
    <r>
      <t>Vegetable and Melon Farming</t>
    </r>
    <r>
      <rPr>
        <b/>
        <vertAlign val="superscript"/>
        <sz val="10"/>
        <color indexed="8"/>
        <rFont val="Arial"/>
        <family val="2"/>
      </rPr>
      <t>T</t>
    </r>
    <r>
      <rPr>
        <b/>
        <sz val="10"/>
        <color indexed="8"/>
        <rFont val="Arial"/>
        <family val="2"/>
      </rPr>
      <t xml:space="preserve"> </t>
    </r>
  </si>
  <si>
    <r>
      <t>Fruit and Tree Nut Farming</t>
    </r>
    <r>
      <rPr>
        <b/>
        <vertAlign val="superscript"/>
        <sz val="10"/>
        <color indexed="8"/>
        <rFont val="Arial"/>
        <family val="2"/>
      </rPr>
      <t>T</t>
    </r>
    <r>
      <rPr>
        <b/>
        <sz val="10"/>
        <color indexed="8"/>
        <rFont val="Arial"/>
        <family val="2"/>
      </rPr>
      <t xml:space="preserve"> </t>
    </r>
  </si>
  <si>
    <r>
      <t>Greenhouse, Nursery, and Floriculture Production</t>
    </r>
    <r>
      <rPr>
        <b/>
        <vertAlign val="superscript"/>
        <sz val="10"/>
        <color indexed="8"/>
        <rFont val="Arial"/>
        <family val="2"/>
      </rPr>
      <t>T</t>
    </r>
    <r>
      <rPr>
        <b/>
        <sz val="10"/>
        <color indexed="8"/>
        <rFont val="Arial"/>
        <family val="2"/>
      </rPr>
      <t xml:space="preserve"> </t>
    </r>
  </si>
  <si>
    <r>
      <t>Other Crop Farming</t>
    </r>
    <r>
      <rPr>
        <b/>
        <vertAlign val="superscript"/>
        <sz val="10"/>
        <color indexed="8"/>
        <rFont val="Arial"/>
        <family val="2"/>
      </rPr>
      <t>T</t>
    </r>
    <r>
      <rPr>
        <b/>
        <sz val="10"/>
        <color indexed="8"/>
        <rFont val="Arial"/>
        <family val="2"/>
      </rPr>
      <t xml:space="preserve"> </t>
    </r>
  </si>
  <si>
    <r>
      <t>Animal Production and Aquaculture</t>
    </r>
    <r>
      <rPr>
        <b/>
        <vertAlign val="superscript"/>
        <sz val="12"/>
        <color indexed="8"/>
        <rFont val="Arial"/>
        <family val="2"/>
      </rPr>
      <t>T</t>
    </r>
    <r>
      <rPr>
        <b/>
        <sz val="12"/>
        <color indexed="8"/>
        <rFont val="Arial"/>
        <family val="2"/>
      </rPr>
      <t xml:space="preserve"> </t>
    </r>
  </si>
  <si>
    <r>
      <t>Hog and Pig Farming</t>
    </r>
    <r>
      <rPr>
        <b/>
        <vertAlign val="superscript"/>
        <sz val="10"/>
        <color indexed="8"/>
        <rFont val="Arial"/>
        <family val="2"/>
      </rPr>
      <t>T</t>
    </r>
    <r>
      <rPr>
        <b/>
        <sz val="10"/>
        <color indexed="8"/>
        <rFont val="Arial"/>
        <family val="2"/>
      </rPr>
      <t xml:space="preserve"> </t>
    </r>
  </si>
  <si>
    <r>
      <t>Poultry and Egg Production</t>
    </r>
    <r>
      <rPr>
        <b/>
        <vertAlign val="superscript"/>
        <sz val="10"/>
        <color indexed="8"/>
        <rFont val="Arial"/>
        <family val="2"/>
      </rPr>
      <t>T</t>
    </r>
    <r>
      <rPr>
        <b/>
        <sz val="10"/>
        <color indexed="8"/>
        <rFont val="Arial"/>
        <family val="2"/>
      </rPr>
      <t xml:space="preserve"> </t>
    </r>
  </si>
  <si>
    <r>
      <t>Sheep and Goat Farming</t>
    </r>
    <r>
      <rPr>
        <b/>
        <vertAlign val="superscript"/>
        <sz val="10"/>
        <color indexed="8"/>
        <rFont val="Arial"/>
        <family val="2"/>
      </rPr>
      <t>T</t>
    </r>
    <r>
      <rPr>
        <b/>
        <sz val="10"/>
        <color indexed="8"/>
        <rFont val="Arial"/>
        <family val="2"/>
      </rPr>
      <t xml:space="preserve"> </t>
    </r>
  </si>
  <si>
    <r>
      <t>Aquaculture</t>
    </r>
    <r>
      <rPr>
        <b/>
        <vertAlign val="superscript"/>
        <sz val="10"/>
        <color indexed="8"/>
        <rFont val="Arial"/>
        <family val="2"/>
      </rPr>
      <t>T</t>
    </r>
    <r>
      <rPr>
        <b/>
        <sz val="10"/>
        <color indexed="8"/>
        <rFont val="Arial"/>
        <family val="2"/>
      </rPr>
      <t xml:space="preserve"> </t>
    </r>
  </si>
  <si>
    <r>
      <t>Other Animal Production</t>
    </r>
    <r>
      <rPr>
        <b/>
        <vertAlign val="superscript"/>
        <sz val="10"/>
        <color indexed="8"/>
        <rFont val="Arial"/>
        <family val="2"/>
      </rPr>
      <t>T</t>
    </r>
    <r>
      <rPr>
        <b/>
        <sz val="10"/>
        <color indexed="8"/>
        <rFont val="Arial"/>
        <family val="2"/>
      </rPr>
      <t xml:space="preserve"> </t>
    </r>
  </si>
  <si>
    <r>
      <t>Forestry and Logging</t>
    </r>
    <r>
      <rPr>
        <b/>
        <vertAlign val="superscript"/>
        <sz val="12"/>
        <color indexed="8"/>
        <rFont val="Arial"/>
        <family val="2"/>
      </rPr>
      <t>T</t>
    </r>
    <r>
      <rPr>
        <b/>
        <sz val="12"/>
        <color indexed="8"/>
        <rFont val="Arial"/>
        <family val="2"/>
      </rPr>
      <t xml:space="preserve"> </t>
    </r>
  </si>
  <si>
    <r>
      <t>Forest Nurseries and Gathering of Forest Products</t>
    </r>
    <r>
      <rPr>
        <b/>
        <vertAlign val="superscript"/>
        <sz val="10"/>
        <color indexed="8"/>
        <rFont val="Arial"/>
        <family val="2"/>
      </rPr>
      <t>T</t>
    </r>
    <r>
      <rPr>
        <b/>
        <sz val="10"/>
        <color indexed="8"/>
        <rFont val="Arial"/>
        <family val="2"/>
      </rPr>
      <t xml:space="preserve"> </t>
    </r>
  </si>
  <si>
    <r>
      <t>Logging</t>
    </r>
    <r>
      <rPr>
        <b/>
        <vertAlign val="superscript"/>
        <sz val="10"/>
        <color indexed="8"/>
        <rFont val="Arial"/>
        <family val="2"/>
      </rPr>
      <t>T</t>
    </r>
    <r>
      <rPr>
        <b/>
        <sz val="10"/>
        <color indexed="8"/>
        <rFont val="Arial"/>
        <family val="2"/>
      </rPr>
      <t xml:space="preserve"> </t>
    </r>
  </si>
  <si>
    <r>
      <t>Fishing, Hunting and Trapping</t>
    </r>
    <r>
      <rPr>
        <b/>
        <vertAlign val="superscript"/>
        <sz val="12"/>
        <color indexed="8"/>
        <rFont val="Arial"/>
        <family val="2"/>
      </rPr>
      <t>T</t>
    </r>
    <r>
      <rPr>
        <b/>
        <sz val="12"/>
        <color indexed="8"/>
        <rFont val="Arial"/>
        <family val="2"/>
      </rPr>
      <t xml:space="preserve"> </t>
    </r>
  </si>
  <si>
    <r>
      <t>Fishing</t>
    </r>
    <r>
      <rPr>
        <b/>
        <vertAlign val="superscript"/>
        <sz val="10"/>
        <color indexed="8"/>
        <rFont val="Arial"/>
        <family val="2"/>
      </rPr>
      <t>T</t>
    </r>
    <r>
      <rPr>
        <b/>
        <sz val="10"/>
        <color indexed="8"/>
        <rFont val="Arial"/>
        <family val="2"/>
      </rPr>
      <t xml:space="preserve"> </t>
    </r>
  </si>
  <si>
    <r>
      <t>Hunting and Trapping</t>
    </r>
    <r>
      <rPr>
        <b/>
        <vertAlign val="superscript"/>
        <sz val="10"/>
        <color indexed="8"/>
        <rFont val="Arial"/>
        <family val="2"/>
      </rPr>
      <t>T</t>
    </r>
    <r>
      <rPr>
        <b/>
        <sz val="10"/>
        <color indexed="8"/>
        <rFont val="Arial"/>
        <family val="2"/>
      </rPr>
      <t xml:space="preserve"> </t>
    </r>
  </si>
  <si>
    <r>
      <t>Support Activities for Agriculture and Forestry</t>
    </r>
    <r>
      <rPr>
        <b/>
        <vertAlign val="superscript"/>
        <sz val="12"/>
        <color indexed="8"/>
        <rFont val="Arial"/>
        <family val="2"/>
      </rPr>
      <t>T</t>
    </r>
    <r>
      <rPr>
        <b/>
        <sz val="12"/>
        <color indexed="8"/>
        <rFont val="Arial"/>
        <family val="2"/>
      </rPr>
      <t xml:space="preserve"> </t>
    </r>
  </si>
  <si>
    <r>
      <t>Support Activities for Crop Production</t>
    </r>
    <r>
      <rPr>
        <b/>
        <vertAlign val="superscript"/>
        <sz val="10"/>
        <color indexed="8"/>
        <rFont val="Arial"/>
        <family val="2"/>
      </rPr>
      <t>T</t>
    </r>
    <r>
      <rPr>
        <b/>
        <sz val="10"/>
        <color indexed="8"/>
        <rFont val="Arial"/>
        <family val="2"/>
      </rPr>
      <t xml:space="preserve"> </t>
    </r>
  </si>
  <si>
    <r>
      <t>Support Activities for Animal Production</t>
    </r>
    <r>
      <rPr>
        <b/>
        <vertAlign val="superscript"/>
        <sz val="10"/>
        <color indexed="8"/>
        <rFont val="Arial"/>
        <family val="2"/>
      </rPr>
      <t>T</t>
    </r>
    <r>
      <rPr>
        <b/>
        <sz val="10"/>
        <color indexed="8"/>
        <rFont val="Arial"/>
        <family val="2"/>
      </rPr>
      <t xml:space="preserve"> </t>
    </r>
  </si>
  <si>
    <r>
      <t>Support Activities for Forestry</t>
    </r>
    <r>
      <rPr>
        <b/>
        <vertAlign val="superscript"/>
        <sz val="10"/>
        <color indexed="8"/>
        <rFont val="Arial"/>
        <family val="2"/>
      </rPr>
      <t>T</t>
    </r>
    <r>
      <rPr>
        <b/>
        <sz val="10"/>
        <color indexed="8"/>
        <rFont val="Arial"/>
        <family val="2"/>
      </rPr>
      <t xml:space="preserve"> </t>
    </r>
  </si>
  <si>
    <r>
      <t>Oil and Gas Extraction</t>
    </r>
    <r>
      <rPr>
        <b/>
        <vertAlign val="superscript"/>
        <sz val="12"/>
        <color indexed="8"/>
        <rFont val="Arial"/>
        <family val="2"/>
      </rPr>
      <t>T</t>
    </r>
    <r>
      <rPr>
        <b/>
        <sz val="12"/>
        <color indexed="8"/>
        <rFont val="Arial"/>
        <family val="2"/>
      </rPr>
      <t xml:space="preserve"> </t>
    </r>
  </si>
  <si>
    <r>
      <t>Oil and Gas Extraction</t>
    </r>
    <r>
      <rPr>
        <b/>
        <vertAlign val="superscript"/>
        <sz val="10"/>
        <color indexed="8"/>
        <rFont val="Arial"/>
        <family val="2"/>
      </rPr>
      <t>T</t>
    </r>
    <r>
      <rPr>
        <b/>
        <sz val="10"/>
        <color indexed="8"/>
        <rFont val="Arial"/>
        <family val="2"/>
      </rPr>
      <t xml:space="preserve"> </t>
    </r>
  </si>
  <si>
    <r>
      <t>Mining (except Oil and Gas)</t>
    </r>
    <r>
      <rPr>
        <b/>
        <vertAlign val="superscript"/>
        <sz val="12"/>
        <color indexed="8"/>
        <rFont val="Arial"/>
        <family val="2"/>
      </rPr>
      <t>T</t>
    </r>
    <r>
      <rPr>
        <b/>
        <sz val="12"/>
        <color indexed="8"/>
        <rFont val="Arial"/>
        <family val="2"/>
      </rPr>
      <t xml:space="preserve"> </t>
    </r>
  </si>
  <si>
    <r>
      <t>Coal Mining</t>
    </r>
    <r>
      <rPr>
        <b/>
        <vertAlign val="superscript"/>
        <sz val="10"/>
        <color indexed="8"/>
        <rFont val="Arial"/>
        <family val="2"/>
      </rPr>
      <t>T</t>
    </r>
    <r>
      <rPr>
        <b/>
        <sz val="10"/>
        <color indexed="8"/>
        <rFont val="Arial"/>
        <family val="2"/>
      </rPr>
      <t xml:space="preserve"> </t>
    </r>
  </si>
  <si>
    <r>
      <t>Metal Ore Mining</t>
    </r>
    <r>
      <rPr>
        <b/>
        <vertAlign val="superscript"/>
        <sz val="10"/>
        <color indexed="8"/>
        <rFont val="Arial"/>
        <family val="2"/>
      </rPr>
      <t>T</t>
    </r>
    <r>
      <rPr>
        <b/>
        <sz val="10"/>
        <color indexed="8"/>
        <rFont val="Arial"/>
        <family val="2"/>
      </rPr>
      <t xml:space="preserve"> </t>
    </r>
  </si>
  <si>
    <r>
      <t>Nonmetallic Mineral Mining and Quarrying</t>
    </r>
    <r>
      <rPr>
        <b/>
        <vertAlign val="superscript"/>
        <sz val="10"/>
        <color indexed="8"/>
        <rFont val="Arial"/>
        <family val="2"/>
      </rPr>
      <t>T</t>
    </r>
    <r>
      <rPr>
        <b/>
        <sz val="10"/>
        <color indexed="8"/>
        <rFont val="Arial"/>
        <family val="2"/>
      </rPr>
      <t xml:space="preserve"> </t>
    </r>
  </si>
  <si>
    <r>
      <t>Support Activities for Mining</t>
    </r>
    <r>
      <rPr>
        <b/>
        <vertAlign val="superscript"/>
        <sz val="12"/>
        <color indexed="8"/>
        <rFont val="Arial"/>
        <family val="2"/>
      </rPr>
      <t>T</t>
    </r>
    <r>
      <rPr>
        <b/>
        <sz val="12"/>
        <color indexed="8"/>
        <rFont val="Arial"/>
        <family val="2"/>
      </rPr>
      <t xml:space="preserve"> </t>
    </r>
  </si>
  <si>
    <r>
      <t>Support Activities for Mining</t>
    </r>
    <r>
      <rPr>
        <b/>
        <vertAlign val="superscript"/>
        <sz val="10"/>
        <color indexed="8"/>
        <rFont val="Arial"/>
        <family val="2"/>
      </rPr>
      <t>T</t>
    </r>
    <r>
      <rPr>
        <b/>
        <sz val="10"/>
        <color indexed="8"/>
        <rFont val="Arial"/>
        <family val="2"/>
      </rPr>
      <t xml:space="preserve"> </t>
    </r>
  </si>
  <si>
    <r>
      <t>Utilities</t>
    </r>
    <r>
      <rPr>
        <b/>
        <sz val="12"/>
        <color indexed="8"/>
        <rFont val="Arial"/>
        <family val="2"/>
      </rPr>
      <t xml:space="preserve"> </t>
    </r>
  </si>
  <si>
    <r>
      <t>Construction</t>
    </r>
    <r>
      <rPr>
        <b/>
        <vertAlign val="superscript"/>
        <sz val="14"/>
        <color indexed="8"/>
        <rFont val="Arial"/>
        <family val="2"/>
      </rPr>
      <t>T</t>
    </r>
  </si>
  <si>
    <r>
      <t>Construction of Buildings</t>
    </r>
    <r>
      <rPr>
        <b/>
        <vertAlign val="superscript"/>
        <sz val="12"/>
        <color indexed="8"/>
        <rFont val="Arial"/>
        <family val="2"/>
      </rPr>
      <t>T</t>
    </r>
    <r>
      <rPr>
        <b/>
        <sz val="12"/>
        <color indexed="8"/>
        <rFont val="Arial"/>
        <family val="2"/>
      </rPr>
      <t xml:space="preserve"> </t>
    </r>
  </si>
  <si>
    <r>
      <t>Residential Building Construction</t>
    </r>
    <r>
      <rPr>
        <b/>
        <vertAlign val="superscript"/>
        <sz val="10"/>
        <color indexed="8"/>
        <rFont val="Arial"/>
        <family val="2"/>
      </rPr>
      <t>T</t>
    </r>
    <r>
      <rPr>
        <b/>
        <sz val="10"/>
        <color indexed="8"/>
        <rFont val="Arial"/>
        <family val="2"/>
      </rPr>
      <t xml:space="preserve"> </t>
    </r>
  </si>
  <si>
    <r>
      <t>Nonresidential Building Construction</t>
    </r>
    <r>
      <rPr>
        <b/>
        <vertAlign val="superscript"/>
        <sz val="10"/>
        <color indexed="8"/>
        <rFont val="Arial"/>
        <family val="2"/>
      </rPr>
      <t>T</t>
    </r>
    <r>
      <rPr>
        <b/>
        <sz val="10"/>
        <color indexed="8"/>
        <rFont val="Arial"/>
        <family val="2"/>
      </rPr>
      <t xml:space="preserve"> </t>
    </r>
  </si>
  <si>
    <r>
      <t>Heavy and Civil Engineering Construction</t>
    </r>
    <r>
      <rPr>
        <b/>
        <vertAlign val="superscript"/>
        <sz val="12"/>
        <color indexed="8"/>
        <rFont val="Arial"/>
        <family val="2"/>
      </rPr>
      <t>T</t>
    </r>
    <r>
      <rPr>
        <b/>
        <sz val="12"/>
        <color indexed="8"/>
        <rFont val="Arial"/>
        <family val="2"/>
      </rPr>
      <t xml:space="preserve"> </t>
    </r>
  </si>
  <si>
    <r>
      <t>Land Subdivision</t>
    </r>
    <r>
      <rPr>
        <b/>
        <vertAlign val="superscript"/>
        <sz val="10"/>
        <color indexed="8"/>
        <rFont val="Arial"/>
        <family val="2"/>
      </rPr>
      <t>T</t>
    </r>
    <r>
      <rPr>
        <b/>
        <sz val="10"/>
        <color indexed="8"/>
        <rFont val="Arial"/>
        <family val="2"/>
      </rPr>
      <t xml:space="preserve"> </t>
    </r>
  </si>
  <si>
    <r>
      <t>Highway, Street, and Bridge Construction</t>
    </r>
    <r>
      <rPr>
        <b/>
        <vertAlign val="superscript"/>
        <sz val="10"/>
        <color indexed="8"/>
        <rFont val="Arial"/>
        <family val="2"/>
      </rPr>
      <t>T</t>
    </r>
    <r>
      <rPr>
        <b/>
        <sz val="10"/>
        <color indexed="8"/>
        <rFont val="Arial"/>
        <family val="2"/>
      </rPr>
      <t xml:space="preserve"> </t>
    </r>
  </si>
  <si>
    <r>
      <t>Other Heavy and Civil Engineering Construction</t>
    </r>
    <r>
      <rPr>
        <b/>
        <vertAlign val="superscript"/>
        <sz val="10"/>
        <color indexed="8"/>
        <rFont val="Arial"/>
        <family val="2"/>
      </rPr>
      <t>T</t>
    </r>
    <r>
      <rPr>
        <b/>
        <sz val="10"/>
        <color indexed="8"/>
        <rFont val="Arial"/>
        <family val="2"/>
      </rPr>
      <t xml:space="preserve"> </t>
    </r>
  </si>
  <si>
    <r>
      <t>Specialty Trade Contractors</t>
    </r>
    <r>
      <rPr>
        <b/>
        <vertAlign val="superscript"/>
        <sz val="12"/>
        <color indexed="8"/>
        <rFont val="Arial"/>
        <family val="2"/>
      </rPr>
      <t>T</t>
    </r>
    <r>
      <rPr>
        <b/>
        <sz val="12"/>
        <color indexed="8"/>
        <rFont val="Arial"/>
        <family val="2"/>
      </rPr>
      <t xml:space="preserve"> </t>
    </r>
  </si>
  <si>
    <r>
      <t>Building Equipment Contractors</t>
    </r>
    <r>
      <rPr>
        <b/>
        <vertAlign val="superscript"/>
        <sz val="10"/>
        <color indexed="8"/>
        <rFont val="Arial"/>
        <family val="2"/>
      </rPr>
      <t>T</t>
    </r>
    <r>
      <rPr>
        <b/>
        <sz val="10"/>
        <color indexed="8"/>
        <rFont val="Arial"/>
        <family val="2"/>
      </rPr>
      <t xml:space="preserve"> </t>
    </r>
  </si>
  <si>
    <r>
      <t>Building Finishing Contractors</t>
    </r>
    <r>
      <rPr>
        <b/>
        <vertAlign val="superscript"/>
        <sz val="10"/>
        <color indexed="8"/>
        <rFont val="Arial"/>
        <family val="2"/>
      </rPr>
      <t>T</t>
    </r>
    <r>
      <rPr>
        <b/>
        <sz val="10"/>
        <color indexed="8"/>
        <rFont val="Arial"/>
        <family val="2"/>
      </rPr>
      <t xml:space="preserve"> </t>
    </r>
  </si>
  <si>
    <r>
      <t>Other Specialty Trade Contractors</t>
    </r>
    <r>
      <rPr>
        <b/>
        <vertAlign val="superscript"/>
        <sz val="10"/>
        <color indexed="8"/>
        <rFont val="Arial"/>
        <family val="2"/>
      </rPr>
      <t>T</t>
    </r>
    <r>
      <rPr>
        <b/>
        <sz val="10"/>
        <color indexed="8"/>
        <rFont val="Arial"/>
        <family val="2"/>
      </rPr>
      <t xml:space="preserve"> </t>
    </r>
  </si>
  <si>
    <r>
      <t>Food Manufacturing</t>
    </r>
    <r>
      <rPr>
        <b/>
        <vertAlign val="superscript"/>
        <sz val="12"/>
        <color indexed="8"/>
        <rFont val="Arial"/>
        <family val="2"/>
      </rPr>
      <t>T</t>
    </r>
    <r>
      <rPr>
        <b/>
        <sz val="12"/>
        <color indexed="8"/>
        <rFont val="Arial"/>
        <family val="2"/>
      </rPr>
      <t xml:space="preserve"> </t>
    </r>
  </si>
  <si>
    <r>
      <t>Animal Food Manufacturing</t>
    </r>
    <r>
      <rPr>
        <b/>
        <vertAlign val="superscript"/>
        <sz val="10"/>
        <color indexed="8"/>
        <rFont val="Arial"/>
        <family val="2"/>
      </rPr>
      <t>T</t>
    </r>
    <r>
      <rPr>
        <b/>
        <sz val="10"/>
        <color indexed="8"/>
        <rFont val="Arial"/>
        <family val="2"/>
      </rPr>
      <t xml:space="preserve"> </t>
    </r>
  </si>
  <si>
    <r>
      <t>Grain and Oilseed Milling</t>
    </r>
    <r>
      <rPr>
        <b/>
        <vertAlign val="superscript"/>
        <sz val="10"/>
        <color indexed="8"/>
        <rFont val="Arial"/>
        <family val="2"/>
      </rPr>
      <t>T</t>
    </r>
    <r>
      <rPr>
        <b/>
        <sz val="10"/>
        <color indexed="8"/>
        <rFont val="Arial"/>
        <family val="2"/>
      </rPr>
      <t xml:space="preserve"> </t>
    </r>
  </si>
  <si>
    <r>
      <t>Sugar and Confectionery Product Manufacturing</t>
    </r>
    <r>
      <rPr>
        <b/>
        <vertAlign val="superscript"/>
        <sz val="10"/>
        <color indexed="8"/>
        <rFont val="Arial"/>
        <family val="2"/>
      </rPr>
      <t>T</t>
    </r>
    <r>
      <rPr>
        <b/>
        <sz val="10"/>
        <color indexed="8"/>
        <rFont val="Arial"/>
        <family val="2"/>
      </rPr>
      <t xml:space="preserve"> </t>
    </r>
  </si>
  <si>
    <r>
      <t>Fruit and Vegetable Preserving and Specialty Food Manufacturing</t>
    </r>
    <r>
      <rPr>
        <b/>
        <vertAlign val="superscript"/>
        <sz val="10"/>
        <color indexed="8"/>
        <rFont val="Arial"/>
        <family val="2"/>
      </rPr>
      <t>T</t>
    </r>
    <r>
      <rPr>
        <b/>
        <sz val="10"/>
        <color indexed="8"/>
        <rFont val="Arial"/>
        <family val="2"/>
      </rPr>
      <t xml:space="preserve"> </t>
    </r>
  </si>
  <si>
    <r>
      <t>Dairy Product Manufacturing</t>
    </r>
    <r>
      <rPr>
        <b/>
        <vertAlign val="superscript"/>
        <sz val="10"/>
        <color indexed="8"/>
        <rFont val="Arial"/>
        <family val="2"/>
      </rPr>
      <t>T</t>
    </r>
    <r>
      <rPr>
        <b/>
        <sz val="10"/>
        <color indexed="8"/>
        <rFont val="Arial"/>
        <family val="2"/>
      </rPr>
      <t xml:space="preserve"> </t>
    </r>
  </si>
  <si>
    <r>
      <t>Animal Slaughtering and Processing</t>
    </r>
    <r>
      <rPr>
        <b/>
        <vertAlign val="superscript"/>
        <sz val="10"/>
        <color indexed="8"/>
        <rFont val="Arial"/>
        <family val="2"/>
      </rPr>
      <t>T</t>
    </r>
    <r>
      <rPr>
        <b/>
        <sz val="10"/>
        <color indexed="8"/>
        <rFont val="Arial"/>
        <family val="2"/>
      </rPr>
      <t xml:space="preserve"> </t>
    </r>
  </si>
  <si>
    <r>
      <t>Seafood Product Preparation and Packaging</t>
    </r>
    <r>
      <rPr>
        <b/>
        <vertAlign val="superscript"/>
        <sz val="10"/>
        <color indexed="8"/>
        <rFont val="Arial"/>
        <family val="2"/>
      </rPr>
      <t>T</t>
    </r>
    <r>
      <rPr>
        <b/>
        <sz val="10"/>
        <color indexed="8"/>
        <rFont val="Arial"/>
        <family val="2"/>
      </rPr>
      <t xml:space="preserve"> </t>
    </r>
  </si>
  <si>
    <r>
      <t>Bakeries and Tortilla Manufacturing</t>
    </r>
    <r>
      <rPr>
        <b/>
        <vertAlign val="superscript"/>
        <sz val="10"/>
        <color indexed="8"/>
        <rFont val="Arial"/>
        <family val="2"/>
      </rPr>
      <t>T</t>
    </r>
    <r>
      <rPr>
        <b/>
        <sz val="10"/>
        <color indexed="8"/>
        <rFont val="Arial"/>
        <family val="2"/>
      </rPr>
      <t xml:space="preserve"> </t>
    </r>
  </si>
  <si>
    <r>
      <t>Other Food Manufacturing</t>
    </r>
    <r>
      <rPr>
        <b/>
        <vertAlign val="superscript"/>
        <sz val="10"/>
        <color indexed="8"/>
        <rFont val="Arial"/>
        <family val="2"/>
      </rPr>
      <t>T</t>
    </r>
    <r>
      <rPr>
        <b/>
        <sz val="10"/>
        <color indexed="8"/>
        <rFont val="Arial"/>
        <family val="2"/>
      </rPr>
      <t xml:space="preserve"> </t>
    </r>
  </si>
  <si>
    <r>
      <t>Beverage and Tobacco Product Manufacturing</t>
    </r>
    <r>
      <rPr>
        <b/>
        <vertAlign val="superscript"/>
        <sz val="12"/>
        <color indexed="8"/>
        <rFont val="Arial"/>
        <family val="2"/>
      </rPr>
      <t>T</t>
    </r>
    <r>
      <rPr>
        <b/>
        <sz val="12"/>
        <color indexed="8"/>
        <rFont val="Arial"/>
        <family val="2"/>
      </rPr>
      <t xml:space="preserve"> </t>
    </r>
  </si>
  <si>
    <r>
      <t>Beverage Manufacturing</t>
    </r>
    <r>
      <rPr>
        <b/>
        <vertAlign val="superscript"/>
        <sz val="10"/>
        <color indexed="8"/>
        <rFont val="Arial"/>
        <family val="2"/>
      </rPr>
      <t>T</t>
    </r>
    <r>
      <rPr>
        <b/>
        <sz val="10"/>
        <color indexed="8"/>
        <rFont val="Arial"/>
        <family val="2"/>
      </rPr>
      <t xml:space="preserve"> </t>
    </r>
  </si>
  <si>
    <r>
      <t>Tobacco Manufacturing</t>
    </r>
    <r>
      <rPr>
        <b/>
        <vertAlign val="superscript"/>
        <sz val="10"/>
        <color indexed="8"/>
        <rFont val="Arial"/>
        <family val="2"/>
      </rPr>
      <t>T</t>
    </r>
    <r>
      <rPr>
        <b/>
        <sz val="10"/>
        <color indexed="8"/>
        <rFont val="Arial"/>
        <family val="2"/>
      </rPr>
      <t xml:space="preserve"> </t>
    </r>
  </si>
  <si>
    <r>
      <t>Textile Mills</t>
    </r>
    <r>
      <rPr>
        <b/>
        <vertAlign val="superscript"/>
        <sz val="12"/>
        <color indexed="8"/>
        <rFont val="Arial"/>
        <family val="2"/>
      </rPr>
      <t>T</t>
    </r>
    <r>
      <rPr>
        <b/>
        <sz val="12"/>
        <color indexed="8"/>
        <rFont val="Arial"/>
        <family val="2"/>
      </rPr>
      <t xml:space="preserve"> </t>
    </r>
  </si>
  <si>
    <r>
      <t>Fiber, Yarn, and Thread Mills</t>
    </r>
    <r>
      <rPr>
        <b/>
        <vertAlign val="superscript"/>
        <sz val="10"/>
        <color indexed="8"/>
        <rFont val="Arial"/>
        <family val="2"/>
      </rPr>
      <t>T</t>
    </r>
    <r>
      <rPr>
        <b/>
        <sz val="10"/>
        <color indexed="8"/>
        <rFont val="Arial"/>
        <family val="2"/>
      </rPr>
      <t xml:space="preserve"> </t>
    </r>
  </si>
  <si>
    <r>
      <t>Fabric Mills</t>
    </r>
    <r>
      <rPr>
        <b/>
        <vertAlign val="superscript"/>
        <sz val="10"/>
        <color indexed="8"/>
        <rFont val="Arial"/>
        <family val="2"/>
      </rPr>
      <t>T</t>
    </r>
    <r>
      <rPr>
        <b/>
        <sz val="10"/>
        <color indexed="8"/>
        <rFont val="Arial"/>
        <family val="2"/>
      </rPr>
      <t xml:space="preserve"> </t>
    </r>
  </si>
  <si>
    <r>
      <t>Textile Product Mills</t>
    </r>
    <r>
      <rPr>
        <b/>
        <vertAlign val="superscript"/>
        <sz val="12"/>
        <color indexed="8"/>
        <rFont val="Arial"/>
        <family val="2"/>
      </rPr>
      <t>T</t>
    </r>
    <r>
      <rPr>
        <b/>
        <sz val="12"/>
        <color indexed="8"/>
        <rFont val="Arial"/>
        <family val="2"/>
      </rPr>
      <t xml:space="preserve"> </t>
    </r>
  </si>
  <si>
    <r>
      <t>Other Textile Product Mills</t>
    </r>
    <r>
      <rPr>
        <b/>
        <vertAlign val="superscript"/>
        <sz val="10"/>
        <color indexed="8"/>
        <rFont val="Arial"/>
        <family val="2"/>
      </rPr>
      <t>T</t>
    </r>
    <r>
      <rPr>
        <b/>
        <sz val="10"/>
        <color indexed="8"/>
        <rFont val="Arial"/>
        <family val="2"/>
      </rPr>
      <t xml:space="preserve"> </t>
    </r>
  </si>
  <si>
    <r>
      <t>Apparel Manufacturing</t>
    </r>
    <r>
      <rPr>
        <b/>
        <vertAlign val="superscript"/>
        <sz val="12"/>
        <color indexed="8"/>
        <rFont val="Arial"/>
        <family val="2"/>
      </rPr>
      <t>T</t>
    </r>
    <r>
      <rPr>
        <b/>
        <sz val="12"/>
        <color indexed="8"/>
        <rFont val="Arial"/>
        <family val="2"/>
      </rPr>
      <t xml:space="preserve"> </t>
    </r>
  </si>
  <si>
    <r>
      <t>Apparel Knitting Mills</t>
    </r>
    <r>
      <rPr>
        <b/>
        <vertAlign val="superscript"/>
        <sz val="10"/>
        <color indexed="8"/>
        <rFont val="Arial"/>
        <family val="2"/>
      </rPr>
      <t>T</t>
    </r>
    <r>
      <rPr>
        <b/>
        <sz val="10"/>
        <color indexed="8"/>
        <rFont val="Arial"/>
        <family val="2"/>
      </rPr>
      <t xml:space="preserve"> </t>
    </r>
  </si>
  <si>
    <r>
      <t>Leather and Allied Product Manufacturing</t>
    </r>
    <r>
      <rPr>
        <b/>
        <vertAlign val="superscript"/>
        <sz val="12"/>
        <color indexed="8"/>
        <rFont val="Arial"/>
        <family val="2"/>
      </rPr>
      <t>T</t>
    </r>
    <r>
      <rPr>
        <b/>
        <sz val="12"/>
        <color indexed="8"/>
        <rFont val="Arial"/>
        <family val="2"/>
      </rPr>
      <t xml:space="preserve"> </t>
    </r>
  </si>
  <si>
    <r>
      <t>Leather and Hide Tanning and Finishing</t>
    </r>
    <r>
      <rPr>
        <b/>
        <vertAlign val="superscript"/>
        <sz val="10"/>
        <color indexed="8"/>
        <rFont val="Arial"/>
        <family val="2"/>
      </rPr>
      <t>T</t>
    </r>
    <r>
      <rPr>
        <b/>
        <sz val="10"/>
        <color indexed="8"/>
        <rFont val="Arial"/>
        <family val="2"/>
      </rPr>
      <t xml:space="preserve"> </t>
    </r>
  </si>
  <si>
    <r>
      <t>Footwear Manufacturing</t>
    </r>
    <r>
      <rPr>
        <b/>
        <vertAlign val="superscript"/>
        <sz val="10"/>
        <color indexed="8"/>
        <rFont val="Arial"/>
        <family val="2"/>
      </rPr>
      <t>T</t>
    </r>
    <r>
      <rPr>
        <b/>
        <sz val="10"/>
        <color indexed="8"/>
        <rFont val="Arial"/>
        <family val="2"/>
      </rPr>
      <t xml:space="preserve"> </t>
    </r>
  </si>
  <si>
    <r>
      <t>Other Leather and Allied Product Manufacturing</t>
    </r>
    <r>
      <rPr>
        <b/>
        <vertAlign val="superscript"/>
        <sz val="10"/>
        <color indexed="8"/>
        <rFont val="Arial"/>
        <family val="2"/>
      </rPr>
      <t>T</t>
    </r>
    <r>
      <rPr>
        <b/>
        <sz val="10"/>
        <color indexed="8"/>
        <rFont val="Arial"/>
        <family val="2"/>
      </rPr>
      <t xml:space="preserve"> </t>
    </r>
  </si>
  <si>
    <r>
      <t>Wood Product Manufacturing</t>
    </r>
    <r>
      <rPr>
        <b/>
        <vertAlign val="superscript"/>
        <sz val="12"/>
        <color indexed="8"/>
        <rFont val="Arial"/>
        <family val="2"/>
      </rPr>
      <t>T</t>
    </r>
    <r>
      <rPr>
        <b/>
        <sz val="12"/>
        <color indexed="8"/>
        <rFont val="Arial"/>
        <family val="2"/>
      </rPr>
      <t xml:space="preserve"> </t>
    </r>
  </si>
  <si>
    <r>
      <t>Sawmills and Wood Preservation</t>
    </r>
    <r>
      <rPr>
        <b/>
        <vertAlign val="superscript"/>
        <sz val="10"/>
        <color indexed="8"/>
        <rFont val="Arial"/>
        <family val="2"/>
      </rPr>
      <t>T</t>
    </r>
    <r>
      <rPr>
        <b/>
        <sz val="10"/>
        <color indexed="8"/>
        <rFont val="Arial"/>
        <family val="2"/>
      </rPr>
      <t xml:space="preserve"> </t>
    </r>
  </si>
  <si>
    <r>
      <t>Veneer, Plywood, and Engineered Wood Product Manufacturing</t>
    </r>
    <r>
      <rPr>
        <b/>
        <vertAlign val="superscript"/>
        <sz val="10"/>
        <color indexed="8"/>
        <rFont val="Arial"/>
        <family val="2"/>
      </rPr>
      <t>T</t>
    </r>
    <r>
      <rPr>
        <b/>
        <sz val="10"/>
        <color indexed="8"/>
        <rFont val="Arial"/>
        <family val="2"/>
      </rPr>
      <t xml:space="preserve"> </t>
    </r>
  </si>
  <si>
    <r>
      <t>Other Wood Product Manufacturing</t>
    </r>
    <r>
      <rPr>
        <b/>
        <vertAlign val="superscript"/>
        <sz val="10"/>
        <color indexed="8"/>
        <rFont val="Arial"/>
        <family val="2"/>
      </rPr>
      <t>T</t>
    </r>
    <r>
      <rPr>
        <b/>
        <sz val="10"/>
        <color indexed="8"/>
        <rFont val="Arial"/>
        <family val="2"/>
      </rPr>
      <t xml:space="preserve"> </t>
    </r>
  </si>
  <si>
    <r>
      <t>Paper Manufacturing</t>
    </r>
    <r>
      <rPr>
        <b/>
        <vertAlign val="superscript"/>
        <sz val="12"/>
        <color indexed="8"/>
        <rFont val="Arial"/>
        <family val="2"/>
      </rPr>
      <t>T</t>
    </r>
    <r>
      <rPr>
        <b/>
        <sz val="12"/>
        <color indexed="8"/>
        <rFont val="Arial"/>
        <family val="2"/>
      </rPr>
      <t xml:space="preserve"> </t>
    </r>
  </si>
  <si>
    <r>
      <t>Pulp, Paper, and Paperboard Mills</t>
    </r>
    <r>
      <rPr>
        <b/>
        <vertAlign val="superscript"/>
        <sz val="10"/>
        <color indexed="8"/>
        <rFont val="Arial"/>
        <family val="2"/>
      </rPr>
      <t>T</t>
    </r>
    <r>
      <rPr>
        <b/>
        <sz val="10"/>
        <color indexed="8"/>
        <rFont val="Arial"/>
        <family val="2"/>
      </rPr>
      <t xml:space="preserve"> </t>
    </r>
  </si>
  <si>
    <r>
      <t>Converted Paper Product Manufacturing</t>
    </r>
    <r>
      <rPr>
        <b/>
        <vertAlign val="superscript"/>
        <sz val="10"/>
        <color indexed="8"/>
        <rFont val="Arial"/>
        <family val="2"/>
      </rPr>
      <t>T</t>
    </r>
    <r>
      <rPr>
        <b/>
        <sz val="10"/>
        <color indexed="8"/>
        <rFont val="Arial"/>
        <family val="2"/>
      </rPr>
      <t xml:space="preserve"> </t>
    </r>
  </si>
  <si>
    <r>
      <t>Printing and Related Support Activities</t>
    </r>
    <r>
      <rPr>
        <b/>
        <vertAlign val="superscript"/>
        <sz val="12"/>
        <color indexed="8"/>
        <rFont val="Arial"/>
        <family val="2"/>
      </rPr>
      <t>T</t>
    </r>
    <r>
      <rPr>
        <b/>
        <sz val="12"/>
        <color indexed="8"/>
        <rFont val="Arial"/>
        <family val="2"/>
      </rPr>
      <t xml:space="preserve"> </t>
    </r>
  </si>
  <si>
    <r>
      <t>Printing and Related Support Activities</t>
    </r>
    <r>
      <rPr>
        <b/>
        <vertAlign val="superscript"/>
        <sz val="10"/>
        <color indexed="8"/>
        <rFont val="Arial"/>
        <family val="2"/>
      </rPr>
      <t>T</t>
    </r>
    <r>
      <rPr>
        <b/>
        <sz val="10"/>
        <color indexed="8"/>
        <rFont val="Arial"/>
        <family val="2"/>
      </rPr>
      <t xml:space="preserve"> </t>
    </r>
  </si>
  <si>
    <r>
      <t>Petroleum and Coal Products Manufacturing</t>
    </r>
    <r>
      <rPr>
        <b/>
        <vertAlign val="superscript"/>
        <sz val="12"/>
        <color indexed="8"/>
        <rFont val="Arial"/>
        <family val="2"/>
      </rPr>
      <t>T</t>
    </r>
    <r>
      <rPr>
        <b/>
        <sz val="12"/>
        <color indexed="8"/>
        <rFont val="Arial"/>
        <family val="2"/>
      </rPr>
      <t xml:space="preserve"> </t>
    </r>
  </si>
  <si>
    <r>
      <t>Petroleum and Coal Products Manufacturing</t>
    </r>
    <r>
      <rPr>
        <b/>
        <vertAlign val="superscript"/>
        <sz val="10"/>
        <color indexed="8"/>
        <rFont val="Arial"/>
        <family val="2"/>
      </rPr>
      <t>T</t>
    </r>
    <r>
      <rPr>
        <b/>
        <sz val="10"/>
        <color indexed="8"/>
        <rFont val="Arial"/>
        <family val="2"/>
      </rPr>
      <t xml:space="preserve"> </t>
    </r>
  </si>
  <si>
    <r>
      <t>Chemical Manufacturing</t>
    </r>
    <r>
      <rPr>
        <b/>
        <vertAlign val="superscript"/>
        <sz val="12"/>
        <color indexed="8"/>
        <rFont val="Arial"/>
        <family val="2"/>
      </rPr>
      <t>T</t>
    </r>
    <r>
      <rPr>
        <b/>
        <sz val="12"/>
        <color indexed="8"/>
        <rFont val="Arial"/>
        <family val="2"/>
      </rPr>
      <t xml:space="preserve"> </t>
    </r>
  </si>
  <si>
    <r>
      <t>Resin, Synthetic Rubber, and Artificial Synthetic Fibers and Filaments Manufacturing</t>
    </r>
    <r>
      <rPr>
        <b/>
        <vertAlign val="superscript"/>
        <sz val="10"/>
        <color indexed="8"/>
        <rFont val="Arial"/>
        <family val="2"/>
      </rPr>
      <t>T</t>
    </r>
    <r>
      <rPr>
        <b/>
        <sz val="10"/>
        <color indexed="8"/>
        <rFont val="Arial"/>
        <family val="2"/>
      </rPr>
      <t xml:space="preserve"> </t>
    </r>
  </si>
  <si>
    <r>
      <t>Pesticide, Fertilizer, and Other Agricultural Chemical Manufacturing</t>
    </r>
    <r>
      <rPr>
        <b/>
        <vertAlign val="superscript"/>
        <sz val="10"/>
        <color indexed="8"/>
        <rFont val="Arial"/>
        <family val="2"/>
      </rPr>
      <t>T</t>
    </r>
    <r>
      <rPr>
        <b/>
        <sz val="10"/>
        <color indexed="8"/>
        <rFont val="Arial"/>
        <family val="2"/>
      </rPr>
      <t xml:space="preserve"> </t>
    </r>
  </si>
  <si>
    <r>
      <t>Pharmaceutical and Medicine Manufacturing</t>
    </r>
    <r>
      <rPr>
        <b/>
        <vertAlign val="superscript"/>
        <sz val="10"/>
        <color indexed="8"/>
        <rFont val="Arial"/>
        <family val="2"/>
      </rPr>
      <t>T</t>
    </r>
    <r>
      <rPr>
        <b/>
        <sz val="10"/>
        <color indexed="8"/>
        <rFont val="Arial"/>
        <family val="2"/>
      </rPr>
      <t xml:space="preserve"> </t>
    </r>
  </si>
  <si>
    <r>
      <t>Paint, Coating, and Adhesive Manufacturing</t>
    </r>
    <r>
      <rPr>
        <b/>
        <vertAlign val="superscript"/>
        <sz val="10"/>
        <color indexed="8"/>
        <rFont val="Arial"/>
        <family val="2"/>
      </rPr>
      <t>T</t>
    </r>
    <r>
      <rPr>
        <b/>
        <sz val="10"/>
        <color indexed="8"/>
        <rFont val="Arial"/>
        <family val="2"/>
      </rPr>
      <t xml:space="preserve"> </t>
    </r>
  </si>
  <si>
    <r>
      <t>Soap, Cleaning Compound, and Toilet Preparation Manufacturing</t>
    </r>
    <r>
      <rPr>
        <b/>
        <vertAlign val="superscript"/>
        <sz val="10"/>
        <color indexed="8"/>
        <rFont val="Arial"/>
        <family val="2"/>
      </rPr>
      <t>T</t>
    </r>
    <r>
      <rPr>
        <b/>
        <sz val="10"/>
        <color indexed="8"/>
        <rFont val="Arial"/>
        <family val="2"/>
      </rPr>
      <t xml:space="preserve"> </t>
    </r>
  </si>
  <si>
    <r>
      <t>Other Chemical Product and Preparation Manufacturing</t>
    </r>
    <r>
      <rPr>
        <b/>
        <vertAlign val="superscript"/>
        <sz val="10"/>
        <color indexed="8"/>
        <rFont val="Arial"/>
        <family val="2"/>
      </rPr>
      <t>T</t>
    </r>
    <r>
      <rPr>
        <b/>
        <sz val="10"/>
        <color indexed="8"/>
        <rFont val="Arial"/>
        <family val="2"/>
      </rPr>
      <t xml:space="preserve"> </t>
    </r>
  </si>
  <si>
    <r>
      <t>Plastics and Rubber Products Manufacturing</t>
    </r>
    <r>
      <rPr>
        <b/>
        <vertAlign val="superscript"/>
        <sz val="12"/>
        <color indexed="8"/>
        <rFont val="Arial"/>
        <family val="2"/>
      </rPr>
      <t>T</t>
    </r>
    <r>
      <rPr>
        <b/>
        <sz val="12"/>
        <color indexed="8"/>
        <rFont val="Arial"/>
        <family val="2"/>
      </rPr>
      <t xml:space="preserve"> </t>
    </r>
  </si>
  <si>
    <r>
      <t>Rubber Product Manufacturing</t>
    </r>
    <r>
      <rPr>
        <b/>
        <vertAlign val="superscript"/>
        <sz val="10"/>
        <color indexed="8"/>
        <rFont val="Arial"/>
        <family val="2"/>
      </rPr>
      <t>T</t>
    </r>
    <r>
      <rPr>
        <b/>
        <sz val="10"/>
        <color indexed="8"/>
        <rFont val="Arial"/>
        <family val="2"/>
      </rPr>
      <t xml:space="preserve"> </t>
    </r>
  </si>
  <si>
    <r>
      <t>Nonmetallic Mineral Product Manufacturing</t>
    </r>
    <r>
      <rPr>
        <b/>
        <vertAlign val="superscript"/>
        <sz val="12"/>
        <color indexed="8"/>
        <rFont val="Arial"/>
        <family val="2"/>
      </rPr>
      <t>T</t>
    </r>
    <r>
      <rPr>
        <b/>
        <sz val="12"/>
        <color indexed="8"/>
        <rFont val="Arial"/>
        <family val="2"/>
      </rPr>
      <t xml:space="preserve"> </t>
    </r>
  </si>
  <si>
    <r>
      <t>Clay Product and Refractory Manufacturing</t>
    </r>
    <r>
      <rPr>
        <b/>
        <vertAlign val="superscript"/>
        <sz val="10"/>
        <color indexed="8"/>
        <rFont val="Arial"/>
        <family val="2"/>
      </rPr>
      <t>T</t>
    </r>
    <r>
      <rPr>
        <b/>
        <sz val="10"/>
        <color indexed="8"/>
        <rFont val="Arial"/>
        <family val="2"/>
      </rPr>
      <t xml:space="preserve"> </t>
    </r>
  </si>
  <si>
    <r>
      <t>Glass and Glass Product Manufacturing</t>
    </r>
    <r>
      <rPr>
        <b/>
        <vertAlign val="superscript"/>
        <sz val="10"/>
        <color indexed="8"/>
        <rFont val="Arial"/>
        <family val="2"/>
      </rPr>
      <t>T</t>
    </r>
    <r>
      <rPr>
        <b/>
        <sz val="10"/>
        <color indexed="8"/>
        <rFont val="Arial"/>
        <family val="2"/>
      </rPr>
      <t xml:space="preserve"> </t>
    </r>
  </si>
  <si>
    <r>
      <t>Cement and Concrete Product Manufacturing</t>
    </r>
    <r>
      <rPr>
        <b/>
        <vertAlign val="superscript"/>
        <sz val="10"/>
        <color indexed="8"/>
        <rFont val="Arial"/>
        <family val="2"/>
      </rPr>
      <t>T</t>
    </r>
    <r>
      <rPr>
        <b/>
        <sz val="10"/>
        <color indexed="8"/>
        <rFont val="Arial"/>
        <family val="2"/>
      </rPr>
      <t xml:space="preserve"> </t>
    </r>
  </si>
  <si>
    <r>
      <t>Lime and Gypsum Product Manufacturing</t>
    </r>
    <r>
      <rPr>
        <b/>
        <vertAlign val="superscript"/>
        <sz val="10"/>
        <color indexed="8"/>
        <rFont val="Arial"/>
        <family val="2"/>
      </rPr>
      <t>T</t>
    </r>
    <r>
      <rPr>
        <b/>
        <sz val="10"/>
        <color indexed="8"/>
        <rFont val="Arial"/>
        <family val="2"/>
      </rPr>
      <t xml:space="preserve"> </t>
    </r>
  </si>
  <si>
    <r>
      <t>Other Nonmetallic Mineral Product Manufacturing</t>
    </r>
    <r>
      <rPr>
        <b/>
        <vertAlign val="superscript"/>
        <sz val="10"/>
        <color indexed="8"/>
        <rFont val="Arial"/>
        <family val="2"/>
      </rPr>
      <t>T</t>
    </r>
    <r>
      <rPr>
        <b/>
        <sz val="10"/>
        <color indexed="8"/>
        <rFont val="Arial"/>
        <family val="2"/>
      </rPr>
      <t xml:space="preserve"> </t>
    </r>
  </si>
  <si>
    <r>
      <t>Primary Metal Manufacturing</t>
    </r>
    <r>
      <rPr>
        <b/>
        <vertAlign val="superscript"/>
        <sz val="12"/>
        <color indexed="8"/>
        <rFont val="Arial"/>
        <family val="2"/>
      </rPr>
      <t>T</t>
    </r>
    <r>
      <rPr>
        <b/>
        <sz val="12"/>
        <color indexed="8"/>
        <rFont val="Arial"/>
        <family val="2"/>
      </rPr>
      <t xml:space="preserve"> </t>
    </r>
  </si>
  <si>
    <r>
      <t>Iron and Steel Mills and Ferroalloy Manufacturing</t>
    </r>
    <r>
      <rPr>
        <b/>
        <vertAlign val="superscript"/>
        <sz val="10"/>
        <color indexed="8"/>
        <rFont val="Arial"/>
        <family val="2"/>
      </rPr>
      <t>T</t>
    </r>
    <r>
      <rPr>
        <b/>
        <sz val="10"/>
        <color indexed="8"/>
        <rFont val="Arial"/>
        <family val="2"/>
      </rPr>
      <t xml:space="preserve"> </t>
    </r>
  </si>
  <si>
    <r>
      <t>Steel Product Manufacturing from Purchased Steel</t>
    </r>
    <r>
      <rPr>
        <b/>
        <vertAlign val="superscript"/>
        <sz val="10"/>
        <color indexed="8"/>
        <rFont val="Arial"/>
        <family val="2"/>
      </rPr>
      <t>T</t>
    </r>
    <r>
      <rPr>
        <b/>
        <sz val="10"/>
        <color indexed="8"/>
        <rFont val="Arial"/>
        <family val="2"/>
      </rPr>
      <t xml:space="preserve"> </t>
    </r>
  </si>
  <si>
    <r>
      <t>Alumina and Aluminum Production and Processing</t>
    </r>
    <r>
      <rPr>
        <b/>
        <vertAlign val="superscript"/>
        <sz val="10"/>
        <color indexed="8"/>
        <rFont val="Arial"/>
        <family val="2"/>
      </rPr>
      <t>T</t>
    </r>
    <r>
      <rPr>
        <b/>
        <sz val="10"/>
        <color indexed="8"/>
        <rFont val="Arial"/>
        <family val="2"/>
      </rPr>
      <t xml:space="preserve"> </t>
    </r>
  </si>
  <si>
    <r>
      <t>Nonferrous Metal (except Aluminum) Production and Processing</t>
    </r>
    <r>
      <rPr>
        <b/>
        <vertAlign val="superscript"/>
        <sz val="10"/>
        <color indexed="8"/>
        <rFont val="Arial"/>
        <family val="2"/>
      </rPr>
      <t>T</t>
    </r>
    <r>
      <rPr>
        <b/>
        <sz val="10"/>
        <color indexed="8"/>
        <rFont val="Arial"/>
        <family val="2"/>
      </rPr>
      <t xml:space="preserve"> </t>
    </r>
  </si>
  <si>
    <r>
      <t>Foundries</t>
    </r>
    <r>
      <rPr>
        <b/>
        <vertAlign val="superscript"/>
        <sz val="10"/>
        <color indexed="8"/>
        <rFont val="Arial"/>
        <family val="2"/>
      </rPr>
      <t>T</t>
    </r>
    <r>
      <rPr>
        <b/>
        <sz val="10"/>
        <color indexed="8"/>
        <rFont val="Arial"/>
        <family val="2"/>
      </rPr>
      <t xml:space="preserve"> </t>
    </r>
  </si>
  <si>
    <r>
      <t>Fabricated Metal Product Manufacturing</t>
    </r>
    <r>
      <rPr>
        <b/>
        <vertAlign val="superscript"/>
        <sz val="12"/>
        <color indexed="8"/>
        <rFont val="Arial"/>
        <family val="2"/>
      </rPr>
      <t>T</t>
    </r>
    <r>
      <rPr>
        <b/>
        <sz val="12"/>
        <color indexed="8"/>
        <rFont val="Arial"/>
        <family val="2"/>
      </rPr>
      <t xml:space="preserve"> </t>
    </r>
  </si>
  <si>
    <r>
      <t>Forging and Stamping</t>
    </r>
    <r>
      <rPr>
        <b/>
        <vertAlign val="superscript"/>
        <sz val="10"/>
        <color indexed="8"/>
        <rFont val="Arial"/>
        <family val="2"/>
      </rPr>
      <t>T</t>
    </r>
    <r>
      <rPr>
        <b/>
        <sz val="10"/>
        <color indexed="8"/>
        <rFont val="Arial"/>
        <family val="2"/>
      </rPr>
      <t xml:space="preserve"> </t>
    </r>
  </si>
  <si>
    <r>
      <t>Cutlery and Handtool Manufacturing</t>
    </r>
    <r>
      <rPr>
        <b/>
        <vertAlign val="superscript"/>
        <sz val="10"/>
        <color indexed="8"/>
        <rFont val="Arial"/>
        <family val="2"/>
      </rPr>
      <t>T</t>
    </r>
    <r>
      <rPr>
        <b/>
        <sz val="10"/>
        <color indexed="8"/>
        <rFont val="Arial"/>
        <family val="2"/>
      </rPr>
      <t xml:space="preserve"> </t>
    </r>
  </si>
  <si>
    <r>
      <t>Architectural and Structural Metals Manufacturing</t>
    </r>
    <r>
      <rPr>
        <b/>
        <vertAlign val="superscript"/>
        <sz val="10"/>
        <color indexed="8"/>
        <rFont val="Arial"/>
        <family val="2"/>
      </rPr>
      <t>T</t>
    </r>
    <r>
      <rPr>
        <b/>
        <sz val="10"/>
        <color indexed="8"/>
        <rFont val="Arial"/>
        <family val="2"/>
      </rPr>
      <t xml:space="preserve"> </t>
    </r>
  </si>
  <si>
    <r>
      <t>Boiler, Tank, and Shipping Container Manufacturing</t>
    </r>
    <r>
      <rPr>
        <b/>
        <vertAlign val="superscript"/>
        <sz val="10"/>
        <color indexed="8"/>
        <rFont val="Arial"/>
        <family val="2"/>
      </rPr>
      <t>T</t>
    </r>
    <r>
      <rPr>
        <b/>
        <sz val="10"/>
        <color indexed="8"/>
        <rFont val="Arial"/>
        <family val="2"/>
      </rPr>
      <t xml:space="preserve"> </t>
    </r>
  </si>
  <si>
    <r>
      <t>Hardware Manufacturing</t>
    </r>
    <r>
      <rPr>
        <b/>
        <vertAlign val="superscript"/>
        <sz val="10"/>
        <color indexed="8"/>
        <rFont val="Arial"/>
        <family val="2"/>
      </rPr>
      <t>T</t>
    </r>
    <r>
      <rPr>
        <b/>
        <sz val="10"/>
        <color indexed="8"/>
        <rFont val="Arial"/>
        <family val="2"/>
      </rPr>
      <t xml:space="preserve"> </t>
    </r>
  </si>
  <si>
    <r>
      <t>Spring and Wire Product Manufacturing</t>
    </r>
    <r>
      <rPr>
        <b/>
        <vertAlign val="superscript"/>
        <sz val="10"/>
        <color indexed="8"/>
        <rFont val="Arial"/>
        <family val="2"/>
      </rPr>
      <t>T</t>
    </r>
    <r>
      <rPr>
        <b/>
        <sz val="10"/>
        <color indexed="8"/>
        <rFont val="Arial"/>
        <family val="2"/>
      </rPr>
      <t xml:space="preserve"> </t>
    </r>
  </si>
  <si>
    <r>
      <t>Machine Shops; Turned Product; and Screw, Nut, and Bolt Manufacturing</t>
    </r>
    <r>
      <rPr>
        <b/>
        <vertAlign val="superscript"/>
        <sz val="10"/>
        <color indexed="8"/>
        <rFont val="Arial"/>
        <family val="2"/>
      </rPr>
      <t>T</t>
    </r>
    <r>
      <rPr>
        <b/>
        <sz val="10"/>
        <color indexed="8"/>
        <rFont val="Arial"/>
        <family val="2"/>
      </rPr>
      <t xml:space="preserve"> </t>
    </r>
  </si>
  <si>
    <r>
      <t>Coating, Engraving, Heat Treating, and Allied Activities</t>
    </r>
    <r>
      <rPr>
        <b/>
        <vertAlign val="superscript"/>
        <sz val="10"/>
        <color indexed="8"/>
        <rFont val="Arial"/>
        <family val="2"/>
      </rPr>
      <t>T</t>
    </r>
    <r>
      <rPr>
        <b/>
        <sz val="10"/>
        <color indexed="8"/>
        <rFont val="Arial"/>
        <family val="2"/>
      </rPr>
      <t xml:space="preserve"> </t>
    </r>
  </si>
  <si>
    <r>
      <t>Other Fabricated Metal Product Manufacturing</t>
    </r>
    <r>
      <rPr>
        <b/>
        <vertAlign val="superscript"/>
        <sz val="10"/>
        <color indexed="8"/>
        <rFont val="Arial"/>
        <family val="2"/>
      </rPr>
      <t>T</t>
    </r>
    <r>
      <rPr>
        <b/>
        <sz val="10"/>
        <color indexed="8"/>
        <rFont val="Arial"/>
        <family val="2"/>
      </rPr>
      <t xml:space="preserve"> </t>
    </r>
  </si>
  <si>
    <r>
      <t>Machinery Manufacturing</t>
    </r>
    <r>
      <rPr>
        <b/>
        <vertAlign val="superscript"/>
        <sz val="12"/>
        <color indexed="8"/>
        <rFont val="Arial"/>
        <family val="2"/>
      </rPr>
      <t>T</t>
    </r>
    <r>
      <rPr>
        <b/>
        <sz val="12"/>
        <color indexed="8"/>
        <rFont val="Arial"/>
        <family val="2"/>
      </rPr>
      <t xml:space="preserve"> </t>
    </r>
  </si>
  <si>
    <r>
      <t>Agriculture, Construction, and Mining Machinery Manufacturing</t>
    </r>
    <r>
      <rPr>
        <b/>
        <vertAlign val="superscript"/>
        <sz val="10"/>
        <color indexed="8"/>
        <rFont val="Arial"/>
        <family val="2"/>
      </rPr>
      <t>T</t>
    </r>
    <r>
      <rPr>
        <b/>
        <sz val="10"/>
        <color indexed="8"/>
        <rFont val="Arial"/>
        <family val="2"/>
      </rPr>
      <t xml:space="preserve"> </t>
    </r>
  </si>
  <si>
    <r>
      <t>Industrial Machinery Manufacturing</t>
    </r>
    <r>
      <rPr>
        <b/>
        <vertAlign val="superscript"/>
        <sz val="10"/>
        <color indexed="8"/>
        <rFont val="Arial"/>
        <family val="2"/>
      </rPr>
      <t>T</t>
    </r>
    <r>
      <rPr>
        <b/>
        <sz val="10"/>
        <color indexed="8"/>
        <rFont val="Arial"/>
        <family val="2"/>
      </rPr>
      <t xml:space="preserve"> </t>
    </r>
  </si>
  <si>
    <r>
      <t>Commercial and Service Industry Machinery Manufacturing</t>
    </r>
    <r>
      <rPr>
        <b/>
        <vertAlign val="superscript"/>
        <sz val="10"/>
        <color indexed="8"/>
        <rFont val="Arial"/>
        <family val="2"/>
      </rPr>
      <t>T</t>
    </r>
    <r>
      <rPr>
        <b/>
        <sz val="10"/>
        <color indexed="8"/>
        <rFont val="Arial"/>
        <family val="2"/>
      </rPr>
      <t xml:space="preserve"> </t>
    </r>
  </si>
  <si>
    <r>
      <t>Ventilation, Heating, Air-Conditioning, and Commercial Refrigeration Equipment Manufacturing</t>
    </r>
    <r>
      <rPr>
        <b/>
        <vertAlign val="superscript"/>
        <sz val="10"/>
        <color indexed="8"/>
        <rFont val="Arial"/>
        <family val="2"/>
      </rPr>
      <t>T</t>
    </r>
    <r>
      <rPr>
        <b/>
        <sz val="10"/>
        <color indexed="8"/>
        <rFont val="Arial"/>
        <family val="2"/>
      </rPr>
      <t xml:space="preserve"> </t>
    </r>
  </si>
  <si>
    <r>
      <t>Metalworking Machinery Manufacturing</t>
    </r>
    <r>
      <rPr>
        <b/>
        <vertAlign val="superscript"/>
        <sz val="10"/>
        <color indexed="8"/>
        <rFont val="Arial"/>
        <family val="2"/>
      </rPr>
      <t>T</t>
    </r>
    <r>
      <rPr>
        <b/>
        <sz val="10"/>
        <color indexed="8"/>
        <rFont val="Arial"/>
        <family val="2"/>
      </rPr>
      <t xml:space="preserve"> </t>
    </r>
  </si>
  <si>
    <r>
      <t>Engine, Turbine, and Power Transmission Equipment Manufacturing</t>
    </r>
    <r>
      <rPr>
        <b/>
        <vertAlign val="superscript"/>
        <sz val="10"/>
        <color indexed="8"/>
        <rFont val="Arial"/>
        <family val="2"/>
      </rPr>
      <t>T</t>
    </r>
    <r>
      <rPr>
        <b/>
        <sz val="10"/>
        <color indexed="8"/>
        <rFont val="Arial"/>
        <family val="2"/>
      </rPr>
      <t xml:space="preserve"> </t>
    </r>
  </si>
  <si>
    <r>
      <t>Other General Purpose Machinery Manufacturing</t>
    </r>
    <r>
      <rPr>
        <b/>
        <vertAlign val="superscript"/>
        <sz val="10"/>
        <color indexed="8"/>
        <rFont val="Arial"/>
        <family val="2"/>
      </rPr>
      <t>T</t>
    </r>
    <r>
      <rPr>
        <b/>
        <sz val="10"/>
        <color indexed="8"/>
        <rFont val="Arial"/>
        <family val="2"/>
      </rPr>
      <t xml:space="preserve"> </t>
    </r>
  </si>
  <si>
    <r>
      <t>Computer and Electronic Product Manufacturing</t>
    </r>
    <r>
      <rPr>
        <b/>
        <vertAlign val="superscript"/>
        <sz val="12"/>
        <color indexed="8"/>
        <rFont val="Arial"/>
        <family val="2"/>
      </rPr>
      <t>T</t>
    </r>
    <r>
      <rPr>
        <b/>
        <sz val="12"/>
        <color indexed="8"/>
        <rFont val="Arial"/>
        <family val="2"/>
      </rPr>
      <t xml:space="preserve"> </t>
    </r>
  </si>
  <si>
    <r>
      <t>Computer and Peripheral Equipment Manufacturing</t>
    </r>
    <r>
      <rPr>
        <b/>
        <vertAlign val="superscript"/>
        <sz val="10"/>
        <color indexed="8"/>
        <rFont val="Arial"/>
        <family val="2"/>
      </rPr>
      <t>T</t>
    </r>
    <r>
      <rPr>
        <b/>
        <sz val="10"/>
        <color indexed="8"/>
        <rFont val="Arial"/>
        <family val="2"/>
      </rPr>
      <t xml:space="preserve"> </t>
    </r>
  </si>
  <si>
    <r>
      <t>Communications Equipment Manufacturing</t>
    </r>
    <r>
      <rPr>
        <b/>
        <vertAlign val="superscript"/>
        <sz val="10"/>
        <color indexed="8"/>
        <rFont val="Arial"/>
        <family val="2"/>
      </rPr>
      <t>T</t>
    </r>
    <r>
      <rPr>
        <b/>
        <sz val="10"/>
        <color indexed="8"/>
        <rFont val="Arial"/>
        <family val="2"/>
      </rPr>
      <t xml:space="preserve"> </t>
    </r>
  </si>
  <si>
    <r>
      <t>Audio and Video Equipment Manufacturing</t>
    </r>
    <r>
      <rPr>
        <b/>
        <vertAlign val="superscript"/>
        <sz val="10"/>
        <color indexed="8"/>
        <rFont val="Arial"/>
        <family val="2"/>
      </rPr>
      <t>T</t>
    </r>
    <r>
      <rPr>
        <b/>
        <sz val="10"/>
        <color indexed="8"/>
        <rFont val="Arial"/>
        <family val="2"/>
      </rPr>
      <t xml:space="preserve"> </t>
    </r>
  </si>
  <si>
    <r>
      <t>Semiconductor and Other Electronic Component Manufacturing</t>
    </r>
    <r>
      <rPr>
        <b/>
        <vertAlign val="superscript"/>
        <sz val="10"/>
        <color indexed="8"/>
        <rFont val="Arial"/>
        <family val="2"/>
      </rPr>
      <t>T</t>
    </r>
    <r>
      <rPr>
        <b/>
        <sz val="10"/>
        <color indexed="8"/>
        <rFont val="Arial"/>
        <family val="2"/>
      </rPr>
      <t xml:space="preserve"> </t>
    </r>
  </si>
  <si>
    <r>
      <t>Navigational, Measuring, Electromedical, and Control Instruments Manufacturing</t>
    </r>
    <r>
      <rPr>
        <b/>
        <vertAlign val="superscript"/>
        <sz val="10"/>
        <color indexed="8"/>
        <rFont val="Arial"/>
        <family val="2"/>
      </rPr>
      <t>T</t>
    </r>
    <r>
      <rPr>
        <b/>
        <sz val="10"/>
        <color indexed="8"/>
        <rFont val="Arial"/>
        <family val="2"/>
      </rPr>
      <t xml:space="preserve"> </t>
    </r>
  </si>
  <si>
    <r>
      <t>Manufacturing and Reproducing Magnetic and Optical Media</t>
    </r>
    <r>
      <rPr>
        <b/>
        <vertAlign val="superscript"/>
        <sz val="10"/>
        <color indexed="8"/>
        <rFont val="Arial"/>
        <family val="2"/>
      </rPr>
      <t>T</t>
    </r>
    <r>
      <rPr>
        <b/>
        <sz val="10"/>
        <color indexed="8"/>
        <rFont val="Arial"/>
        <family val="2"/>
      </rPr>
      <t xml:space="preserve"> </t>
    </r>
  </si>
  <si>
    <r>
      <t>Electrical Equipment, Appliance, and Component Manufacturing</t>
    </r>
    <r>
      <rPr>
        <b/>
        <vertAlign val="superscript"/>
        <sz val="12"/>
        <color indexed="8"/>
        <rFont val="Arial"/>
        <family val="2"/>
      </rPr>
      <t>T</t>
    </r>
    <r>
      <rPr>
        <b/>
        <sz val="12"/>
        <color indexed="8"/>
        <rFont val="Arial"/>
        <family val="2"/>
      </rPr>
      <t xml:space="preserve"> </t>
    </r>
  </si>
  <si>
    <r>
      <t>Electric Lighting Equipment Manufacturing</t>
    </r>
    <r>
      <rPr>
        <b/>
        <vertAlign val="superscript"/>
        <sz val="10"/>
        <color indexed="8"/>
        <rFont val="Arial"/>
        <family val="2"/>
      </rPr>
      <t>T</t>
    </r>
    <r>
      <rPr>
        <b/>
        <sz val="10"/>
        <color indexed="8"/>
        <rFont val="Arial"/>
        <family val="2"/>
      </rPr>
      <t xml:space="preserve"> </t>
    </r>
  </si>
  <si>
    <r>
      <t>Household Appliance Manufacturing</t>
    </r>
    <r>
      <rPr>
        <b/>
        <vertAlign val="superscript"/>
        <sz val="10"/>
        <color indexed="8"/>
        <rFont val="Arial"/>
        <family val="2"/>
      </rPr>
      <t>T</t>
    </r>
    <r>
      <rPr>
        <b/>
        <sz val="10"/>
        <color indexed="8"/>
        <rFont val="Arial"/>
        <family val="2"/>
      </rPr>
      <t xml:space="preserve"> </t>
    </r>
  </si>
  <si>
    <r>
      <t>Electrical Equipment Manufacturing</t>
    </r>
    <r>
      <rPr>
        <b/>
        <vertAlign val="superscript"/>
        <sz val="10"/>
        <color indexed="8"/>
        <rFont val="Arial"/>
        <family val="2"/>
      </rPr>
      <t>T</t>
    </r>
    <r>
      <rPr>
        <b/>
        <sz val="10"/>
        <color indexed="8"/>
        <rFont val="Arial"/>
        <family val="2"/>
      </rPr>
      <t xml:space="preserve"> </t>
    </r>
  </si>
  <si>
    <r>
      <t>Other Electrical Equipment and Component Manufacturing</t>
    </r>
    <r>
      <rPr>
        <b/>
        <vertAlign val="superscript"/>
        <sz val="10"/>
        <color indexed="8"/>
        <rFont val="Arial"/>
        <family val="2"/>
      </rPr>
      <t>T</t>
    </r>
    <r>
      <rPr>
        <b/>
        <sz val="10"/>
        <color indexed="8"/>
        <rFont val="Arial"/>
        <family val="2"/>
      </rPr>
      <t xml:space="preserve"> </t>
    </r>
  </si>
  <si>
    <r>
      <t>Transportation Equipment Manufacturing</t>
    </r>
    <r>
      <rPr>
        <b/>
        <vertAlign val="superscript"/>
        <sz val="12"/>
        <color indexed="8"/>
        <rFont val="Arial"/>
        <family val="2"/>
      </rPr>
      <t>T</t>
    </r>
    <r>
      <rPr>
        <b/>
        <sz val="12"/>
        <color indexed="8"/>
        <rFont val="Arial"/>
        <family val="2"/>
      </rPr>
      <t xml:space="preserve"> </t>
    </r>
  </si>
  <si>
    <r>
      <t>Motor Vehicle Body and Trailer Manufacturing</t>
    </r>
    <r>
      <rPr>
        <b/>
        <vertAlign val="superscript"/>
        <sz val="10"/>
        <color indexed="8"/>
        <rFont val="Arial"/>
        <family val="2"/>
      </rPr>
      <t>T</t>
    </r>
    <r>
      <rPr>
        <b/>
        <sz val="10"/>
        <color indexed="8"/>
        <rFont val="Arial"/>
        <family val="2"/>
      </rPr>
      <t xml:space="preserve"> </t>
    </r>
  </si>
  <si>
    <r>
      <t>Motor Vehicle Parts Manufacturing</t>
    </r>
    <r>
      <rPr>
        <b/>
        <vertAlign val="superscript"/>
        <sz val="10"/>
        <color indexed="8"/>
        <rFont val="Arial"/>
        <family val="2"/>
      </rPr>
      <t>T</t>
    </r>
    <r>
      <rPr>
        <b/>
        <sz val="10"/>
        <color indexed="8"/>
        <rFont val="Arial"/>
        <family val="2"/>
      </rPr>
      <t xml:space="preserve"> </t>
    </r>
  </si>
  <si>
    <r>
      <t>Aerospace Product and Parts Manufacturing</t>
    </r>
    <r>
      <rPr>
        <b/>
        <vertAlign val="superscript"/>
        <sz val="10"/>
        <color indexed="8"/>
        <rFont val="Arial"/>
        <family val="2"/>
      </rPr>
      <t>T</t>
    </r>
    <r>
      <rPr>
        <b/>
        <sz val="10"/>
        <color indexed="8"/>
        <rFont val="Arial"/>
        <family val="2"/>
      </rPr>
      <t xml:space="preserve"> </t>
    </r>
  </si>
  <si>
    <r>
      <t>Railroad Rolling Stock Manufacturing</t>
    </r>
    <r>
      <rPr>
        <b/>
        <vertAlign val="superscript"/>
        <sz val="10"/>
        <color indexed="8"/>
        <rFont val="Arial"/>
        <family val="2"/>
      </rPr>
      <t>T</t>
    </r>
    <r>
      <rPr>
        <b/>
        <sz val="10"/>
        <color indexed="8"/>
        <rFont val="Arial"/>
        <family val="2"/>
      </rPr>
      <t xml:space="preserve"> </t>
    </r>
  </si>
  <si>
    <r>
      <t>Ship and Boat Building</t>
    </r>
    <r>
      <rPr>
        <b/>
        <vertAlign val="superscript"/>
        <sz val="10"/>
        <color indexed="8"/>
        <rFont val="Arial"/>
        <family val="2"/>
      </rPr>
      <t>T</t>
    </r>
    <r>
      <rPr>
        <b/>
        <sz val="10"/>
        <color indexed="8"/>
        <rFont val="Arial"/>
        <family val="2"/>
      </rPr>
      <t xml:space="preserve"> </t>
    </r>
  </si>
  <si>
    <r>
      <t>Other Transportation Equipment Manufacturing</t>
    </r>
    <r>
      <rPr>
        <b/>
        <vertAlign val="superscript"/>
        <sz val="10"/>
        <color indexed="8"/>
        <rFont val="Arial"/>
        <family val="2"/>
      </rPr>
      <t>T</t>
    </r>
    <r>
      <rPr>
        <b/>
        <sz val="10"/>
        <color indexed="8"/>
        <rFont val="Arial"/>
        <family val="2"/>
      </rPr>
      <t xml:space="preserve"> </t>
    </r>
  </si>
  <si>
    <r>
      <t>Furniture and Related Product Manufacturing</t>
    </r>
    <r>
      <rPr>
        <b/>
        <vertAlign val="superscript"/>
        <sz val="12"/>
        <color indexed="8"/>
        <rFont val="Arial"/>
        <family val="2"/>
      </rPr>
      <t>T</t>
    </r>
    <r>
      <rPr>
        <b/>
        <sz val="12"/>
        <color indexed="8"/>
        <rFont val="Arial"/>
        <family val="2"/>
      </rPr>
      <t xml:space="preserve"> </t>
    </r>
  </si>
  <si>
    <r>
      <t>Household and Institutional Furniture and Kitchen Cabinet Manufacturing</t>
    </r>
    <r>
      <rPr>
        <b/>
        <vertAlign val="superscript"/>
        <sz val="10"/>
        <color indexed="8"/>
        <rFont val="Arial"/>
        <family val="2"/>
      </rPr>
      <t>T</t>
    </r>
    <r>
      <rPr>
        <b/>
        <sz val="10"/>
        <color indexed="8"/>
        <rFont val="Arial"/>
        <family val="2"/>
      </rPr>
      <t xml:space="preserve"> </t>
    </r>
  </si>
  <si>
    <r>
      <t>Office Furniture (including Fixtures) Manufacturing</t>
    </r>
    <r>
      <rPr>
        <b/>
        <vertAlign val="superscript"/>
        <sz val="10"/>
        <color indexed="8"/>
        <rFont val="Arial"/>
        <family val="2"/>
      </rPr>
      <t>T</t>
    </r>
    <r>
      <rPr>
        <b/>
        <sz val="10"/>
        <color indexed="8"/>
        <rFont val="Arial"/>
        <family val="2"/>
      </rPr>
      <t xml:space="preserve"> </t>
    </r>
  </si>
  <si>
    <r>
      <t>Other Furniture Related Product Manufacturing</t>
    </r>
    <r>
      <rPr>
        <b/>
        <vertAlign val="superscript"/>
        <sz val="10"/>
        <color indexed="8"/>
        <rFont val="Arial"/>
        <family val="2"/>
      </rPr>
      <t>T</t>
    </r>
    <r>
      <rPr>
        <b/>
        <sz val="10"/>
        <color indexed="8"/>
        <rFont val="Arial"/>
        <family val="2"/>
      </rPr>
      <t xml:space="preserve"> </t>
    </r>
  </si>
  <si>
    <r>
      <t>Miscellaneous Manufacturing</t>
    </r>
    <r>
      <rPr>
        <b/>
        <vertAlign val="superscript"/>
        <sz val="12"/>
        <color indexed="8"/>
        <rFont val="Arial"/>
        <family val="2"/>
      </rPr>
      <t>T</t>
    </r>
    <r>
      <rPr>
        <b/>
        <sz val="12"/>
        <color indexed="8"/>
        <rFont val="Arial"/>
        <family val="2"/>
      </rPr>
      <t xml:space="preserve"> </t>
    </r>
  </si>
  <si>
    <r>
      <t>Medical Equipment and Supplies Manufacturing</t>
    </r>
    <r>
      <rPr>
        <b/>
        <vertAlign val="superscript"/>
        <sz val="10"/>
        <color indexed="8"/>
        <rFont val="Arial"/>
        <family val="2"/>
      </rPr>
      <t>T</t>
    </r>
    <r>
      <rPr>
        <b/>
        <sz val="10"/>
        <color indexed="8"/>
        <rFont val="Arial"/>
        <family val="2"/>
      </rPr>
      <t xml:space="preserve"> </t>
    </r>
  </si>
  <si>
    <r>
      <t>Other Miscellaneous Manufacturing</t>
    </r>
    <r>
      <rPr>
        <b/>
        <vertAlign val="superscript"/>
        <sz val="10"/>
        <color indexed="8"/>
        <rFont val="Arial"/>
        <family val="2"/>
      </rPr>
      <t>T</t>
    </r>
    <r>
      <rPr>
        <b/>
        <sz val="10"/>
        <color indexed="8"/>
        <rFont val="Arial"/>
        <family val="2"/>
      </rPr>
      <t xml:space="preserve"> </t>
    </r>
  </si>
  <si>
    <r>
      <t>Transportation and Warehousing</t>
    </r>
    <r>
      <rPr>
        <b/>
        <vertAlign val="superscript"/>
        <sz val="14"/>
        <color indexed="8"/>
        <rFont val="Arial"/>
        <family val="2"/>
      </rPr>
      <t>T</t>
    </r>
  </si>
  <si>
    <r>
      <t>Air Transportation</t>
    </r>
    <r>
      <rPr>
        <b/>
        <vertAlign val="superscript"/>
        <sz val="12"/>
        <color indexed="8"/>
        <rFont val="Arial"/>
        <family val="2"/>
      </rPr>
      <t>T</t>
    </r>
    <r>
      <rPr>
        <b/>
        <sz val="12"/>
        <color indexed="8"/>
        <rFont val="Arial"/>
        <family val="2"/>
      </rPr>
      <t xml:space="preserve"> </t>
    </r>
  </si>
  <si>
    <r>
      <t>Scheduled Air Transportation</t>
    </r>
    <r>
      <rPr>
        <b/>
        <vertAlign val="superscript"/>
        <sz val="10"/>
        <color indexed="8"/>
        <rFont val="Arial"/>
        <family val="2"/>
      </rPr>
      <t>T</t>
    </r>
    <r>
      <rPr>
        <b/>
        <sz val="10"/>
        <color indexed="8"/>
        <rFont val="Arial"/>
        <family val="2"/>
      </rPr>
      <t xml:space="preserve"> </t>
    </r>
  </si>
  <si>
    <r>
      <t>Nonscheduled Air Transportation</t>
    </r>
    <r>
      <rPr>
        <b/>
        <vertAlign val="superscript"/>
        <sz val="10"/>
        <color indexed="8"/>
        <rFont val="Arial"/>
        <family val="2"/>
      </rPr>
      <t>T</t>
    </r>
    <r>
      <rPr>
        <b/>
        <sz val="10"/>
        <color indexed="8"/>
        <rFont val="Arial"/>
        <family val="2"/>
      </rPr>
      <t xml:space="preserve"> </t>
    </r>
  </si>
  <si>
    <r>
      <t>Rail Transportation</t>
    </r>
    <r>
      <rPr>
        <b/>
        <vertAlign val="superscript"/>
        <sz val="12"/>
        <color indexed="8"/>
        <rFont val="Arial"/>
        <family val="2"/>
      </rPr>
      <t>T</t>
    </r>
    <r>
      <rPr>
        <b/>
        <sz val="12"/>
        <color indexed="8"/>
        <rFont val="Arial"/>
        <family val="2"/>
      </rPr>
      <t xml:space="preserve"> </t>
    </r>
  </si>
  <si>
    <r>
      <t>Rail Transportation</t>
    </r>
    <r>
      <rPr>
        <b/>
        <vertAlign val="superscript"/>
        <sz val="10"/>
        <color indexed="8"/>
        <rFont val="Arial"/>
        <family val="2"/>
      </rPr>
      <t>T</t>
    </r>
    <r>
      <rPr>
        <b/>
        <sz val="10"/>
        <color indexed="8"/>
        <rFont val="Arial"/>
        <family val="2"/>
      </rPr>
      <t xml:space="preserve"> </t>
    </r>
  </si>
  <si>
    <r>
      <t>Water Transportation</t>
    </r>
    <r>
      <rPr>
        <b/>
        <vertAlign val="superscript"/>
        <sz val="12"/>
        <color indexed="8"/>
        <rFont val="Arial"/>
        <family val="2"/>
      </rPr>
      <t>T</t>
    </r>
    <r>
      <rPr>
        <b/>
        <sz val="12"/>
        <color indexed="8"/>
        <rFont val="Arial"/>
        <family val="2"/>
      </rPr>
      <t xml:space="preserve"> </t>
    </r>
  </si>
  <si>
    <r>
      <t>Deep Sea, Coastal, and Great Lakes Water Transportation</t>
    </r>
    <r>
      <rPr>
        <b/>
        <vertAlign val="superscript"/>
        <sz val="10"/>
        <color indexed="8"/>
        <rFont val="Arial"/>
        <family val="2"/>
      </rPr>
      <t>T</t>
    </r>
    <r>
      <rPr>
        <b/>
        <sz val="10"/>
        <color indexed="8"/>
        <rFont val="Arial"/>
        <family val="2"/>
      </rPr>
      <t xml:space="preserve"> </t>
    </r>
  </si>
  <si>
    <r>
      <t>Inland Water Transportation</t>
    </r>
    <r>
      <rPr>
        <b/>
        <vertAlign val="superscript"/>
        <sz val="10"/>
        <color indexed="8"/>
        <rFont val="Arial"/>
        <family val="2"/>
      </rPr>
      <t>T</t>
    </r>
    <r>
      <rPr>
        <b/>
        <sz val="10"/>
        <color indexed="8"/>
        <rFont val="Arial"/>
        <family val="2"/>
      </rPr>
      <t xml:space="preserve"> </t>
    </r>
  </si>
  <si>
    <r>
      <t>Truck Transportation</t>
    </r>
    <r>
      <rPr>
        <b/>
        <vertAlign val="superscript"/>
        <sz val="12"/>
        <color indexed="8"/>
        <rFont val="Arial"/>
        <family val="2"/>
      </rPr>
      <t>T</t>
    </r>
    <r>
      <rPr>
        <b/>
        <sz val="12"/>
        <color indexed="8"/>
        <rFont val="Arial"/>
        <family val="2"/>
      </rPr>
      <t xml:space="preserve"> </t>
    </r>
  </si>
  <si>
    <r>
      <t>General Freight Trucking</t>
    </r>
    <r>
      <rPr>
        <b/>
        <vertAlign val="superscript"/>
        <sz val="10"/>
        <color indexed="8"/>
        <rFont val="Arial"/>
        <family val="2"/>
      </rPr>
      <t>T</t>
    </r>
    <r>
      <rPr>
        <b/>
        <sz val="10"/>
        <color indexed="8"/>
        <rFont val="Arial"/>
        <family val="2"/>
      </rPr>
      <t xml:space="preserve"> </t>
    </r>
  </si>
  <si>
    <r>
      <t>Specialized Freight Trucking</t>
    </r>
    <r>
      <rPr>
        <b/>
        <vertAlign val="superscript"/>
        <sz val="10"/>
        <color indexed="8"/>
        <rFont val="Arial"/>
        <family val="2"/>
      </rPr>
      <t>T</t>
    </r>
    <r>
      <rPr>
        <b/>
        <sz val="10"/>
        <color indexed="8"/>
        <rFont val="Arial"/>
        <family val="2"/>
      </rPr>
      <t xml:space="preserve"> </t>
    </r>
  </si>
  <si>
    <r>
      <t>Transit and Ground Passenger Transportation</t>
    </r>
    <r>
      <rPr>
        <b/>
        <vertAlign val="superscript"/>
        <sz val="12"/>
        <color indexed="8"/>
        <rFont val="Arial"/>
        <family val="2"/>
      </rPr>
      <t>T</t>
    </r>
    <r>
      <rPr>
        <b/>
        <sz val="12"/>
        <color indexed="8"/>
        <rFont val="Arial"/>
        <family val="2"/>
      </rPr>
      <t xml:space="preserve"> </t>
    </r>
  </si>
  <si>
    <r>
      <t>Urban Transit Systems</t>
    </r>
    <r>
      <rPr>
        <b/>
        <vertAlign val="superscript"/>
        <sz val="10"/>
        <color indexed="8"/>
        <rFont val="Arial"/>
        <family val="2"/>
      </rPr>
      <t>T</t>
    </r>
    <r>
      <rPr>
        <b/>
        <sz val="10"/>
        <color indexed="8"/>
        <rFont val="Arial"/>
        <family val="2"/>
      </rPr>
      <t xml:space="preserve"> </t>
    </r>
  </si>
  <si>
    <r>
      <t>Interurban and Rural Bus Transportation</t>
    </r>
    <r>
      <rPr>
        <b/>
        <vertAlign val="superscript"/>
        <sz val="10"/>
        <color indexed="8"/>
        <rFont val="Arial"/>
        <family val="2"/>
      </rPr>
      <t>T</t>
    </r>
    <r>
      <rPr>
        <b/>
        <sz val="10"/>
        <color indexed="8"/>
        <rFont val="Arial"/>
        <family val="2"/>
      </rPr>
      <t xml:space="preserve"> </t>
    </r>
  </si>
  <si>
    <r>
      <t>Taxi and Limousine Service</t>
    </r>
    <r>
      <rPr>
        <b/>
        <vertAlign val="superscript"/>
        <sz val="10"/>
        <color indexed="8"/>
        <rFont val="Arial"/>
        <family val="2"/>
      </rPr>
      <t>T</t>
    </r>
    <r>
      <rPr>
        <b/>
        <sz val="10"/>
        <color indexed="8"/>
        <rFont val="Arial"/>
        <family val="2"/>
      </rPr>
      <t xml:space="preserve"> </t>
    </r>
  </si>
  <si>
    <r>
      <t>School and Employee Bus Transportation</t>
    </r>
    <r>
      <rPr>
        <b/>
        <vertAlign val="superscript"/>
        <sz val="10"/>
        <color indexed="8"/>
        <rFont val="Arial"/>
        <family val="2"/>
      </rPr>
      <t>T</t>
    </r>
    <r>
      <rPr>
        <b/>
        <sz val="10"/>
        <color indexed="8"/>
        <rFont val="Arial"/>
        <family val="2"/>
      </rPr>
      <t xml:space="preserve"> </t>
    </r>
  </si>
  <si>
    <r>
      <t>School and Employee Bus Transportation</t>
    </r>
    <r>
      <rPr>
        <vertAlign val="superscript"/>
        <sz val="10"/>
        <color indexed="8"/>
        <rFont val="Arial"/>
        <family val="2"/>
      </rPr>
      <t>T</t>
    </r>
    <r>
      <rPr>
        <sz val="10"/>
        <color theme="1"/>
        <rFont val="Arial"/>
        <family val="2"/>
      </rPr>
      <t xml:space="preserve"> </t>
    </r>
  </si>
  <si>
    <r>
      <t>Charter Bus Industry</t>
    </r>
    <r>
      <rPr>
        <b/>
        <vertAlign val="superscript"/>
        <sz val="10"/>
        <color indexed="8"/>
        <rFont val="Arial"/>
        <family val="2"/>
      </rPr>
      <t>T</t>
    </r>
    <r>
      <rPr>
        <b/>
        <sz val="10"/>
        <color indexed="8"/>
        <rFont val="Arial"/>
        <family val="2"/>
      </rPr>
      <t xml:space="preserve"> </t>
    </r>
  </si>
  <si>
    <r>
      <t>Other Transit and Ground Passenger Transportation</t>
    </r>
    <r>
      <rPr>
        <b/>
        <vertAlign val="superscript"/>
        <sz val="10"/>
        <color indexed="8"/>
        <rFont val="Arial"/>
        <family val="2"/>
      </rPr>
      <t>T</t>
    </r>
    <r>
      <rPr>
        <b/>
        <sz val="10"/>
        <color indexed="8"/>
        <rFont val="Arial"/>
        <family val="2"/>
      </rPr>
      <t xml:space="preserve"> </t>
    </r>
  </si>
  <si>
    <r>
      <t>Pipeline Transportation</t>
    </r>
    <r>
      <rPr>
        <b/>
        <vertAlign val="superscript"/>
        <sz val="12"/>
        <color indexed="8"/>
        <rFont val="Arial"/>
        <family val="2"/>
      </rPr>
      <t>T</t>
    </r>
    <r>
      <rPr>
        <b/>
        <sz val="12"/>
        <color indexed="8"/>
        <rFont val="Arial"/>
        <family val="2"/>
      </rPr>
      <t xml:space="preserve"> </t>
    </r>
  </si>
  <si>
    <r>
      <t>Pipeline Transportation of Crude Oil</t>
    </r>
    <r>
      <rPr>
        <b/>
        <vertAlign val="superscript"/>
        <sz val="10"/>
        <color indexed="8"/>
        <rFont val="Arial"/>
        <family val="2"/>
      </rPr>
      <t>T</t>
    </r>
    <r>
      <rPr>
        <b/>
        <sz val="10"/>
        <color indexed="8"/>
        <rFont val="Arial"/>
        <family val="2"/>
      </rPr>
      <t xml:space="preserve"> </t>
    </r>
  </si>
  <si>
    <r>
      <t>Pipeline Transportation of Natural Gas</t>
    </r>
    <r>
      <rPr>
        <b/>
        <vertAlign val="superscript"/>
        <sz val="10"/>
        <color indexed="8"/>
        <rFont val="Arial"/>
        <family val="2"/>
      </rPr>
      <t>T</t>
    </r>
    <r>
      <rPr>
        <b/>
        <sz val="10"/>
        <color indexed="8"/>
        <rFont val="Arial"/>
        <family val="2"/>
      </rPr>
      <t xml:space="preserve"> </t>
    </r>
  </si>
  <si>
    <r>
      <t>Other Pipeline Transportation</t>
    </r>
    <r>
      <rPr>
        <b/>
        <vertAlign val="superscript"/>
        <sz val="10"/>
        <color indexed="8"/>
        <rFont val="Arial"/>
        <family val="2"/>
      </rPr>
      <t>T</t>
    </r>
    <r>
      <rPr>
        <b/>
        <sz val="10"/>
        <color indexed="8"/>
        <rFont val="Arial"/>
        <family val="2"/>
      </rPr>
      <t xml:space="preserve"> </t>
    </r>
  </si>
  <si>
    <r>
      <t>Scenic and Sightseeing Transportation</t>
    </r>
    <r>
      <rPr>
        <b/>
        <vertAlign val="superscript"/>
        <sz val="12"/>
        <color indexed="8"/>
        <rFont val="Arial"/>
        <family val="2"/>
      </rPr>
      <t>T</t>
    </r>
    <r>
      <rPr>
        <b/>
        <sz val="12"/>
        <color indexed="8"/>
        <rFont val="Arial"/>
        <family val="2"/>
      </rPr>
      <t xml:space="preserve"> </t>
    </r>
  </si>
  <si>
    <r>
      <t>Scenic and Sightseeing Transportation, Land</t>
    </r>
    <r>
      <rPr>
        <b/>
        <vertAlign val="superscript"/>
        <sz val="10"/>
        <color indexed="8"/>
        <rFont val="Arial"/>
        <family val="2"/>
      </rPr>
      <t>T</t>
    </r>
    <r>
      <rPr>
        <b/>
        <sz val="10"/>
        <color indexed="8"/>
        <rFont val="Arial"/>
        <family val="2"/>
      </rPr>
      <t xml:space="preserve"> </t>
    </r>
  </si>
  <si>
    <r>
      <t>Scenic and Sightseeing Transportation, Water</t>
    </r>
    <r>
      <rPr>
        <b/>
        <vertAlign val="superscript"/>
        <sz val="10"/>
        <color indexed="8"/>
        <rFont val="Arial"/>
        <family val="2"/>
      </rPr>
      <t>T</t>
    </r>
    <r>
      <rPr>
        <b/>
        <sz val="10"/>
        <color indexed="8"/>
        <rFont val="Arial"/>
        <family val="2"/>
      </rPr>
      <t xml:space="preserve"> </t>
    </r>
  </si>
  <si>
    <r>
      <t>Scenic and Sightseeing Transportation, Other</t>
    </r>
    <r>
      <rPr>
        <b/>
        <vertAlign val="superscript"/>
        <sz val="10"/>
        <color indexed="8"/>
        <rFont val="Arial"/>
        <family val="2"/>
      </rPr>
      <t>T</t>
    </r>
    <r>
      <rPr>
        <b/>
        <sz val="10"/>
        <color indexed="8"/>
        <rFont val="Arial"/>
        <family val="2"/>
      </rPr>
      <t xml:space="preserve"> </t>
    </r>
  </si>
  <si>
    <r>
      <t>Support Activities for Transportation</t>
    </r>
    <r>
      <rPr>
        <b/>
        <vertAlign val="superscript"/>
        <sz val="12"/>
        <color indexed="8"/>
        <rFont val="Arial"/>
        <family val="2"/>
      </rPr>
      <t>T</t>
    </r>
    <r>
      <rPr>
        <b/>
        <sz val="12"/>
        <color indexed="8"/>
        <rFont val="Arial"/>
        <family val="2"/>
      </rPr>
      <t xml:space="preserve"> </t>
    </r>
  </si>
  <si>
    <r>
      <t>Support Activities for Air Transportation</t>
    </r>
    <r>
      <rPr>
        <b/>
        <vertAlign val="superscript"/>
        <sz val="10"/>
        <color indexed="8"/>
        <rFont val="Arial"/>
        <family val="2"/>
      </rPr>
      <t>T</t>
    </r>
    <r>
      <rPr>
        <b/>
        <sz val="10"/>
        <color indexed="8"/>
        <rFont val="Arial"/>
        <family val="2"/>
      </rPr>
      <t xml:space="preserve"> </t>
    </r>
  </si>
  <si>
    <r>
      <t>Support Activities for Rail Transportation</t>
    </r>
    <r>
      <rPr>
        <b/>
        <vertAlign val="superscript"/>
        <sz val="10"/>
        <color indexed="8"/>
        <rFont val="Arial"/>
        <family val="2"/>
      </rPr>
      <t>T</t>
    </r>
    <r>
      <rPr>
        <b/>
        <sz val="10"/>
        <color indexed="8"/>
        <rFont val="Arial"/>
        <family val="2"/>
      </rPr>
      <t xml:space="preserve"> </t>
    </r>
  </si>
  <si>
    <r>
      <t>Support Activities for Water Transportation</t>
    </r>
    <r>
      <rPr>
        <b/>
        <vertAlign val="superscript"/>
        <sz val="10"/>
        <color indexed="8"/>
        <rFont val="Arial"/>
        <family val="2"/>
      </rPr>
      <t>T</t>
    </r>
    <r>
      <rPr>
        <b/>
        <sz val="10"/>
        <color indexed="8"/>
        <rFont val="Arial"/>
        <family val="2"/>
      </rPr>
      <t xml:space="preserve"> </t>
    </r>
  </si>
  <si>
    <r>
      <t>Support Activities for Road Transportation</t>
    </r>
    <r>
      <rPr>
        <b/>
        <vertAlign val="superscript"/>
        <sz val="10"/>
        <color indexed="8"/>
        <rFont val="Arial"/>
        <family val="2"/>
      </rPr>
      <t>T</t>
    </r>
    <r>
      <rPr>
        <b/>
        <sz val="10"/>
        <color indexed="8"/>
        <rFont val="Arial"/>
        <family val="2"/>
      </rPr>
      <t xml:space="preserve"> </t>
    </r>
  </si>
  <si>
    <r>
      <t>Freight Transportation Arrangement</t>
    </r>
    <r>
      <rPr>
        <b/>
        <vertAlign val="superscript"/>
        <sz val="10"/>
        <color indexed="8"/>
        <rFont val="Arial"/>
        <family val="2"/>
      </rPr>
      <t>T</t>
    </r>
    <r>
      <rPr>
        <b/>
        <sz val="10"/>
        <color indexed="8"/>
        <rFont val="Arial"/>
        <family val="2"/>
      </rPr>
      <t xml:space="preserve"> </t>
    </r>
  </si>
  <si>
    <r>
      <t>Other Support Activities for Transportation</t>
    </r>
    <r>
      <rPr>
        <b/>
        <vertAlign val="superscript"/>
        <sz val="10"/>
        <color indexed="8"/>
        <rFont val="Arial"/>
        <family val="2"/>
      </rPr>
      <t>T</t>
    </r>
    <r>
      <rPr>
        <b/>
        <sz val="10"/>
        <color indexed="8"/>
        <rFont val="Arial"/>
        <family val="2"/>
      </rPr>
      <t xml:space="preserve"> </t>
    </r>
  </si>
  <si>
    <r>
      <t>Postal Service</t>
    </r>
    <r>
      <rPr>
        <b/>
        <vertAlign val="superscript"/>
        <sz val="12"/>
        <color indexed="8"/>
        <rFont val="Arial"/>
        <family val="2"/>
      </rPr>
      <t>T</t>
    </r>
    <r>
      <rPr>
        <b/>
        <sz val="12"/>
        <color indexed="8"/>
        <rFont val="Arial"/>
        <family val="2"/>
      </rPr>
      <t xml:space="preserve"> </t>
    </r>
  </si>
  <si>
    <r>
      <t>Postal Service</t>
    </r>
    <r>
      <rPr>
        <b/>
        <vertAlign val="superscript"/>
        <sz val="10"/>
        <color indexed="8"/>
        <rFont val="Arial"/>
        <family val="2"/>
      </rPr>
      <t>T</t>
    </r>
    <r>
      <rPr>
        <b/>
        <sz val="10"/>
        <color indexed="8"/>
        <rFont val="Arial"/>
        <family val="2"/>
      </rPr>
      <t xml:space="preserve"> </t>
    </r>
  </si>
  <si>
    <r>
      <t>Couriers and Messengers</t>
    </r>
    <r>
      <rPr>
        <b/>
        <vertAlign val="superscript"/>
        <sz val="12"/>
        <color indexed="8"/>
        <rFont val="Arial"/>
        <family val="2"/>
      </rPr>
      <t>T</t>
    </r>
    <r>
      <rPr>
        <b/>
        <sz val="12"/>
        <color indexed="8"/>
        <rFont val="Arial"/>
        <family val="2"/>
      </rPr>
      <t xml:space="preserve"> </t>
    </r>
  </si>
  <si>
    <r>
      <t>Couriers and Express Delivery Services</t>
    </r>
    <r>
      <rPr>
        <b/>
        <vertAlign val="superscript"/>
        <sz val="10"/>
        <color indexed="8"/>
        <rFont val="Arial"/>
        <family val="2"/>
      </rPr>
      <t>T</t>
    </r>
    <r>
      <rPr>
        <b/>
        <sz val="10"/>
        <color indexed="8"/>
        <rFont val="Arial"/>
        <family val="2"/>
      </rPr>
      <t xml:space="preserve"> </t>
    </r>
  </si>
  <si>
    <r>
      <t>Local Messengers and Local Delivery</t>
    </r>
    <r>
      <rPr>
        <b/>
        <vertAlign val="superscript"/>
        <sz val="10"/>
        <color indexed="8"/>
        <rFont val="Arial"/>
        <family val="2"/>
      </rPr>
      <t>T</t>
    </r>
    <r>
      <rPr>
        <b/>
        <sz val="10"/>
        <color indexed="8"/>
        <rFont val="Arial"/>
        <family val="2"/>
      </rPr>
      <t xml:space="preserve"> </t>
    </r>
  </si>
  <si>
    <r>
      <t>Warehousing and Storage</t>
    </r>
    <r>
      <rPr>
        <b/>
        <vertAlign val="superscript"/>
        <sz val="12"/>
        <color indexed="8"/>
        <rFont val="Arial"/>
        <family val="2"/>
      </rPr>
      <t>T</t>
    </r>
    <r>
      <rPr>
        <b/>
        <sz val="12"/>
        <color indexed="8"/>
        <rFont val="Arial"/>
        <family val="2"/>
      </rPr>
      <t xml:space="preserve"> </t>
    </r>
  </si>
  <si>
    <r>
      <t>Warehousing and Storage</t>
    </r>
    <r>
      <rPr>
        <b/>
        <vertAlign val="superscript"/>
        <sz val="10"/>
        <color indexed="8"/>
        <rFont val="Arial"/>
        <family val="2"/>
      </rPr>
      <t>T</t>
    </r>
    <r>
      <rPr>
        <b/>
        <sz val="10"/>
        <color indexed="8"/>
        <rFont val="Arial"/>
        <family val="2"/>
      </rPr>
      <t xml:space="preserve"> </t>
    </r>
  </si>
  <si>
    <r>
      <t>Information</t>
    </r>
    <r>
      <rPr>
        <b/>
        <vertAlign val="superscript"/>
        <sz val="14"/>
        <color indexed="8"/>
        <rFont val="Arial"/>
        <family val="2"/>
      </rPr>
      <t>T</t>
    </r>
  </si>
  <si>
    <r>
      <t>Publishing Industries (except Internet)</t>
    </r>
    <r>
      <rPr>
        <b/>
        <vertAlign val="superscript"/>
        <sz val="12"/>
        <color indexed="8"/>
        <rFont val="Arial"/>
        <family val="2"/>
      </rPr>
      <t>T</t>
    </r>
    <r>
      <rPr>
        <b/>
        <sz val="12"/>
        <color indexed="8"/>
        <rFont val="Arial"/>
        <family val="2"/>
      </rPr>
      <t xml:space="preserve"> </t>
    </r>
  </si>
  <si>
    <r>
      <t>Newspaper, Periodical, Book, and Directory Publishers</t>
    </r>
    <r>
      <rPr>
        <b/>
        <vertAlign val="superscript"/>
        <sz val="10"/>
        <color indexed="8"/>
        <rFont val="Arial"/>
        <family val="2"/>
      </rPr>
      <t>T</t>
    </r>
    <r>
      <rPr>
        <b/>
        <sz val="10"/>
        <color indexed="8"/>
        <rFont val="Arial"/>
        <family val="2"/>
      </rPr>
      <t xml:space="preserve"> </t>
    </r>
  </si>
  <si>
    <r>
      <t>Motion Picture and Sound Recording Industries</t>
    </r>
    <r>
      <rPr>
        <b/>
        <vertAlign val="superscript"/>
        <sz val="12"/>
        <color indexed="8"/>
        <rFont val="Arial"/>
        <family val="2"/>
      </rPr>
      <t>T</t>
    </r>
    <r>
      <rPr>
        <b/>
        <sz val="12"/>
        <color indexed="8"/>
        <rFont val="Arial"/>
        <family val="2"/>
      </rPr>
      <t xml:space="preserve"> </t>
    </r>
  </si>
  <si>
    <r>
      <t>Motion Picture and Video Industries</t>
    </r>
    <r>
      <rPr>
        <b/>
        <vertAlign val="superscript"/>
        <sz val="10"/>
        <color indexed="8"/>
        <rFont val="Arial"/>
        <family val="2"/>
      </rPr>
      <t>T</t>
    </r>
    <r>
      <rPr>
        <b/>
        <sz val="10"/>
        <color indexed="8"/>
        <rFont val="Arial"/>
        <family val="2"/>
      </rPr>
      <t xml:space="preserve"> </t>
    </r>
  </si>
  <si>
    <r>
      <t>Sound Recording Industries</t>
    </r>
    <r>
      <rPr>
        <b/>
        <vertAlign val="superscript"/>
        <sz val="10"/>
        <color indexed="8"/>
        <rFont val="Arial"/>
        <family val="2"/>
      </rPr>
      <t>T</t>
    </r>
    <r>
      <rPr>
        <b/>
        <sz val="10"/>
        <color indexed="8"/>
        <rFont val="Arial"/>
        <family val="2"/>
      </rPr>
      <t xml:space="preserve"> </t>
    </r>
  </si>
  <si>
    <r>
      <t>Broadcasting (except Internet)</t>
    </r>
    <r>
      <rPr>
        <b/>
        <vertAlign val="superscript"/>
        <sz val="12"/>
        <color indexed="8"/>
        <rFont val="Arial"/>
        <family val="2"/>
      </rPr>
      <t>T</t>
    </r>
    <r>
      <rPr>
        <b/>
        <sz val="12"/>
        <color indexed="8"/>
        <rFont val="Arial"/>
        <family val="2"/>
      </rPr>
      <t xml:space="preserve"> </t>
    </r>
  </si>
  <si>
    <r>
      <t>Radio and Television Broadcasting</t>
    </r>
    <r>
      <rPr>
        <b/>
        <vertAlign val="superscript"/>
        <sz val="10"/>
        <color indexed="8"/>
        <rFont val="Arial"/>
        <family val="2"/>
      </rPr>
      <t>T</t>
    </r>
    <r>
      <rPr>
        <b/>
        <sz val="10"/>
        <color indexed="8"/>
        <rFont val="Arial"/>
        <family val="2"/>
      </rPr>
      <t xml:space="preserve"> </t>
    </r>
  </si>
  <si>
    <r>
      <t>Cable and Other Subscription Programming</t>
    </r>
    <r>
      <rPr>
        <b/>
        <vertAlign val="superscript"/>
        <sz val="10"/>
        <color indexed="8"/>
        <rFont val="Arial"/>
        <family val="2"/>
      </rPr>
      <t>T</t>
    </r>
    <r>
      <rPr>
        <b/>
        <sz val="10"/>
        <color indexed="8"/>
        <rFont val="Arial"/>
        <family val="2"/>
      </rPr>
      <t xml:space="preserve"> </t>
    </r>
  </si>
  <si>
    <r>
      <t>Telecommunications</t>
    </r>
    <r>
      <rPr>
        <b/>
        <vertAlign val="superscript"/>
        <sz val="12"/>
        <color indexed="8"/>
        <rFont val="Arial"/>
        <family val="2"/>
      </rPr>
      <t>T</t>
    </r>
    <r>
      <rPr>
        <b/>
        <sz val="12"/>
        <color indexed="8"/>
        <rFont val="Arial"/>
        <family val="2"/>
      </rPr>
      <t xml:space="preserve"> </t>
    </r>
  </si>
  <si>
    <r>
      <t>Wired Telecommunications Carriers</t>
    </r>
    <r>
      <rPr>
        <b/>
        <vertAlign val="superscript"/>
        <sz val="10"/>
        <color indexed="8"/>
        <rFont val="Arial"/>
        <family val="2"/>
      </rPr>
      <t>T</t>
    </r>
    <r>
      <rPr>
        <b/>
        <sz val="10"/>
        <color indexed="8"/>
        <rFont val="Arial"/>
        <family val="2"/>
      </rPr>
      <t xml:space="preserve"> </t>
    </r>
  </si>
  <si>
    <r>
      <t>Wireless Telecommunications Carriers (except Satellite)</t>
    </r>
    <r>
      <rPr>
        <b/>
        <vertAlign val="superscript"/>
        <sz val="10"/>
        <color indexed="8"/>
        <rFont val="Arial"/>
        <family val="2"/>
      </rPr>
      <t>T</t>
    </r>
    <r>
      <rPr>
        <b/>
        <sz val="10"/>
        <color indexed="8"/>
        <rFont val="Arial"/>
        <family val="2"/>
      </rPr>
      <t xml:space="preserve"> </t>
    </r>
  </si>
  <si>
    <r>
      <t>Satellite Telecommunications</t>
    </r>
    <r>
      <rPr>
        <b/>
        <vertAlign val="superscript"/>
        <sz val="10"/>
        <color indexed="8"/>
        <rFont val="Arial"/>
        <family val="2"/>
      </rPr>
      <t>T</t>
    </r>
    <r>
      <rPr>
        <b/>
        <sz val="10"/>
        <color indexed="8"/>
        <rFont val="Arial"/>
        <family val="2"/>
      </rPr>
      <t xml:space="preserve"> </t>
    </r>
  </si>
  <si>
    <r>
      <t>Other Telecommunications</t>
    </r>
    <r>
      <rPr>
        <b/>
        <vertAlign val="superscript"/>
        <sz val="10"/>
        <color indexed="8"/>
        <rFont val="Arial"/>
        <family val="2"/>
      </rPr>
      <t>T</t>
    </r>
    <r>
      <rPr>
        <b/>
        <sz val="10"/>
        <color indexed="8"/>
        <rFont val="Arial"/>
        <family val="2"/>
      </rPr>
      <t xml:space="preserve"> </t>
    </r>
  </si>
  <si>
    <r>
      <t>Data Processing, Hosting, and Related Services</t>
    </r>
    <r>
      <rPr>
        <b/>
        <vertAlign val="superscript"/>
        <sz val="12"/>
        <color indexed="8"/>
        <rFont val="Arial"/>
        <family val="2"/>
      </rPr>
      <t>T</t>
    </r>
    <r>
      <rPr>
        <b/>
        <sz val="12"/>
        <color indexed="8"/>
        <rFont val="Arial"/>
        <family val="2"/>
      </rPr>
      <t xml:space="preserve"> </t>
    </r>
  </si>
  <si>
    <r>
      <t>Data Processing, Hosting, and Related Services</t>
    </r>
    <r>
      <rPr>
        <b/>
        <vertAlign val="superscript"/>
        <sz val="10"/>
        <color indexed="8"/>
        <rFont val="Arial"/>
        <family val="2"/>
      </rPr>
      <t>T</t>
    </r>
    <r>
      <rPr>
        <b/>
        <sz val="10"/>
        <color indexed="8"/>
        <rFont val="Arial"/>
        <family val="2"/>
      </rPr>
      <t xml:space="preserve"> </t>
    </r>
  </si>
  <si>
    <r>
      <t>Other Information Services</t>
    </r>
    <r>
      <rPr>
        <b/>
        <vertAlign val="superscript"/>
        <sz val="12"/>
        <color indexed="8"/>
        <rFont val="Arial"/>
        <family val="2"/>
      </rPr>
      <t>T</t>
    </r>
    <r>
      <rPr>
        <b/>
        <sz val="12"/>
        <color indexed="8"/>
        <rFont val="Arial"/>
        <family val="2"/>
      </rPr>
      <t xml:space="preserve"> </t>
    </r>
  </si>
  <si>
    <r>
      <t>Other Information Services</t>
    </r>
    <r>
      <rPr>
        <b/>
        <vertAlign val="superscript"/>
        <sz val="10"/>
        <color indexed="8"/>
        <rFont val="Arial"/>
        <family val="2"/>
      </rPr>
      <t>T</t>
    </r>
    <r>
      <rPr>
        <b/>
        <sz val="10"/>
        <color indexed="8"/>
        <rFont val="Arial"/>
        <family val="2"/>
      </rPr>
      <t xml:space="preserve"> </t>
    </r>
  </si>
  <si>
    <r>
      <t>Finance and Insurance</t>
    </r>
    <r>
      <rPr>
        <b/>
        <vertAlign val="superscript"/>
        <sz val="14"/>
        <color indexed="8"/>
        <rFont val="Arial"/>
        <family val="2"/>
      </rPr>
      <t>T</t>
    </r>
  </si>
  <si>
    <r>
      <t>Monetary Authorities-Central Bank</t>
    </r>
    <r>
      <rPr>
        <b/>
        <vertAlign val="superscript"/>
        <sz val="12"/>
        <color indexed="8"/>
        <rFont val="Arial"/>
        <family val="2"/>
      </rPr>
      <t>T</t>
    </r>
    <r>
      <rPr>
        <b/>
        <sz val="12"/>
        <color indexed="8"/>
        <rFont val="Arial"/>
        <family val="2"/>
      </rPr>
      <t xml:space="preserve"> </t>
    </r>
  </si>
  <si>
    <r>
      <t>Securities, Commodity Contracts, and Other Financial Investments and Related Activities</t>
    </r>
    <r>
      <rPr>
        <b/>
        <vertAlign val="superscript"/>
        <sz val="12"/>
        <color indexed="8"/>
        <rFont val="Arial"/>
        <family val="2"/>
      </rPr>
      <t>T</t>
    </r>
    <r>
      <rPr>
        <b/>
        <sz val="12"/>
        <color indexed="8"/>
        <rFont val="Arial"/>
        <family val="2"/>
      </rPr>
      <t xml:space="preserve"> </t>
    </r>
  </si>
  <si>
    <r>
      <t>Securities and Commodity Exchanges</t>
    </r>
    <r>
      <rPr>
        <b/>
        <vertAlign val="superscript"/>
        <sz val="10"/>
        <color indexed="8"/>
        <rFont val="Arial"/>
        <family val="2"/>
      </rPr>
      <t>T</t>
    </r>
    <r>
      <rPr>
        <b/>
        <sz val="10"/>
        <color indexed="8"/>
        <rFont val="Arial"/>
        <family val="2"/>
      </rPr>
      <t xml:space="preserve"> </t>
    </r>
  </si>
  <si>
    <r>
      <t>Insurance Carriers and Related Activities</t>
    </r>
    <r>
      <rPr>
        <b/>
        <vertAlign val="superscript"/>
        <sz val="12"/>
        <color indexed="8"/>
        <rFont val="Arial"/>
        <family val="2"/>
      </rPr>
      <t>T</t>
    </r>
    <r>
      <rPr>
        <b/>
        <sz val="12"/>
        <color indexed="8"/>
        <rFont val="Arial"/>
        <family val="2"/>
      </rPr>
      <t xml:space="preserve"> </t>
    </r>
  </si>
  <si>
    <r>
      <t>Real Estate and Rental and Leasing</t>
    </r>
    <r>
      <rPr>
        <b/>
        <vertAlign val="superscript"/>
        <sz val="14"/>
        <color indexed="8"/>
        <rFont val="Arial"/>
        <family val="2"/>
      </rPr>
      <t>T</t>
    </r>
  </si>
  <si>
    <r>
      <t>Real Estate</t>
    </r>
    <r>
      <rPr>
        <b/>
        <vertAlign val="superscript"/>
        <sz val="12"/>
        <color indexed="8"/>
        <rFont val="Arial"/>
        <family val="2"/>
      </rPr>
      <t>T</t>
    </r>
    <r>
      <rPr>
        <b/>
        <sz val="12"/>
        <color indexed="8"/>
        <rFont val="Arial"/>
        <family val="2"/>
      </rPr>
      <t xml:space="preserve"> </t>
    </r>
  </si>
  <si>
    <r>
      <t>Offices of Real Estate Agents and Brokers</t>
    </r>
    <r>
      <rPr>
        <b/>
        <vertAlign val="superscript"/>
        <sz val="10"/>
        <color indexed="8"/>
        <rFont val="Arial"/>
        <family val="2"/>
      </rPr>
      <t>T</t>
    </r>
    <r>
      <rPr>
        <b/>
        <sz val="10"/>
        <color indexed="8"/>
        <rFont val="Arial"/>
        <family val="2"/>
      </rPr>
      <t xml:space="preserve"> </t>
    </r>
  </si>
  <si>
    <r>
      <t>Rental and Leasing Services</t>
    </r>
    <r>
      <rPr>
        <b/>
        <vertAlign val="superscript"/>
        <sz val="12"/>
        <color indexed="8"/>
        <rFont val="Arial"/>
        <family val="2"/>
      </rPr>
      <t>T</t>
    </r>
    <r>
      <rPr>
        <b/>
        <sz val="12"/>
        <color indexed="8"/>
        <rFont val="Arial"/>
        <family val="2"/>
      </rPr>
      <t xml:space="preserve"> </t>
    </r>
  </si>
  <si>
    <r>
      <t>Automotive Equipment Rental and Leasing</t>
    </r>
    <r>
      <rPr>
        <b/>
        <vertAlign val="superscript"/>
        <sz val="10"/>
        <color indexed="8"/>
        <rFont val="Arial"/>
        <family val="2"/>
      </rPr>
      <t>T</t>
    </r>
    <r>
      <rPr>
        <b/>
        <sz val="10"/>
        <color indexed="8"/>
        <rFont val="Arial"/>
        <family val="2"/>
      </rPr>
      <t xml:space="preserve"> </t>
    </r>
  </si>
  <si>
    <r>
      <t>Consumer Goods Rental</t>
    </r>
    <r>
      <rPr>
        <b/>
        <vertAlign val="superscript"/>
        <sz val="10"/>
        <color indexed="8"/>
        <rFont val="Arial"/>
        <family val="2"/>
      </rPr>
      <t>T</t>
    </r>
    <r>
      <rPr>
        <b/>
        <sz val="10"/>
        <color indexed="8"/>
        <rFont val="Arial"/>
        <family val="2"/>
      </rPr>
      <t xml:space="preserve"> </t>
    </r>
  </si>
  <si>
    <r>
      <t>General Rental Centers</t>
    </r>
    <r>
      <rPr>
        <b/>
        <vertAlign val="superscript"/>
        <sz val="10"/>
        <color indexed="8"/>
        <rFont val="Arial"/>
        <family val="2"/>
      </rPr>
      <t>T</t>
    </r>
    <r>
      <rPr>
        <b/>
        <sz val="10"/>
        <color indexed="8"/>
        <rFont val="Arial"/>
        <family val="2"/>
      </rPr>
      <t xml:space="preserve"> </t>
    </r>
  </si>
  <si>
    <r>
      <t>Commercial and Industrial Machinery and Equipment Rental and Leasing</t>
    </r>
    <r>
      <rPr>
        <b/>
        <vertAlign val="superscript"/>
        <sz val="10"/>
        <color indexed="8"/>
        <rFont val="Arial"/>
        <family val="2"/>
      </rPr>
      <t>T</t>
    </r>
    <r>
      <rPr>
        <b/>
        <sz val="10"/>
        <color indexed="8"/>
        <rFont val="Arial"/>
        <family val="2"/>
      </rPr>
      <t xml:space="preserve"> </t>
    </r>
  </si>
  <si>
    <r>
      <t>Lessors of Nonfinancial Intangible Assets (except Copyrighted Works)</t>
    </r>
    <r>
      <rPr>
        <b/>
        <vertAlign val="superscript"/>
        <sz val="12"/>
        <color indexed="8"/>
        <rFont val="Arial"/>
        <family val="2"/>
      </rPr>
      <t>T</t>
    </r>
    <r>
      <rPr>
        <b/>
        <sz val="12"/>
        <color indexed="8"/>
        <rFont val="Arial"/>
        <family val="2"/>
      </rPr>
      <t xml:space="preserve"> </t>
    </r>
  </si>
  <si>
    <r>
      <t>Professional, Scientific, and Technical Services</t>
    </r>
    <r>
      <rPr>
        <b/>
        <vertAlign val="superscript"/>
        <sz val="14"/>
        <color indexed="8"/>
        <rFont val="Arial"/>
        <family val="2"/>
      </rPr>
      <t>T</t>
    </r>
  </si>
  <si>
    <r>
      <t>Professional, Scientific, and Technical Services</t>
    </r>
    <r>
      <rPr>
        <b/>
        <vertAlign val="superscript"/>
        <sz val="12"/>
        <color indexed="8"/>
        <rFont val="Arial"/>
        <family val="2"/>
      </rPr>
      <t>T</t>
    </r>
    <r>
      <rPr>
        <b/>
        <sz val="12"/>
        <color indexed="8"/>
        <rFont val="Arial"/>
        <family val="2"/>
      </rPr>
      <t xml:space="preserve"> </t>
    </r>
  </si>
  <si>
    <r>
      <t>Legal Services</t>
    </r>
    <r>
      <rPr>
        <b/>
        <vertAlign val="superscript"/>
        <sz val="10"/>
        <color indexed="8"/>
        <rFont val="Arial"/>
        <family val="2"/>
      </rPr>
      <t>T</t>
    </r>
  </si>
  <si>
    <r>
      <t>Accounting, Tax Preparation, Bookkeeping, and Payroll Services</t>
    </r>
    <r>
      <rPr>
        <b/>
        <vertAlign val="superscript"/>
        <sz val="10"/>
        <color indexed="8"/>
        <rFont val="Arial"/>
        <family val="2"/>
      </rPr>
      <t>T</t>
    </r>
    <r>
      <rPr>
        <b/>
        <sz val="10"/>
        <color indexed="8"/>
        <rFont val="Arial"/>
        <family val="2"/>
      </rPr>
      <t xml:space="preserve"> </t>
    </r>
  </si>
  <si>
    <r>
      <t>Architectural, Engineering, and Related Services</t>
    </r>
    <r>
      <rPr>
        <b/>
        <vertAlign val="superscript"/>
        <sz val="10"/>
        <color indexed="8"/>
        <rFont val="Arial"/>
        <family val="2"/>
      </rPr>
      <t>T</t>
    </r>
    <r>
      <rPr>
        <b/>
        <sz val="10"/>
        <color indexed="8"/>
        <rFont val="Arial"/>
        <family val="2"/>
      </rPr>
      <t xml:space="preserve"> </t>
    </r>
  </si>
  <si>
    <r>
      <t>Specialized Design Services</t>
    </r>
    <r>
      <rPr>
        <b/>
        <vertAlign val="superscript"/>
        <sz val="10"/>
        <color indexed="8"/>
        <rFont val="Arial"/>
        <family val="2"/>
      </rPr>
      <t>T</t>
    </r>
    <r>
      <rPr>
        <b/>
        <sz val="10"/>
        <color indexed="8"/>
        <rFont val="Arial"/>
        <family val="2"/>
      </rPr>
      <t xml:space="preserve"> </t>
    </r>
  </si>
  <si>
    <r>
      <t>Computer Systems Design and Related Services</t>
    </r>
    <r>
      <rPr>
        <b/>
        <vertAlign val="superscript"/>
        <sz val="10"/>
        <color indexed="8"/>
        <rFont val="Arial"/>
        <family val="2"/>
      </rPr>
      <t>T</t>
    </r>
    <r>
      <rPr>
        <b/>
        <sz val="10"/>
        <color indexed="8"/>
        <rFont val="Arial"/>
        <family val="2"/>
      </rPr>
      <t xml:space="preserve"> </t>
    </r>
  </si>
  <si>
    <r>
      <t>Management, Scientific, and Technical Consulting Services</t>
    </r>
    <r>
      <rPr>
        <b/>
        <vertAlign val="superscript"/>
        <sz val="10"/>
        <color indexed="8"/>
        <rFont val="Arial"/>
        <family val="2"/>
      </rPr>
      <t>T</t>
    </r>
    <r>
      <rPr>
        <b/>
        <sz val="10"/>
        <color indexed="8"/>
        <rFont val="Arial"/>
        <family val="2"/>
      </rPr>
      <t xml:space="preserve"> </t>
    </r>
  </si>
  <si>
    <r>
      <t>Scientific Research and Development Services</t>
    </r>
    <r>
      <rPr>
        <b/>
        <vertAlign val="superscript"/>
        <sz val="10"/>
        <color indexed="8"/>
        <rFont val="Arial"/>
        <family val="2"/>
      </rPr>
      <t>T</t>
    </r>
    <r>
      <rPr>
        <b/>
        <sz val="10"/>
        <color indexed="8"/>
        <rFont val="Arial"/>
        <family val="2"/>
      </rPr>
      <t xml:space="preserve"> </t>
    </r>
  </si>
  <si>
    <r>
      <t>Advertising, Public Relations, and Related Services</t>
    </r>
    <r>
      <rPr>
        <b/>
        <vertAlign val="superscript"/>
        <sz val="10"/>
        <color indexed="8"/>
        <rFont val="Arial"/>
        <family val="2"/>
      </rPr>
      <t>T</t>
    </r>
    <r>
      <rPr>
        <b/>
        <sz val="10"/>
        <color indexed="8"/>
        <rFont val="Arial"/>
        <family val="2"/>
      </rPr>
      <t xml:space="preserve"> </t>
    </r>
  </si>
  <si>
    <r>
      <t>Other Professional, Scientific, and Technical Services</t>
    </r>
    <r>
      <rPr>
        <b/>
        <vertAlign val="superscript"/>
        <sz val="10"/>
        <color indexed="8"/>
        <rFont val="Arial"/>
        <family val="2"/>
      </rPr>
      <t>T</t>
    </r>
    <r>
      <rPr>
        <b/>
        <sz val="10"/>
        <color indexed="8"/>
        <rFont val="Arial"/>
        <family val="2"/>
      </rPr>
      <t xml:space="preserve"> </t>
    </r>
  </si>
  <si>
    <r>
      <t>Management of Companies and Enterprises</t>
    </r>
    <r>
      <rPr>
        <b/>
        <vertAlign val="superscript"/>
        <sz val="14"/>
        <color indexed="8"/>
        <rFont val="Arial"/>
        <family val="2"/>
      </rPr>
      <t>T</t>
    </r>
    <r>
      <rPr>
        <b/>
        <sz val="14"/>
        <color indexed="8"/>
        <rFont val="Arial"/>
        <family val="2"/>
      </rPr>
      <t xml:space="preserve"> </t>
    </r>
  </si>
  <si>
    <r>
      <t>Management of Companies and Enterprises</t>
    </r>
    <r>
      <rPr>
        <b/>
        <vertAlign val="superscript"/>
        <sz val="12"/>
        <color indexed="8"/>
        <rFont val="Arial"/>
        <family val="2"/>
      </rPr>
      <t>T</t>
    </r>
    <r>
      <rPr>
        <b/>
        <sz val="12"/>
        <color indexed="8"/>
        <rFont val="Arial"/>
        <family val="2"/>
      </rPr>
      <t xml:space="preserve"> </t>
    </r>
  </si>
  <si>
    <r>
      <t>Administrative and Support and Waste Management and Remediation Services</t>
    </r>
    <r>
      <rPr>
        <b/>
        <vertAlign val="superscript"/>
        <sz val="14"/>
        <color indexed="8"/>
        <rFont val="Arial"/>
        <family val="2"/>
      </rPr>
      <t>T</t>
    </r>
  </si>
  <si>
    <r>
      <t>Administrative and Support Services</t>
    </r>
    <r>
      <rPr>
        <b/>
        <vertAlign val="superscript"/>
        <sz val="12"/>
        <color indexed="8"/>
        <rFont val="Arial"/>
        <family val="2"/>
      </rPr>
      <t>T</t>
    </r>
    <r>
      <rPr>
        <b/>
        <sz val="12"/>
        <color indexed="8"/>
        <rFont val="Arial"/>
        <family val="2"/>
      </rPr>
      <t xml:space="preserve"> </t>
    </r>
  </si>
  <si>
    <r>
      <t>Office Administrative Services</t>
    </r>
    <r>
      <rPr>
        <b/>
        <vertAlign val="superscript"/>
        <sz val="10"/>
        <color indexed="8"/>
        <rFont val="Arial"/>
        <family val="2"/>
      </rPr>
      <t>T</t>
    </r>
    <r>
      <rPr>
        <b/>
        <sz val="10"/>
        <color indexed="8"/>
        <rFont val="Arial"/>
        <family val="2"/>
      </rPr>
      <t xml:space="preserve"> </t>
    </r>
  </si>
  <si>
    <r>
      <t>Facilities Support Services</t>
    </r>
    <r>
      <rPr>
        <b/>
        <vertAlign val="superscript"/>
        <sz val="10"/>
        <color indexed="8"/>
        <rFont val="Arial"/>
        <family val="2"/>
      </rPr>
      <t>T</t>
    </r>
    <r>
      <rPr>
        <b/>
        <sz val="10"/>
        <color indexed="8"/>
        <rFont val="Arial"/>
        <family val="2"/>
      </rPr>
      <t xml:space="preserve"> </t>
    </r>
  </si>
  <si>
    <r>
      <t>Employment Services</t>
    </r>
    <r>
      <rPr>
        <b/>
        <vertAlign val="superscript"/>
        <sz val="10"/>
        <color indexed="8"/>
        <rFont val="Arial"/>
        <family val="2"/>
      </rPr>
      <t>T</t>
    </r>
    <r>
      <rPr>
        <b/>
        <sz val="10"/>
        <color indexed="8"/>
        <rFont val="Arial"/>
        <family val="2"/>
      </rPr>
      <t xml:space="preserve"> </t>
    </r>
  </si>
  <si>
    <r>
      <t>Business Support Services</t>
    </r>
    <r>
      <rPr>
        <b/>
        <vertAlign val="superscript"/>
        <sz val="10"/>
        <color indexed="8"/>
        <rFont val="Arial"/>
        <family val="2"/>
      </rPr>
      <t>T</t>
    </r>
    <r>
      <rPr>
        <b/>
        <sz val="10"/>
        <color indexed="8"/>
        <rFont val="Arial"/>
        <family val="2"/>
      </rPr>
      <t xml:space="preserve"> </t>
    </r>
  </si>
  <si>
    <r>
      <t>Telephone Answering Services</t>
    </r>
    <r>
      <rPr>
        <sz val="10"/>
        <color theme="1"/>
        <rFont val="Arial"/>
        <family val="2"/>
      </rPr>
      <t xml:space="preserve"> </t>
    </r>
  </si>
  <si>
    <r>
      <t>Travel Arrangement and Reservation Services</t>
    </r>
    <r>
      <rPr>
        <b/>
        <vertAlign val="superscript"/>
        <sz val="10"/>
        <color indexed="8"/>
        <rFont val="Arial"/>
        <family val="2"/>
      </rPr>
      <t>T</t>
    </r>
    <r>
      <rPr>
        <b/>
        <sz val="10"/>
        <color indexed="8"/>
        <rFont val="Arial"/>
        <family val="2"/>
      </rPr>
      <t xml:space="preserve"> </t>
    </r>
  </si>
  <si>
    <r>
      <t>Investigation and Security Services</t>
    </r>
    <r>
      <rPr>
        <b/>
        <vertAlign val="superscript"/>
        <sz val="10"/>
        <color indexed="8"/>
        <rFont val="Arial"/>
        <family val="2"/>
      </rPr>
      <t>T</t>
    </r>
    <r>
      <rPr>
        <b/>
        <sz val="10"/>
        <color indexed="8"/>
        <rFont val="Arial"/>
        <family val="2"/>
      </rPr>
      <t xml:space="preserve"> </t>
    </r>
  </si>
  <si>
    <r>
      <t>Services to Buildings and Dwellings</t>
    </r>
    <r>
      <rPr>
        <b/>
        <vertAlign val="superscript"/>
        <sz val="10"/>
        <color indexed="8"/>
        <rFont val="Arial"/>
        <family val="2"/>
      </rPr>
      <t>T</t>
    </r>
    <r>
      <rPr>
        <b/>
        <sz val="10"/>
        <color indexed="8"/>
        <rFont val="Arial"/>
        <family val="2"/>
      </rPr>
      <t xml:space="preserve"> </t>
    </r>
  </si>
  <si>
    <r>
      <t>Other Support Services</t>
    </r>
    <r>
      <rPr>
        <b/>
        <vertAlign val="superscript"/>
        <sz val="10"/>
        <color indexed="8"/>
        <rFont val="Arial"/>
        <family val="2"/>
      </rPr>
      <t>T</t>
    </r>
    <r>
      <rPr>
        <b/>
        <sz val="10"/>
        <color indexed="8"/>
        <rFont val="Arial"/>
        <family val="2"/>
      </rPr>
      <t xml:space="preserve"> </t>
    </r>
  </si>
  <si>
    <r>
      <t>Educational Services</t>
    </r>
    <r>
      <rPr>
        <b/>
        <vertAlign val="superscript"/>
        <sz val="14"/>
        <color indexed="8"/>
        <rFont val="Arial"/>
        <family val="2"/>
      </rPr>
      <t>T</t>
    </r>
  </si>
  <si>
    <r>
      <t>Junior Colleges</t>
    </r>
    <r>
      <rPr>
        <b/>
        <vertAlign val="superscript"/>
        <sz val="10"/>
        <color indexed="8"/>
        <rFont val="Arial"/>
        <family val="2"/>
      </rPr>
      <t>T</t>
    </r>
    <r>
      <rPr>
        <b/>
        <sz val="10"/>
        <color indexed="8"/>
        <rFont val="Arial"/>
        <family val="2"/>
      </rPr>
      <t xml:space="preserve"> </t>
    </r>
  </si>
  <si>
    <r>
      <t>Colleges, Universities, and Professional Schools</t>
    </r>
    <r>
      <rPr>
        <b/>
        <vertAlign val="superscript"/>
        <sz val="10"/>
        <color indexed="8"/>
        <rFont val="Arial"/>
        <family val="2"/>
      </rPr>
      <t>T</t>
    </r>
    <r>
      <rPr>
        <b/>
        <sz val="10"/>
        <color indexed="8"/>
        <rFont val="Arial"/>
        <family val="2"/>
      </rPr>
      <t xml:space="preserve"> </t>
    </r>
  </si>
  <si>
    <r>
      <t>Business Schools and Computer and Management Training</t>
    </r>
    <r>
      <rPr>
        <b/>
        <vertAlign val="superscript"/>
        <sz val="10"/>
        <color indexed="8"/>
        <rFont val="Arial"/>
        <family val="2"/>
      </rPr>
      <t>T</t>
    </r>
    <r>
      <rPr>
        <b/>
        <sz val="10"/>
        <color indexed="8"/>
        <rFont val="Arial"/>
        <family val="2"/>
      </rPr>
      <t xml:space="preserve"> </t>
    </r>
  </si>
  <si>
    <r>
      <t>Technical and Trade Schools</t>
    </r>
    <r>
      <rPr>
        <b/>
        <vertAlign val="superscript"/>
        <sz val="10"/>
        <color indexed="8"/>
        <rFont val="Arial"/>
        <family val="2"/>
      </rPr>
      <t>T</t>
    </r>
    <r>
      <rPr>
        <b/>
        <sz val="10"/>
        <color indexed="8"/>
        <rFont val="Arial"/>
        <family val="2"/>
      </rPr>
      <t xml:space="preserve"> </t>
    </r>
  </si>
  <si>
    <r>
      <t>Other Schools and Instruction</t>
    </r>
    <r>
      <rPr>
        <b/>
        <vertAlign val="superscript"/>
        <sz val="10"/>
        <color indexed="8"/>
        <rFont val="Arial"/>
        <family val="2"/>
      </rPr>
      <t>T</t>
    </r>
    <r>
      <rPr>
        <b/>
        <sz val="10"/>
        <color indexed="8"/>
        <rFont val="Arial"/>
        <family val="2"/>
      </rPr>
      <t xml:space="preserve"> </t>
    </r>
  </si>
  <si>
    <r>
      <t>Educational Support Services</t>
    </r>
    <r>
      <rPr>
        <b/>
        <vertAlign val="superscript"/>
        <sz val="10"/>
        <color indexed="8"/>
        <rFont val="Arial"/>
        <family val="2"/>
      </rPr>
      <t>T</t>
    </r>
    <r>
      <rPr>
        <b/>
        <sz val="10"/>
        <color indexed="8"/>
        <rFont val="Arial"/>
        <family val="2"/>
      </rPr>
      <t xml:space="preserve"> </t>
    </r>
  </si>
  <si>
    <r>
      <t>Health Care and Social Assistance</t>
    </r>
    <r>
      <rPr>
        <b/>
        <vertAlign val="superscript"/>
        <sz val="14"/>
        <color indexed="8"/>
        <rFont val="Arial"/>
        <family val="2"/>
      </rPr>
      <t>T</t>
    </r>
  </si>
  <si>
    <r>
      <t>Ambulatory Health Care Services</t>
    </r>
    <r>
      <rPr>
        <b/>
        <vertAlign val="superscript"/>
        <sz val="12"/>
        <color indexed="8"/>
        <rFont val="Arial"/>
        <family val="2"/>
      </rPr>
      <t>T</t>
    </r>
    <r>
      <rPr>
        <b/>
        <sz val="12"/>
        <color indexed="8"/>
        <rFont val="Arial"/>
        <family val="2"/>
      </rPr>
      <t xml:space="preserve"> </t>
    </r>
  </si>
  <si>
    <r>
      <t>Offices of Physicians</t>
    </r>
    <r>
      <rPr>
        <b/>
        <vertAlign val="superscript"/>
        <sz val="10"/>
        <color indexed="8"/>
        <rFont val="Arial"/>
        <family val="2"/>
      </rPr>
      <t>T</t>
    </r>
    <r>
      <rPr>
        <b/>
        <sz val="10"/>
        <color indexed="8"/>
        <rFont val="Arial"/>
        <family val="2"/>
      </rPr>
      <t xml:space="preserve"> </t>
    </r>
  </si>
  <si>
    <r>
      <t>Offices of Dentists</t>
    </r>
    <r>
      <rPr>
        <b/>
        <vertAlign val="superscript"/>
        <sz val="10"/>
        <color indexed="8"/>
        <rFont val="Arial"/>
        <family val="2"/>
      </rPr>
      <t>T</t>
    </r>
    <r>
      <rPr>
        <b/>
        <sz val="10"/>
        <color indexed="8"/>
        <rFont val="Arial"/>
        <family val="2"/>
      </rPr>
      <t xml:space="preserve"> </t>
    </r>
  </si>
  <si>
    <r>
      <t>Offices of Other Health Practitioners</t>
    </r>
    <r>
      <rPr>
        <b/>
        <vertAlign val="superscript"/>
        <sz val="10"/>
        <color indexed="8"/>
        <rFont val="Arial"/>
        <family val="2"/>
      </rPr>
      <t>T</t>
    </r>
    <r>
      <rPr>
        <b/>
        <sz val="10"/>
        <color indexed="8"/>
        <rFont val="Arial"/>
        <family val="2"/>
      </rPr>
      <t xml:space="preserve"> </t>
    </r>
  </si>
  <si>
    <r>
      <t>Outpatient Care Centers</t>
    </r>
    <r>
      <rPr>
        <b/>
        <vertAlign val="superscript"/>
        <sz val="10"/>
        <color indexed="8"/>
        <rFont val="Arial"/>
        <family val="2"/>
      </rPr>
      <t>T</t>
    </r>
    <r>
      <rPr>
        <b/>
        <sz val="10"/>
        <color indexed="8"/>
        <rFont val="Arial"/>
        <family val="2"/>
      </rPr>
      <t xml:space="preserve"> </t>
    </r>
  </si>
  <si>
    <r>
      <t>Medical and Diagnostic Laboratories</t>
    </r>
    <r>
      <rPr>
        <b/>
        <vertAlign val="superscript"/>
        <sz val="10"/>
        <color indexed="8"/>
        <rFont val="Arial"/>
        <family val="2"/>
      </rPr>
      <t>T</t>
    </r>
    <r>
      <rPr>
        <b/>
        <sz val="10"/>
        <color indexed="8"/>
        <rFont val="Arial"/>
        <family val="2"/>
      </rPr>
      <t xml:space="preserve"> </t>
    </r>
  </si>
  <si>
    <r>
      <t>Home Health Care Services</t>
    </r>
    <r>
      <rPr>
        <b/>
        <vertAlign val="superscript"/>
        <sz val="10"/>
        <color indexed="8"/>
        <rFont val="Arial"/>
        <family val="2"/>
      </rPr>
      <t>T</t>
    </r>
    <r>
      <rPr>
        <b/>
        <sz val="10"/>
        <color indexed="8"/>
        <rFont val="Arial"/>
        <family val="2"/>
      </rPr>
      <t xml:space="preserve"> </t>
    </r>
  </si>
  <si>
    <r>
      <t>Other Ambulatory Health Care Services</t>
    </r>
    <r>
      <rPr>
        <b/>
        <vertAlign val="superscript"/>
        <sz val="10"/>
        <color indexed="8"/>
        <rFont val="Arial"/>
        <family val="2"/>
      </rPr>
      <t>T</t>
    </r>
    <r>
      <rPr>
        <b/>
        <sz val="10"/>
        <color indexed="8"/>
        <rFont val="Arial"/>
        <family val="2"/>
      </rPr>
      <t xml:space="preserve"> </t>
    </r>
  </si>
  <si>
    <r>
      <t>Hospitals</t>
    </r>
    <r>
      <rPr>
        <b/>
        <vertAlign val="superscript"/>
        <sz val="12"/>
        <color indexed="8"/>
        <rFont val="Arial"/>
        <family val="2"/>
      </rPr>
      <t>T</t>
    </r>
    <r>
      <rPr>
        <b/>
        <sz val="12"/>
        <color indexed="8"/>
        <rFont val="Arial"/>
        <family val="2"/>
      </rPr>
      <t xml:space="preserve"> </t>
    </r>
  </si>
  <si>
    <r>
      <t>General Medical and Surgical Hospitals</t>
    </r>
    <r>
      <rPr>
        <b/>
        <vertAlign val="superscript"/>
        <sz val="10"/>
        <color indexed="8"/>
        <rFont val="Arial"/>
        <family val="2"/>
      </rPr>
      <t>T</t>
    </r>
    <r>
      <rPr>
        <b/>
        <sz val="10"/>
        <color indexed="8"/>
        <rFont val="Arial"/>
        <family val="2"/>
      </rPr>
      <t xml:space="preserve"> </t>
    </r>
  </si>
  <si>
    <r>
      <t>Psychiatric and Substance Abuse Hospitals</t>
    </r>
    <r>
      <rPr>
        <b/>
        <vertAlign val="superscript"/>
        <sz val="10"/>
        <color indexed="8"/>
        <rFont val="Arial"/>
        <family val="2"/>
      </rPr>
      <t>T</t>
    </r>
    <r>
      <rPr>
        <b/>
        <sz val="10"/>
        <color indexed="8"/>
        <rFont val="Arial"/>
        <family val="2"/>
      </rPr>
      <t xml:space="preserve"> </t>
    </r>
  </si>
  <si>
    <r>
      <t>Specialty (except Psychiatric and Substance Abuse) Hospitals</t>
    </r>
    <r>
      <rPr>
        <b/>
        <vertAlign val="superscript"/>
        <sz val="10"/>
        <color indexed="8"/>
        <rFont val="Arial"/>
        <family val="2"/>
      </rPr>
      <t>T</t>
    </r>
    <r>
      <rPr>
        <b/>
        <sz val="10"/>
        <color indexed="8"/>
        <rFont val="Arial"/>
        <family val="2"/>
      </rPr>
      <t xml:space="preserve"> </t>
    </r>
  </si>
  <si>
    <r>
      <t>Nursing and Residential Care Facilities</t>
    </r>
    <r>
      <rPr>
        <b/>
        <vertAlign val="superscript"/>
        <sz val="12"/>
        <color indexed="8"/>
        <rFont val="Arial"/>
        <family val="2"/>
      </rPr>
      <t>T</t>
    </r>
    <r>
      <rPr>
        <b/>
        <sz val="12"/>
        <color indexed="8"/>
        <rFont val="Arial"/>
        <family val="2"/>
      </rPr>
      <t xml:space="preserve"> </t>
    </r>
  </si>
  <si>
    <r>
      <t>Residential Intellectual and Developmental Disability, Mental Health, and Substance Abuse Facilities</t>
    </r>
    <r>
      <rPr>
        <b/>
        <vertAlign val="superscript"/>
        <sz val="10"/>
        <color indexed="8"/>
        <rFont val="Arial"/>
        <family val="2"/>
      </rPr>
      <t>T</t>
    </r>
  </si>
  <si>
    <r>
      <t>Continuing Care Retirement Communities and Assisted Living Facilities for the Elderly</t>
    </r>
    <r>
      <rPr>
        <b/>
        <vertAlign val="superscript"/>
        <sz val="10"/>
        <color indexed="8"/>
        <rFont val="Arial"/>
        <family val="2"/>
      </rPr>
      <t>T</t>
    </r>
    <r>
      <rPr>
        <b/>
        <sz val="10"/>
        <color indexed="8"/>
        <rFont val="Arial"/>
        <family val="2"/>
      </rPr>
      <t xml:space="preserve"> </t>
    </r>
  </si>
  <si>
    <r>
      <t>Other Residential Care Facilities</t>
    </r>
    <r>
      <rPr>
        <b/>
        <vertAlign val="superscript"/>
        <sz val="10"/>
        <color indexed="8"/>
        <rFont val="Arial"/>
        <family val="2"/>
      </rPr>
      <t>T</t>
    </r>
    <r>
      <rPr>
        <b/>
        <sz val="10"/>
        <color indexed="8"/>
        <rFont val="Arial"/>
        <family val="2"/>
      </rPr>
      <t xml:space="preserve"> </t>
    </r>
  </si>
  <si>
    <r>
      <t>Social Assistance</t>
    </r>
    <r>
      <rPr>
        <b/>
        <vertAlign val="superscript"/>
        <sz val="12"/>
        <color indexed="8"/>
        <rFont val="Arial"/>
        <family val="2"/>
      </rPr>
      <t>T</t>
    </r>
    <r>
      <rPr>
        <b/>
        <sz val="12"/>
        <color indexed="8"/>
        <rFont val="Arial"/>
        <family val="2"/>
      </rPr>
      <t xml:space="preserve"> </t>
    </r>
  </si>
  <si>
    <r>
      <t>Individual and Family Services</t>
    </r>
    <r>
      <rPr>
        <b/>
        <vertAlign val="superscript"/>
        <sz val="10"/>
        <color indexed="8"/>
        <rFont val="Arial"/>
        <family val="2"/>
      </rPr>
      <t>T</t>
    </r>
    <r>
      <rPr>
        <b/>
        <sz val="10"/>
        <color indexed="8"/>
        <rFont val="Arial"/>
        <family val="2"/>
      </rPr>
      <t xml:space="preserve"> </t>
    </r>
  </si>
  <si>
    <r>
      <t>Community Food and Housing, and Emergency and Other Relief Services</t>
    </r>
    <r>
      <rPr>
        <b/>
        <vertAlign val="superscript"/>
        <sz val="10"/>
        <color indexed="8"/>
        <rFont val="Arial"/>
        <family val="2"/>
      </rPr>
      <t>T</t>
    </r>
    <r>
      <rPr>
        <b/>
        <sz val="10"/>
        <color indexed="8"/>
        <rFont val="Arial"/>
        <family val="2"/>
      </rPr>
      <t xml:space="preserve"> </t>
    </r>
  </si>
  <si>
    <r>
      <t>Vocational Rehabilitation Services</t>
    </r>
    <r>
      <rPr>
        <b/>
        <vertAlign val="superscript"/>
        <sz val="10"/>
        <color indexed="8"/>
        <rFont val="Arial"/>
        <family val="2"/>
      </rPr>
      <t>T</t>
    </r>
    <r>
      <rPr>
        <b/>
        <sz val="10"/>
        <color indexed="8"/>
        <rFont val="Arial"/>
        <family val="2"/>
      </rPr>
      <t xml:space="preserve"> </t>
    </r>
  </si>
  <si>
    <r>
      <t>Child Day Care Services</t>
    </r>
    <r>
      <rPr>
        <b/>
        <vertAlign val="superscript"/>
        <sz val="10"/>
        <color indexed="8"/>
        <rFont val="Arial"/>
        <family val="2"/>
      </rPr>
      <t>T</t>
    </r>
    <r>
      <rPr>
        <b/>
        <sz val="10"/>
        <color indexed="8"/>
        <rFont val="Arial"/>
        <family val="2"/>
      </rPr>
      <t xml:space="preserve"> </t>
    </r>
  </si>
  <si>
    <r>
      <t>Arts, Entertainment, and Recreation</t>
    </r>
    <r>
      <rPr>
        <b/>
        <vertAlign val="superscript"/>
        <sz val="14"/>
        <color indexed="8"/>
        <rFont val="Arial"/>
        <family val="2"/>
      </rPr>
      <t>T</t>
    </r>
  </si>
  <si>
    <r>
      <t>Performing Arts, Spectator Sports, and Related Industries</t>
    </r>
    <r>
      <rPr>
        <b/>
        <vertAlign val="superscript"/>
        <sz val="12"/>
        <color indexed="8"/>
        <rFont val="Arial"/>
        <family val="2"/>
      </rPr>
      <t>T</t>
    </r>
    <r>
      <rPr>
        <b/>
        <sz val="12"/>
        <color indexed="8"/>
        <rFont val="Arial"/>
        <family val="2"/>
      </rPr>
      <t xml:space="preserve"> </t>
    </r>
  </si>
  <si>
    <r>
      <t>Performing Arts Companies</t>
    </r>
    <r>
      <rPr>
        <b/>
        <vertAlign val="superscript"/>
        <sz val="10"/>
        <color indexed="8"/>
        <rFont val="Arial"/>
        <family val="2"/>
      </rPr>
      <t>T</t>
    </r>
    <r>
      <rPr>
        <b/>
        <sz val="10"/>
        <color indexed="8"/>
        <rFont val="Arial"/>
        <family val="2"/>
      </rPr>
      <t xml:space="preserve"> </t>
    </r>
  </si>
  <si>
    <r>
      <t>Spectator Sports</t>
    </r>
    <r>
      <rPr>
        <b/>
        <vertAlign val="superscript"/>
        <sz val="10"/>
        <color indexed="8"/>
        <rFont val="Arial"/>
        <family val="2"/>
      </rPr>
      <t>T</t>
    </r>
    <r>
      <rPr>
        <b/>
        <sz val="10"/>
        <color indexed="8"/>
        <rFont val="Arial"/>
        <family val="2"/>
      </rPr>
      <t xml:space="preserve"> </t>
    </r>
  </si>
  <si>
    <r>
      <t>Promoters of Performing Arts, Sports, and Similar Events</t>
    </r>
    <r>
      <rPr>
        <b/>
        <vertAlign val="superscript"/>
        <sz val="10"/>
        <color indexed="8"/>
        <rFont val="Arial"/>
        <family val="2"/>
      </rPr>
      <t>T</t>
    </r>
    <r>
      <rPr>
        <b/>
        <sz val="10"/>
        <color indexed="8"/>
        <rFont val="Arial"/>
        <family val="2"/>
      </rPr>
      <t xml:space="preserve"> </t>
    </r>
  </si>
  <si>
    <r>
      <t>Agents and Managers for Artists, Athletes, Entertainers, and Other Public Figures</t>
    </r>
    <r>
      <rPr>
        <b/>
        <vertAlign val="superscript"/>
        <sz val="10"/>
        <color indexed="8"/>
        <rFont val="Arial"/>
        <family val="2"/>
      </rPr>
      <t>T</t>
    </r>
    <r>
      <rPr>
        <b/>
        <sz val="10"/>
        <color indexed="8"/>
        <rFont val="Arial"/>
        <family val="2"/>
      </rPr>
      <t xml:space="preserve"> </t>
    </r>
  </si>
  <si>
    <r>
      <t>Independent Artists, Writers, and Performers</t>
    </r>
    <r>
      <rPr>
        <b/>
        <vertAlign val="superscript"/>
        <sz val="10"/>
        <color indexed="8"/>
        <rFont val="Arial"/>
        <family val="2"/>
      </rPr>
      <t>T</t>
    </r>
    <r>
      <rPr>
        <b/>
        <sz val="10"/>
        <color indexed="8"/>
        <rFont val="Arial"/>
        <family val="2"/>
      </rPr>
      <t xml:space="preserve"> </t>
    </r>
  </si>
  <si>
    <r>
      <t>Museums, Historical Sites, and Similar Institutions</t>
    </r>
    <r>
      <rPr>
        <b/>
        <vertAlign val="superscript"/>
        <sz val="12"/>
        <color indexed="8"/>
        <rFont val="Arial"/>
        <family val="2"/>
      </rPr>
      <t>T</t>
    </r>
    <r>
      <rPr>
        <b/>
        <sz val="12"/>
        <color indexed="8"/>
        <rFont val="Arial"/>
        <family val="2"/>
      </rPr>
      <t xml:space="preserve"> </t>
    </r>
  </si>
  <si>
    <r>
      <t>Museums, Historical Sites, and Similar Institutions</t>
    </r>
    <r>
      <rPr>
        <b/>
        <vertAlign val="superscript"/>
        <sz val="10"/>
        <color indexed="8"/>
        <rFont val="Arial"/>
        <family val="2"/>
      </rPr>
      <t>T</t>
    </r>
    <r>
      <rPr>
        <b/>
        <sz val="10"/>
        <color indexed="8"/>
        <rFont val="Arial"/>
        <family val="2"/>
      </rPr>
      <t xml:space="preserve"> </t>
    </r>
  </si>
  <si>
    <r>
      <t>Amusement, Gambling, and Recreation Industries</t>
    </r>
    <r>
      <rPr>
        <b/>
        <vertAlign val="superscript"/>
        <sz val="12"/>
        <color indexed="8"/>
        <rFont val="Arial"/>
        <family val="2"/>
      </rPr>
      <t>T</t>
    </r>
    <r>
      <rPr>
        <b/>
        <sz val="12"/>
        <color indexed="8"/>
        <rFont val="Arial"/>
        <family val="2"/>
      </rPr>
      <t xml:space="preserve"> </t>
    </r>
  </si>
  <si>
    <r>
      <t>Amusement Parks and Arcades</t>
    </r>
    <r>
      <rPr>
        <b/>
        <vertAlign val="superscript"/>
        <sz val="10"/>
        <color indexed="8"/>
        <rFont val="Arial"/>
        <family val="2"/>
      </rPr>
      <t>T</t>
    </r>
    <r>
      <rPr>
        <b/>
        <sz val="10"/>
        <color indexed="8"/>
        <rFont val="Arial"/>
        <family val="2"/>
      </rPr>
      <t xml:space="preserve"> </t>
    </r>
  </si>
  <si>
    <r>
      <t>Gambling Industries</t>
    </r>
    <r>
      <rPr>
        <b/>
        <vertAlign val="superscript"/>
        <sz val="10"/>
        <color indexed="8"/>
        <rFont val="Arial"/>
        <family val="2"/>
      </rPr>
      <t>T</t>
    </r>
    <r>
      <rPr>
        <b/>
        <sz val="10"/>
        <color indexed="8"/>
        <rFont val="Arial"/>
        <family val="2"/>
      </rPr>
      <t xml:space="preserve"> </t>
    </r>
  </si>
  <si>
    <r>
      <t>Other Amusement and Recreation Industries</t>
    </r>
    <r>
      <rPr>
        <b/>
        <vertAlign val="superscript"/>
        <sz val="10"/>
        <color indexed="8"/>
        <rFont val="Arial"/>
        <family val="2"/>
      </rPr>
      <t>T</t>
    </r>
    <r>
      <rPr>
        <b/>
        <sz val="10"/>
        <color indexed="8"/>
        <rFont val="Arial"/>
        <family val="2"/>
      </rPr>
      <t xml:space="preserve"> </t>
    </r>
  </si>
  <si>
    <r>
      <t>Accommodation and Food Services</t>
    </r>
    <r>
      <rPr>
        <b/>
        <vertAlign val="superscript"/>
        <sz val="14"/>
        <color indexed="8"/>
        <rFont val="Arial"/>
        <family val="2"/>
      </rPr>
      <t>T</t>
    </r>
  </si>
  <si>
    <r>
      <t>Accommodation</t>
    </r>
    <r>
      <rPr>
        <b/>
        <vertAlign val="superscript"/>
        <sz val="12"/>
        <color indexed="8"/>
        <rFont val="Arial"/>
        <family val="2"/>
      </rPr>
      <t>T</t>
    </r>
    <r>
      <rPr>
        <b/>
        <sz val="12"/>
        <color indexed="8"/>
        <rFont val="Arial"/>
        <family val="2"/>
      </rPr>
      <t xml:space="preserve"> </t>
    </r>
  </si>
  <si>
    <r>
      <t>Traveler Accommodation</t>
    </r>
    <r>
      <rPr>
        <b/>
        <vertAlign val="superscript"/>
        <sz val="10"/>
        <color indexed="8"/>
        <rFont val="Arial"/>
        <family val="2"/>
      </rPr>
      <t>T</t>
    </r>
    <r>
      <rPr>
        <b/>
        <sz val="10"/>
        <color indexed="8"/>
        <rFont val="Arial"/>
        <family val="2"/>
      </rPr>
      <t xml:space="preserve"> </t>
    </r>
  </si>
  <si>
    <r>
      <t>RV (Recreational Vehicle) Parks and Recreational Camps</t>
    </r>
    <r>
      <rPr>
        <b/>
        <vertAlign val="superscript"/>
        <sz val="10"/>
        <color indexed="8"/>
        <rFont val="Arial"/>
        <family val="2"/>
      </rPr>
      <t>T</t>
    </r>
    <r>
      <rPr>
        <b/>
        <sz val="10"/>
        <color indexed="8"/>
        <rFont val="Arial"/>
        <family val="2"/>
      </rPr>
      <t xml:space="preserve"> </t>
    </r>
  </si>
  <si>
    <r>
      <t>Rooming and Boarding Houses</t>
    </r>
    <r>
      <rPr>
        <b/>
        <vertAlign val="superscript"/>
        <sz val="10"/>
        <color indexed="8"/>
        <rFont val="Arial"/>
        <family val="2"/>
      </rPr>
      <t>T</t>
    </r>
    <r>
      <rPr>
        <b/>
        <sz val="10"/>
        <color indexed="8"/>
        <rFont val="Arial"/>
        <family val="2"/>
      </rPr>
      <t xml:space="preserve"> </t>
    </r>
  </si>
  <si>
    <r>
      <t>Food Services and Drinking Places</t>
    </r>
    <r>
      <rPr>
        <b/>
        <vertAlign val="superscript"/>
        <sz val="12"/>
        <color indexed="8"/>
        <rFont val="Arial"/>
        <family val="2"/>
      </rPr>
      <t>T</t>
    </r>
    <r>
      <rPr>
        <b/>
        <sz val="12"/>
        <color indexed="8"/>
        <rFont val="Arial"/>
        <family val="2"/>
      </rPr>
      <t xml:space="preserve"> </t>
    </r>
  </si>
  <si>
    <r>
      <t>Special Food Services</t>
    </r>
    <r>
      <rPr>
        <b/>
        <vertAlign val="superscript"/>
        <sz val="10"/>
        <color indexed="8"/>
        <rFont val="Arial"/>
        <family val="2"/>
      </rPr>
      <t>T</t>
    </r>
    <r>
      <rPr>
        <b/>
        <sz val="10"/>
        <color indexed="8"/>
        <rFont val="Arial"/>
        <family val="2"/>
      </rPr>
      <t xml:space="preserve"> </t>
    </r>
  </si>
  <si>
    <r>
      <t>Drinking Places (Alcoholic Beverages)</t>
    </r>
    <r>
      <rPr>
        <b/>
        <vertAlign val="superscript"/>
        <sz val="10"/>
        <color indexed="8"/>
        <rFont val="Arial"/>
        <family val="2"/>
      </rPr>
      <t>T</t>
    </r>
    <r>
      <rPr>
        <b/>
        <sz val="10"/>
        <color indexed="8"/>
        <rFont val="Arial"/>
        <family val="2"/>
      </rPr>
      <t xml:space="preserve"> </t>
    </r>
  </si>
  <si>
    <r>
      <t>Other Services (except Public Administration)</t>
    </r>
    <r>
      <rPr>
        <b/>
        <vertAlign val="superscript"/>
        <sz val="14"/>
        <color indexed="8"/>
        <rFont val="Arial"/>
        <family val="2"/>
      </rPr>
      <t>T</t>
    </r>
  </si>
  <si>
    <r>
      <t>Repair and Maintenance</t>
    </r>
    <r>
      <rPr>
        <b/>
        <vertAlign val="superscript"/>
        <sz val="12"/>
        <color indexed="8"/>
        <rFont val="Arial"/>
        <family val="2"/>
      </rPr>
      <t>T</t>
    </r>
    <r>
      <rPr>
        <b/>
        <sz val="12"/>
        <color indexed="8"/>
        <rFont val="Arial"/>
        <family val="2"/>
      </rPr>
      <t xml:space="preserve"> </t>
    </r>
  </si>
  <si>
    <r>
      <t>Automotive Repair and Maintenance</t>
    </r>
    <r>
      <rPr>
        <b/>
        <vertAlign val="superscript"/>
        <sz val="10"/>
        <color indexed="8"/>
        <rFont val="Arial"/>
        <family val="2"/>
      </rPr>
      <t>T</t>
    </r>
    <r>
      <rPr>
        <b/>
        <sz val="10"/>
        <color indexed="8"/>
        <rFont val="Arial"/>
        <family val="2"/>
      </rPr>
      <t xml:space="preserve"> </t>
    </r>
  </si>
  <si>
    <r>
      <t>Electronic and Precision Equipment Repair and Maintenance</t>
    </r>
    <r>
      <rPr>
        <b/>
        <vertAlign val="superscript"/>
        <sz val="10"/>
        <color indexed="8"/>
        <rFont val="Arial"/>
        <family val="2"/>
      </rPr>
      <t>T</t>
    </r>
    <r>
      <rPr>
        <b/>
        <sz val="10"/>
        <color indexed="8"/>
        <rFont val="Arial"/>
        <family val="2"/>
      </rPr>
      <t xml:space="preserve"> </t>
    </r>
  </si>
  <si>
    <r>
      <t>Commercial and Industrial Machinery and Equipment (except Automotive and Electronic) Repair and Maintenance</t>
    </r>
    <r>
      <rPr>
        <b/>
        <vertAlign val="superscript"/>
        <sz val="10"/>
        <color indexed="8"/>
        <rFont val="Arial"/>
        <family val="2"/>
      </rPr>
      <t>T</t>
    </r>
    <r>
      <rPr>
        <b/>
        <sz val="10"/>
        <color indexed="8"/>
        <rFont val="Arial"/>
        <family val="2"/>
      </rPr>
      <t xml:space="preserve"> </t>
    </r>
  </si>
  <si>
    <r>
      <t>Personal and Household Goods Repair and Maintenance</t>
    </r>
    <r>
      <rPr>
        <b/>
        <vertAlign val="superscript"/>
        <sz val="10"/>
        <color indexed="8"/>
        <rFont val="Arial"/>
        <family val="2"/>
      </rPr>
      <t>T</t>
    </r>
    <r>
      <rPr>
        <b/>
        <sz val="10"/>
        <color indexed="8"/>
        <rFont val="Arial"/>
        <family val="2"/>
      </rPr>
      <t xml:space="preserve"> </t>
    </r>
  </si>
  <si>
    <r>
      <t>Private Households</t>
    </r>
    <r>
      <rPr>
        <b/>
        <vertAlign val="superscript"/>
        <sz val="12"/>
        <color indexed="8"/>
        <rFont val="Arial"/>
        <family val="2"/>
      </rPr>
      <t>T</t>
    </r>
    <r>
      <rPr>
        <b/>
        <sz val="12"/>
        <color indexed="8"/>
        <rFont val="Arial"/>
        <family val="2"/>
      </rPr>
      <t xml:space="preserve"> </t>
    </r>
  </si>
  <si>
    <r>
      <t>Private Households</t>
    </r>
    <r>
      <rPr>
        <b/>
        <vertAlign val="superscript"/>
        <sz val="10"/>
        <color indexed="8"/>
        <rFont val="Arial"/>
        <family val="2"/>
      </rPr>
      <t>T</t>
    </r>
    <r>
      <rPr>
        <b/>
        <sz val="10"/>
        <color indexed="8"/>
        <rFont val="Arial"/>
        <family val="2"/>
      </rPr>
      <t xml:space="preserve"> </t>
    </r>
  </si>
  <si>
    <r>
      <t>Textile and Fabric Finishing Mills</t>
    </r>
    <r>
      <rPr>
        <vertAlign val="superscript"/>
        <sz val="10"/>
        <color indexed="8"/>
        <rFont val="Arial"/>
        <family val="2"/>
      </rPr>
      <t>T</t>
    </r>
  </si>
  <si>
    <t>Tobacco Manufacturing</t>
  </si>
  <si>
    <r>
      <t>Textile and Fabric Finishing Mills</t>
    </r>
    <r>
      <rPr>
        <sz val="10"/>
        <color theme="1"/>
        <rFont val="Arial"/>
        <family val="2"/>
      </rPr>
      <t xml:space="preserve"> </t>
    </r>
  </si>
  <si>
    <r>
      <t>Cattle Ranching and Farming</t>
    </r>
    <r>
      <rPr>
        <b/>
        <vertAlign val="superscript"/>
        <sz val="10"/>
        <color indexed="8"/>
        <rFont val="Arial"/>
        <family val="2"/>
      </rPr>
      <t>T</t>
    </r>
    <r>
      <rPr>
        <b/>
        <sz val="10"/>
        <color indexed="8"/>
        <rFont val="Arial"/>
        <family val="2"/>
      </rPr>
      <t xml:space="preserve"> </t>
    </r>
  </si>
  <si>
    <r>
      <t>Timber Tract Operations</t>
    </r>
    <r>
      <rPr>
        <b/>
        <vertAlign val="superscript"/>
        <sz val="10"/>
        <color indexed="8"/>
        <rFont val="Arial"/>
        <family val="2"/>
      </rPr>
      <t>T</t>
    </r>
    <r>
      <rPr>
        <b/>
        <sz val="10"/>
        <color indexed="8"/>
        <rFont val="Arial"/>
        <family val="2"/>
      </rPr>
      <t xml:space="preserve"> </t>
    </r>
  </si>
  <si>
    <r>
      <t>Forest Nurseries and Gathering of Forest Products</t>
    </r>
    <r>
      <rPr>
        <vertAlign val="superscript"/>
        <sz val="10"/>
        <color indexed="8"/>
        <rFont val="Arial"/>
        <family val="2"/>
      </rPr>
      <t>T</t>
    </r>
    <r>
      <rPr>
        <sz val="10"/>
        <color theme="1"/>
        <rFont val="Arial"/>
        <family val="2"/>
      </rPr>
      <t xml:space="preserve"> </t>
    </r>
  </si>
  <si>
    <r>
      <t>Logging</t>
    </r>
    <r>
      <rPr>
        <vertAlign val="superscript"/>
        <sz val="10"/>
        <color indexed="8"/>
        <rFont val="Arial"/>
        <family val="2"/>
      </rPr>
      <t>T</t>
    </r>
    <r>
      <rPr>
        <sz val="10"/>
        <color theme="1"/>
        <rFont val="Arial"/>
        <family val="2"/>
      </rPr>
      <t xml:space="preserve"> </t>
    </r>
  </si>
  <si>
    <r>
      <t>Utility System Construction</t>
    </r>
    <r>
      <rPr>
        <b/>
        <vertAlign val="superscript"/>
        <sz val="10"/>
        <color indexed="8"/>
        <rFont val="Arial"/>
        <family val="2"/>
      </rPr>
      <t>T</t>
    </r>
  </si>
  <si>
    <r>
      <t>Apparel Accessories and Other Apparel Manufacturing</t>
    </r>
    <r>
      <rPr>
        <b/>
        <vertAlign val="superscript"/>
        <sz val="10"/>
        <color indexed="8"/>
        <rFont val="Arial"/>
        <family val="2"/>
      </rPr>
      <t>T</t>
    </r>
    <r>
      <rPr>
        <b/>
        <sz val="10"/>
        <color indexed="8"/>
        <rFont val="Arial"/>
        <family val="2"/>
      </rPr>
      <t xml:space="preserve"> </t>
    </r>
  </si>
  <si>
    <r>
      <t>Plastics Product Manufacturing</t>
    </r>
    <r>
      <rPr>
        <b/>
        <vertAlign val="superscript"/>
        <sz val="10"/>
        <color indexed="8"/>
        <rFont val="Arial"/>
        <family val="2"/>
      </rPr>
      <t>T</t>
    </r>
    <r>
      <rPr>
        <b/>
        <sz val="10"/>
        <color indexed="8"/>
        <rFont val="Arial"/>
        <family val="2"/>
      </rPr>
      <t xml:space="preserve"> </t>
    </r>
  </si>
  <si>
    <r>
      <t>Glass and Glass Product Manufacturing</t>
    </r>
    <r>
      <rPr>
        <vertAlign val="superscript"/>
        <sz val="10"/>
        <color indexed="8"/>
        <rFont val="Arial"/>
        <family val="2"/>
      </rPr>
      <t>T</t>
    </r>
    <r>
      <rPr>
        <sz val="10"/>
        <color theme="1"/>
        <rFont val="Arial"/>
        <family val="2"/>
      </rPr>
      <t xml:space="preserve"> </t>
    </r>
  </si>
  <si>
    <r>
      <t>Motor Vehicle Manufacturing</t>
    </r>
    <r>
      <rPr>
        <b/>
        <vertAlign val="superscript"/>
        <sz val="10"/>
        <color indexed="8"/>
        <rFont val="Arial"/>
        <family val="2"/>
      </rPr>
      <t>T</t>
    </r>
    <r>
      <rPr>
        <b/>
        <sz val="10"/>
        <color indexed="8"/>
        <rFont val="Arial"/>
        <family val="2"/>
      </rPr>
      <t xml:space="preserve"> </t>
    </r>
  </si>
  <si>
    <r>
      <t>Software Publishers</t>
    </r>
    <r>
      <rPr>
        <b/>
        <vertAlign val="superscript"/>
        <sz val="10"/>
        <color indexed="8"/>
        <rFont val="Arial"/>
        <family val="2"/>
      </rPr>
      <t>T</t>
    </r>
    <r>
      <rPr>
        <b/>
        <sz val="10"/>
        <color indexed="8"/>
        <rFont val="Arial"/>
        <family val="2"/>
      </rPr>
      <t xml:space="preserve"> </t>
    </r>
  </si>
  <si>
    <r>
      <t>Monetary Authorities-Central Bank</t>
    </r>
    <r>
      <rPr>
        <b/>
        <vertAlign val="superscript"/>
        <sz val="10"/>
        <color indexed="8"/>
        <rFont val="Arial"/>
        <family val="2"/>
      </rPr>
      <t>T</t>
    </r>
    <r>
      <rPr>
        <b/>
        <sz val="10"/>
        <color indexed="8"/>
        <rFont val="Arial"/>
        <family val="2"/>
      </rPr>
      <t xml:space="preserve"> </t>
    </r>
  </si>
  <si>
    <r>
      <t>Lessors of Nonfinancial Intangible Assets (except Copyrighted Works)</t>
    </r>
    <r>
      <rPr>
        <b/>
        <vertAlign val="superscript"/>
        <sz val="10"/>
        <color indexed="8"/>
        <rFont val="Arial"/>
        <family val="2"/>
      </rPr>
      <t>T</t>
    </r>
    <r>
      <rPr>
        <b/>
        <sz val="10"/>
        <color indexed="8"/>
        <rFont val="Arial"/>
        <family val="2"/>
      </rPr>
      <t xml:space="preserve"> </t>
    </r>
  </si>
  <si>
    <r>
      <t>Management of Companies and Enterprises</t>
    </r>
    <r>
      <rPr>
        <b/>
        <vertAlign val="superscript"/>
        <sz val="10"/>
        <color indexed="8"/>
        <rFont val="Arial"/>
        <family val="2"/>
      </rPr>
      <t>T</t>
    </r>
    <r>
      <rPr>
        <b/>
        <sz val="10"/>
        <color indexed="8"/>
        <rFont val="Arial"/>
        <family val="2"/>
      </rPr>
      <t xml:space="preserve"> </t>
    </r>
  </si>
  <si>
    <r>
      <t>Educational Services</t>
    </r>
    <r>
      <rPr>
        <b/>
        <vertAlign val="superscript"/>
        <sz val="12"/>
        <color indexed="8"/>
        <rFont val="Arial"/>
        <family val="2"/>
      </rPr>
      <t>T</t>
    </r>
    <r>
      <rPr>
        <b/>
        <sz val="12"/>
        <color indexed="8"/>
        <rFont val="Arial"/>
        <family val="2"/>
      </rPr>
      <t xml:space="preserve"> </t>
    </r>
  </si>
  <si>
    <r>
      <t>Nursing Care Facilities (Skilled Nursing Facilities)</t>
    </r>
    <r>
      <rPr>
        <b/>
        <vertAlign val="superscript"/>
        <sz val="10"/>
        <color indexed="8"/>
        <rFont val="Arial"/>
        <family val="2"/>
      </rPr>
      <t>T</t>
    </r>
    <r>
      <rPr>
        <b/>
        <sz val="10"/>
        <color indexed="8"/>
        <rFont val="Arial"/>
        <family val="2"/>
      </rPr>
      <t xml:space="preserve"> </t>
    </r>
  </si>
  <si>
    <r>
      <t>Vocational Rehabilitation Services</t>
    </r>
    <r>
      <rPr>
        <vertAlign val="superscript"/>
        <sz val="10"/>
        <color indexed="8"/>
        <rFont val="Arial"/>
        <family val="2"/>
      </rPr>
      <t>T</t>
    </r>
    <r>
      <rPr>
        <sz val="10"/>
        <color theme="1"/>
        <rFont val="Arial"/>
        <family val="2"/>
      </rPr>
      <t xml:space="preserve"> </t>
    </r>
  </si>
  <si>
    <r>
      <t>Dance Companies</t>
    </r>
    <r>
      <rPr>
        <vertAlign val="superscript"/>
        <sz val="10"/>
        <color indexed="8"/>
        <rFont val="Arial"/>
        <family val="2"/>
      </rPr>
      <t>T</t>
    </r>
    <r>
      <rPr>
        <sz val="10"/>
        <color theme="1"/>
        <rFont val="Arial"/>
        <family val="2"/>
      </rPr>
      <t xml:space="preserve"> </t>
    </r>
  </si>
  <si>
    <r>
      <t>Textile Furnishings Mills</t>
    </r>
    <r>
      <rPr>
        <b/>
        <vertAlign val="superscript"/>
        <sz val="10"/>
        <color indexed="8"/>
        <rFont val="Arial"/>
        <family val="2"/>
      </rPr>
      <t>T</t>
    </r>
    <r>
      <rPr>
        <b/>
        <sz val="10"/>
        <color indexed="8"/>
        <rFont val="Arial"/>
        <family val="2"/>
      </rPr>
      <t xml:space="preserve"> </t>
    </r>
  </si>
  <si>
    <r>
      <t>Basic Chemical Manufacturing</t>
    </r>
    <r>
      <rPr>
        <b/>
        <vertAlign val="superscript"/>
        <sz val="10"/>
        <color indexed="8"/>
        <rFont val="Arial"/>
        <family val="2"/>
      </rPr>
      <t>T</t>
    </r>
    <r>
      <rPr>
        <b/>
        <sz val="10"/>
        <color indexed="8"/>
        <rFont val="Arial"/>
        <family val="2"/>
      </rPr>
      <t xml:space="preserve"> </t>
    </r>
  </si>
  <si>
    <t xml:space="preserve">Small Arms, Ordnance, and Ordnance Accessories Manufacturing </t>
  </si>
  <si>
    <r>
      <t>Restaurants and Other Eating Places</t>
    </r>
    <r>
      <rPr>
        <b/>
        <vertAlign val="superscript"/>
        <sz val="10"/>
        <color indexed="8"/>
        <rFont val="Arial"/>
        <family val="2"/>
      </rPr>
      <t>T</t>
    </r>
  </si>
  <si>
    <r>
      <t>Restaurants and Other Eating Places</t>
    </r>
    <r>
      <rPr>
        <vertAlign val="superscript"/>
        <sz val="10"/>
        <color indexed="8"/>
        <rFont val="Arial"/>
        <family val="2"/>
      </rPr>
      <t>T</t>
    </r>
  </si>
  <si>
    <t>Soybean Farming</t>
  </si>
  <si>
    <t>Wheat Farming</t>
  </si>
  <si>
    <t>Rice Farming</t>
  </si>
  <si>
    <t>Orange Groves</t>
  </si>
  <si>
    <t>Tobacco Farming</t>
  </si>
  <si>
    <t>Cotton Farming</t>
  </si>
  <si>
    <t>Sugarcane Farming</t>
  </si>
  <si>
    <t>Dairy Cattle and Milk Production</t>
  </si>
  <si>
    <r>
      <t>Broilers and Other Meat Type Chicken Production</t>
    </r>
    <r>
      <rPr>
        <sz val="10"/>
        <color theme="1"/>
        <rFont val="Arial"/>
        <family val="2"/>
      </rPr>
      <t xml:space="preserve"> </t>
    </r>
  </si>
  <si>
    <t>Turkey Production</t>
  </si>
  <si>
    <t>Poultry Hatcheries</t>
  </si>
  <si>
    <t>Sheep Farming</t>
  </si>
  <si>
    <t>Goat Farming</t>
  </si>
  <si>
    <t>Apiculture</t>
  </si>
  <si>
    <t>Horses and Other Equine Production</t>
  </si>
  <si>
    <t>Fur-Bearing Animal and Rabbit Production</t>
  </si>
  <si>
    <t>Timber Tract Operations</t>
  </si>
  <si>
    <t>Hunting and Trapping</t>
  </si>
  <si>
    <t>Support Activities for Animal Production</t>
  </si>
  <si>
    <t>Support Activities for Forestry</t>
  </si>
  <si>
    <t>Iron Ore Mining</t>
  </si>
  <si>
    <t>Drilling Oil and Gas Wells</t>
  </si>
  <si>
    <t>Electrical Contractors and Other Wiring Installation Contractors</t>
  </si>
  <si>
    <t>Painting and Wall Covering Contractors</t>
  </si>
  <si>
    <t>Flooring Contractors</t>
  </si>
  <si>
    <t>Tile and Terrazzo Contractors</t>
  </si>
  <si>
    <t>Finish Carpentry Contractors</t>
  </si>
  <si>
    <t>Other Building Finishing Contractors</t>
  </si>
  <si>
    <t>Site Preparation Contractors</t>
  </si>
  <si>
    <t>All Other Specialty Trade Contractors</t>
  </si>
  <si>
    <t>Breakfast Cereal Manufacturing</t>
  </si>
  <si>
    <t>Nonchocolate Confectionery Manufacturing</t>
  </si>
  <si>
    <t>Ice Cream and Frozen Dessert Manufacturing</t>
  </si>
  <si>
    <t>Seafood Product Preparation and Packaging</t>
  </si>
  <si>
    <t>Tortilla Manufacturing</t>
  </si>
  <si>
    <t>Flavoring Syrup and Concentrate Manufacturing</t>
  </si>
  <si>
    <t>Breweries</t>
  </si>
  <si>
    <t>Broadwoven Fabric Mills</t>
  </si>
  <si>
    <t>Narrow Fabric Mills and Schiffli Machine Embroidery</t>
  </si>
  <si>
    <t>Nonwoven Fabric Mills</t>
  </si>
  <si>
    <t>Knit Fabric Mills</t>
  </si>
  <si>
    <t>Fabric Coating Mills</t>
  </si>
  <si>
    <t>Carpet and Rug Mills</t>
  </si>
  <si>
    <t>Curtain and Linen Mills</t>
  </si>
  <si>
    <t>Hosiery and Sock Mills</t>
  </si>
  <si>
    <t>Leather and Hide Tanning and Finishing</t>
  </si>
  <si>
    <t>Wood Container and Pallet Manufacturing</t>
  </si>
  <si>
    <t>Paper Bag and Coated and Treated Paper Manufacturing</t>
  </si>
  <si>
    <t>Stationery Product Manufacturing</t>
  </si>
  <si>
    <t>Support Activities for Printing</t>
  </si>
  <si>
    <t>Petroleum Refineries</t>
  </si>
  <si>
    <t>Petrochemical Manufacturing</t>
  </si>
  <si>
    <t>Industrial Gas Manufacturing</t>
  </si>
  <si>
    <t>Synthetic Dye and Pigment Manufacturing</t>
  </si>
  <si>
    <t>Artificial and Synthetic Fibers and Filaments Manufacturing</t>
  </si>
  <si>
    <t>Pesticide and Other Agricultural Chemical Manufacturing</t>
  </si>
  <si>
    <t>Paint and Coating Manufacturing</t>
  </si>
  <si>
    <t>Adhesive Manufacturing</t>
  </si>
  <si>
    <t>Toilet Preparation Manufacturing</t>
  </si>
  <si>
    <t>Printing Ink Manufacturing</t>
  </si>
  <si>
    <t>Explosives Manufacturing</t>
  </si>
  <si>
    <t>Laminated Plastics Plate, Sheet (except Packaging), and Shape Manufacturing</t>
  </si>
  <si>
    <t>Polystyrene Foam Product Manufacturing</t>
  </si>
  <si>
    <t>Urethane and Other Foam Product (except Polystyrene) Manufacturing</t>
  </si>
  <si>
    <t>Plastics Bottle Manufacturing</t>
  </si>
  <si>
    <t>Rubber and Plastics Hoses and Belting Manufacturing</t>
  </si>
  <si>
    <t>Cement Manufacturing</t>
  </si>
  <si>
    <t>Ready-Mix Concrete Manufacturing</t>
  </si>
  <si>
    <t>Lime Manufacturing</t>
  </si>
  <si>
    <t>Gypsum Product Manufacturing</t>
  </si>
  <si>
    <t>Abrasive Product Manufacturing</t>
  </si>
  <si>
    <t>Iron and Steel Pipe and Tube Manufacturing from Purchased Steel</t>
  </si>
  <si>
    <t>Copper Rolling, Drawing, Extruding, and Alloying</t>
  </si>
  <si>
    <t>Power Boiler and Heat Exchanger Manufacturing</t>
  </si>
  <si>
    <t>Metal Tank (Heavy Gauge) Manufacturing</t>
  </si>
  <si>
    <t>Hardware Manufacturing</t>
  </si>
  <si>
    <t>Machine Shops</t>
  </si>
  <si>
    <t>Ball and Roller Bearing Manufacturing</t>
  </si>
  <si>
    <t>Construction Machinery Manufacturing</t>
  </si>
  <si>
    <t>Telephone Apparatus Manufacturing</t>
  </si>
  <si>
    <t>Radio and Television Broadcasting and Wireless Communications Equipment Manufacturing</t>
  </si>
  <si>
    <t>Other Communications Equipment Manufacturing</t>
  </si>
  <si>
    <t>Audio and Video Equipment Manufacturing</t>
  </si>
  <si>
    <t>Electric Lamp Bulb and Part Manufacturing</t>
  </si>
  <si>
    <t>Small Electrical Appliance Manufacturing</t>
  </si>
  <si>
    <t>Heavy Duty Truck Manufacturing</t>
  </si>
  <si>
    <t>Motor Vehicle Gasoline Engine and Engine Parts Manufacturing</t>
  </si>
  <si>
    <t>Motor Vehicle Electrical and Electronic Equipment Manufacturing</t>
  </si>
  <si>
    <t>Motor Vehicle Steering and Suspension Components (except Spring) Manufacturing</t>
  </si>
  <si>
    <t>Motor Vehicle Brake System Manufacturing</t>
  </si>
  <si>
    <t>Motor Vehicle Transmission and Power Train Parts Manufacturing</t>
  </si>
  <si>
    <t>Motor Vehicle Seating and Interior Trim Manufacturing</t>
  </si>
  <si>
    <t>Motor Vehicle Metal Stamping</t>
  </si>
  <si>
    <t>Other Motor Vehicle Parts Manufacturing</t>
  </si>
  <si>
    <t>Railroad Rolling Stock Manufacturing</t>
  </si>
  <si>
    <t>Wood Kitchen Cabinet and Countertop Manufacturing</t>
  </si>
  <si>
    <t>Mattress Manufacturing</t>
  </si>
  <si>
    <t>Blind and Shade Manufacturing</t>
  </si>
  <si>
    <t>Sporting and Athletic Goods Manufacturing</t>
  </si>
  <si>
    <t>Doll, Toy, and Game Manufacturing</t>
  </si>
  <si>
    <t>Office Supplies (except Paper) Manufacturing</t>
  </si>
  <si>
    <t>Sign Manufacturing</t>
  </si>
  <si>
    <t>Used Household and Office Goods Moving</t>
  </si>
  <si>
    <t>Interurban and Rural Bus Transportation</t>
  </si>
  <si>
    <t>Limousine Service</t>
  </si>
  <si>
    <t>School and Employee Bus Transportation</t>
  </si>
  <si>
    <t>Charter Bus Industry</t>
  </si>
  <si>
    <t>Pipeline Transportation of Crude Oil</t>
  </si>
  <si>
    <t>Pipeline Transportation of Natural Gas</t>
  </si>
  <si>
    <t>Pipeline Transportation of Refined Petroleum Products</t>
  </si>
  <si>
    <t>All Other Pipeline Transportation</t>
  </si>
  <si>
    <t>Scenic and Sightseeing Transportation, Land</t>
  </si>
  <si>
    <t>Scenic and Sightseeing Transportation, Water</t>
  </si>
  <si>
    <t>Scenic and Sightseeing Transportation, Other</t>
  </si>
  <si>
    <t>Air Traffic Control</t>
  </si>
  <si>
    <t>Other Support Activities for Air Transportation</t>
  </si>
  <si>
    <t>Support Activities for Rail Transportation</t>
  </si>
  <si>
    <t>Port and Harbor Operations</t>
  </si>
  <si>
    <t>Marine Cargo Handling</t>
  </si>
  <si>
    <t>Other Support Activities for Water Transportation</t>
  </si>
  <si>
    <t>Motor Vehicle Towing</t>
  </si>
  <si>
    <t>Postal Service</t>
  </si>
  <si>
    <t>Couriers and Express Delivery Services</t>
  </si>
  <si>
    <t>Local Messengers and Local Delivery</t>
  </si>
  <si>
    <t>Refrigerated Warehousing and Storage</t>
  </si>
  <si>
    <t>Farm Product Warehousing and Storage</t>
  </si>
  <si>
    <t>Other Warehousing and Storage</t>
  </si>
  <si>
    <t>Software Publishers</t>
  </si>
  <si>
    <t>Motion Picture and Video Distribution</t>
  </si>
  <si>
    <t>Record Production</t>
  </si>
  <si>
    <t>Integrated Record Production/Distribution</t>
  </si>
  <si>
    <t>Music Publishers</t>
  </si>
  <si>
    <t>Sound Recording Studios</t>
  </si>
  <si>
    <t>Other Sound Recording Industries</t>
  </si>
  <si>
    <t>Television Broadcasting</t>
  </si>
  <si>
    <t>Cable and Other Subscription Programming</t>
  </si>
  <si>
    <t>Wireless Telecommunications Carriers (except Satellite)</t>
  </si>
  <si>
    <t>Satellite Telecommunications</t>
  </si>
  <si>
    <t>Data Processing, Hosting, and Related Services</t>
  </si>
  <si>
    <t>News Syndicates</t>
  </si>
  <si>
    <t>Internet Publishing and Broadcasting and Web Search Portals</t>
  </si>
  <si>
    <t>All Other Information Services</t>
  </si>
  <si>
    <t>Monetary Authorities-Central Bank</t>
  </si>
  <si>
    <t>Securities and Commodity Exchanges</t>
  </si>
  <si>
    <t>Offices of Real Estate Agents and Brokers</t>
  </si>
  <si>
    <t>Consumer Electronics and Appliances Rental</t>
  </si>
  <si>
    <t>Formal Wear and Costume Rental</t>
  </si>
  <si>
    <t>Video Tape and Disc Rental</t>
  </si>
  <si>
    <t>General Rental Centers</t>
  </si>
  <si>
    <t>Office Machinery and Equipment Rental and Leasing</t>
  </si>
  <si>
    <t>Lessors of Nonfinancial Intangible Assets (except Copyrighted Works)</t>
  </si>
  <si>
    <t>Offices of Lawyers</t>
  </si>
  <si>
    <t>Offices of Notaries</t>
  </si>
  <si>
    <t>Architectural Services</t>
  </si>
  <si>
    <t>Landscape Architectural Services</t>
  </si>
  <si>
    <t>Engineering Services</t>
  </si>
  <si>
    <t>Drafting Services</t>
  </si>
  <si>
    <t>Building Inspection Services</t>
  </si>
  <si>
    <t>Geophysical Surveying and Mapping Services</t>
  </si>
  <si>
    <t>Surveying and Mapping (except Geophysical) Services</t>
  </si>
  <si>
    <t>Testing Laboratories</t>
  </si>
  <si>
    <t>Interior Design Services</t>
  </si>
  <si>
    <t>Industrial Design Services</t>
  </si>
  <si>
    <t>Graphic Design Services</t>
  </si>
  <si>
    <t>Other Specialized Design Services</t>
  </si>
  <si>
    <t>Environmental Consulting Services</t>
  </si>
  <si>
    <t>Other Scientific and Technical Consulting Services</t>
  </si>
  <si>
    <t>Advertising Agencies</t>
  </si>
  <si>
    <t>Public Relations Agencies</t>
  </si>
  <si>
    <t>Media Buying Agencies</t>
  </si>
  <si>
    <t>Media Representatives</t>
  </si>
  <si>
    <t>Outdoor Advertising</t>
  </si>
  <si>
    <t>Direct Mail Advertising</t>
  </si>
  <si>
    <t>Advertising Material Distribution Services</t>
  </si>
  <si>
    <t>Marketing Research and Public Opinion Polling</t>
  </si>
  <si>
    <t>Translation and Interpretation Services</t>
  </si>
  <si>
    <t>All Other Professional, Scientific, and Technical Services</t>
  </si>
  <si>
    <t>Office Administrative Services</t>
  </si>
  <si>
    <t>Facilities Support Services</t>
  </si>
  <si>
    <t>Temporary Help Services</t>
  </si>
  <si>
    <t>Professional Employer Organizations</t>
  </si>
  <si>
    <t>Document Preparation Services</t>
  </si>
  <si>
    <t>Collection Agencies</t>
  </si>
  <si>
    <t>Credit Bureaus</t>
  </si>
  <si>
    <t>Travel Agencies</t>
  </si>
  <si>
    <t>Tour Operators</t>
  </si>
  <si>
    <t>Exterminating and Pest Control Services</t>
  </si>
  <si>
    <t>Landscaping Services</t>
  </si>
  <si>
    <t>Carpet and Upholstery Cleaning Services</t>
  </si>
  <si>
    <t>Packaging and Labeling Services</t>
  </si>
  <si>
    <t>Convention and Trade Show Organizers</t>
  </si>
  <si>
    <t>All Other Support Services</t>
  </si>
  <si>
    <t>Educational Support Services</t>
  </si>
  <si>
    <t>Offices of Optometrists</t>
  </si>
  <si>
    <t>Home Health Care Services</t>
  </si>
  <si>
    <t>Agents and Managers for Artists, Athletes, Entertainers, and Other Public Figures</t>
  </si>
  <si>
    <t>Historical Sites</t>
  </si>
  <si>
    <t>Nature Parks and Other Similar Institutions</t>
  </si>
  <si>
    <t>Amusement Arcades</t>
  </si>
  <si>
    <t>Casinos (except Casino Hotels)</t>
  </si>
  <si>
    <t>Golf Courses and Country Clubs</t>
  </si>
  <si>
    <t>Skiing Facilities</t>
  </si>
  <si>
    <t>Marinas</t>
  </si>
  <si>
    <t>Bowling Centers</t>
  </si>
  <si>
    <t>Casino Hotels</t>
  </si>
  <si>
    <t>Food Service Contractors</t>
  </si>
  <si>
    <t>Caterers</t>
  </si>
  <si>
    <t>Mobile Food Services</t>
  </si>
  <si>
    <t>Reupholstery and Furniture Repair</t>
  </si>
  <si>
    <t>Footwear and Leather Goods Repair</t>
  </si>
  <si>
    <t>Private Households</t>
  </si>
  <si>
    <t>Electric Power Generation, Transmission and Distribution</t>
  </si>
  <si>
    <r>
      <t>Chocolate and Confectionery Manufacturing</t>
    </r>
    <r>
      <rPr>
        <vertAlign val="superscript"/>
        <sz val="10"/>
        <color indexed="8"/>
        <rFont val="Arial"/>
        <family val="2"/>
      </rPr>
      <t>T</t>
    </r>
    <r>
      <rPr>
        <sz val="10"/>
        <color theme="1"/>
        <rFont val="Arial"/>
        <family val="2"/>
      </rPr>
      <t xml:space="preserve"> </t>
    </r>
  </si>
  <si>
    <t xml:space="preserve">Chocolate and Confectionery Manufacturing from Cacao Beans </t>
  </si>
  <si>
    <r>
      <t>Dual-Purpose Cattle Ranching and Farming</t>
    </r>
    <r>
      <rPr>
        <vertAlign val="superscript"/>
        <sz val="10"/>
        <color indexed="8"/>
        <rFont val="Arial"/>
        <family val="2"/>
      </rPr>
      <t>T</t>
    </r>
    <r>
      <rPr>
        <sz val="10"/>
        <color theme="1"/>
        <rFont val="Arial"/>
        <family val="2"/>
      </rPr>
      <t xml:space="preserve"> </t>
    </r>
  </si>
  <si>
    <r>
      <t>Structural Steel and Precast Concrete Contractors</t>
    </r>
    <r>
      <rPr>
        <sz val="10"/>
        <color theme="1"/>
        <rFont val="Arial"/>
        <family val="2"/>
      </rPr>
      <t xml:space="preserve"> </t>
    </r>
  </si>
  <si>
    <r>
      <t>Wholesale Trade</t>
    </r>
    <r>
      <rPr>
        <b/>
        <vertAlign val="superscript"/>
        <sz val="14"/>
        <color indexed="8"/>
        <rFont val="Arial"/>
        <family val="2"/>
      </rPr>
      <t>T</t>
    </r>
  </si>
  <si>
    <r>
      <t>Retail Trade</t>
    </r>
    <r>
      <rPr>
        <b/>
        <vertAlign val="superscript"/>
        <sz val="14"/>
        <color indexed="8"/>
        <rFont val="Arial"/>
        <family val="2"/>
      </rPr>
      <t>T</t>
    </r>
  </si>
  <si>
    <r>
      <t>Public Administration</t>
    </r>
    <r>
      <rPr>
        <b/>
        <vertAlign val="superscript"/>
        <sz val="14"/>
        <color indexed="8"/>
        <rFont val="Arial"/>
        <family val="2"/>
      </rPr>
      <t>T</t>
    </r>
  </si>
  <si>
    <r>
      <t>Funds, Trusts, and Other Financial Vehicles</t>
    </r>
    <r>
      <rPr>
        <b/>
        <sz val="12"/>
        <color indexed="8"/>
        <rFont val="Arial"/>
        <family val="2"/>
      </rPr>
      <t xml:space="preserve"> </t>
    </r>
  </si>
  <si>
    <r>
      <t>Insurance and Employee Benefit Funds</t>
    </r>
    <r>
      <rPr>
        <b/>
        <sz val="10"/>
        <color indexed="8"/>
        <rFont val="Arial"/>
        <family val="2"/>
      </rPr>
      <t xml:space="preserve"> </t>
    </r>
  </si>
  <si>
    <t>Other Investment Pools and Funds</t>
  </si>
  <si>
    <t xml:space="preserve">Alumina Refining and Primary Aluminum Production </t>
  </si>
  <si>
    <r>
      <t xml:space="preserve">T = trilateral agreement (United States,Canada and Mexico)
Note for Indicator field:  </t>
    </r>
    <r>
      <rPr>
        <sz val="14"/>
        <color indexed="8"/>
        <rFont val="Arial"/>
        <family val="2"/>
      </rPr>
      <t>*</t>
    </r>
    <r>
      <rPr>
        <sz val="10"/>
        <color theme="1"/>
        <rFont val="Arial"/>
        <family val="2"/>
      </rPr>
      <t xml:space="preserve"> = title change, no content change
                                 </t>
    </r>
    <r>
      <rPr>
        <sz val="14"/>
        <color indexed="8"/>
        <rFont val="Arial"/>
        <family val="2"/>
      </rPr>
      <t>**</t>
    </r>
    <r>
      <rPr>
        <sz val="10"/>
        <color theme="1"/>
        <rFont val="Arial"/>
        <family val="2"/>
      </rPr>
      <t xml:space="preserve"> = new code for 2012 NAICS
                                </t>
    </r>
    <r>
      <rPr>
        <sz val="14"/>
        <color indexed="8"/>
        <rFont val="Arial"/>
        <family val="2"/>
      </rPr>
      <t>***</t>
    </r>
    <r>
      <rPr>
        <sz val="10"/>
        <color theme="1"/>
        <rFont val="Arial"/>
        <family val="2"/>
      </rPr>
      <t xml:space="preserve"> = re-used code, content change (with or without title change)
                                  </t>
    </r>
  </si>
  <si>
    <t>SIC 4 Digit Code</t>
  </si>
  <si>
    <t>Code Value</t>
  </si>
  <si>
    <t>Description</t>
  </si>
  <si>
    <t>Wheat</t>
  </si>
  <si>
    <t>Rice</t>
  </si>
  <si>
    <t>Corn</t>
  </si>
  <si>
    <t>Soybeans</t>
  </si>
  <si>
    <t>Cash grains, nec</t>
  </si>
  <si>
    <t>Cotton</t>
  </si>
  <si>
    <t>Tobacco</t>
  </si>
  <si>
    <t>Sugarcane and sugar beets</t>
  </si>
  <si>
    <t>Irish potatoes</t>
  </si>
  <si>
    <t>Field crops, except cash grain</t>
  </si>
  <si>
    <t>Vegetables and melons</t>
  </si>
  <si>
    <t>Berry crops</t>
  </si>
  <si>
    <t>Grapes</t>
  </si>
  <si>
    <t>Tree nuts</t>
  </si>
  <si>
    <t>Citrus 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</si>
  <si>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</si>
  <si>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</si>
  <si>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</si>
  <si>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</si>
  <si>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</si>
  <si>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</si>
  <si>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</si>
  <si>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</si>
  <si>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</si>
  <si>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</si>
  <si>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</si>
  <si>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chickens</t>
  </si>
  <si>
    <t>Chicken eggs</t>
  </si>
  <si>
    <t>Turkeys and turkey eggs</t>
  </si>
  <si>
    <t>Poultry hatcheries</t>
  </si>
  <si>
    <t>Poultry and eggs, nec</t>
  </si>
  <si>
    <t>Fur-bearing animals and rabbits</t>
  </si>
  <si>
    <t>Horses and other equines</t>
  </si>
  <si>
    <t>Animal aquaculture</t>
  </si>
  <si>
    <t>Animal specialties, nec</t>
  </si>
  <si>
    <t>General farms, primarily animals</t>
  </si>
  <si>
    <t>Soil preparation services</t>
  </si>
  <si>
    <t>Crop planting and protection</t>
  </si>
  <si>
    <t>Crop harvesting</t>
  </si>
  <si>
    <t>Crop preparation services for market</t>
  </si>
  <si>
    <t>Cotton ginning</t>
  </si>
  <si>
    <t>Veterinary services for livestock</t>
  </si>
  <si>
    <t>Veterinary services, specialties</t>
  </si>
  <si>
    <t>Livestock services, except veterinary</t>
  </si>
  <si>
    <t>Animal specialty services</t>
  </si>
  <si>
    <t>Farm labor contractors</t>
  </si>
  <si>
    <t>Farm management services</t>
  </si>
  <si>
    <t>Landscape counseling and planning</t>
  </si>
  <si>
    <t>Lawn and garden services</t>
  </si>
  <si>
    <t>Ornamental shrub and tree services</t>
  </si>
  <si>
    <t>Timber tracts</t>
  </si>
  <si>
    <t>Forest products</t>
  </si>
  <si>
    <t>Forestry services</t>
  </si>
  <si>
    <t>Finfish</t>
  </si>
  <si>
    <t>Shellfish</t>
  </si>
  <si>
    <t>Miscellaneous marine products</t>
  </si>
  <si>
    <t>Fish hatcheries and preserves</t>
  </si>
  <si>
    <t>Hunting, trapping, game propagation</t>
  </si>
  <si>
    <t>Iron ores</t>
  </si>
  <si>
    <t>Copper ores</t>
  </si>
  <si>
    <t>Lead and zinc ores</t>
  </si>
  <si>
    <t>Gold ores</t>
  </si>
  <si>
    <t>Silver ores</t>
  </si>
  <si>
    <t>Ferroalloy ores, except vanadium</t>
  </si>
  <si>
    <t>Metal mining services</t>
  </si>
  <si>
    <t>Uranium-radium-vanadium ores</t>
  </si>
  <si>
    <t>Metal ores, nec</t>
  </si>
  <si>
    <t>Bituminous coal and lignite-surface mining</t>
  </si>
  <si>
    <t>Bituminous coal-underground mining</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</si>
  <si>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</si>
  <si>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</si>
  <si>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</si>
  <si>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</si>
  <si>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</si>
  <si>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</si>
  <si>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</si>
  <si>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</si>
  <si>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</si>
  <si>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</si>
  <si>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</si>
  <si>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</si>
  <si>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</si>
  <si>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</si>
  <si>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</si>
  <si>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</si>
  <si>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</si>
  <si>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t>
  </si>
  <si>
    <t>Nonmetallic mineral services</t>
  </si>
  <si>
    <t>Miscellaneous nonmetallic mining</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</si>
  <si>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</si>
  <si>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</si>
  <si>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</si>
  <si>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</si>
  <si>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</si>
  <si>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</si>
  <si>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</si>
  <si>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</si>
  <si>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</si>
  <si>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air-conditioning</t>
  </si>
  <si>
    <t>Painting and paper hanging</t>
  </si>
  <si>
    <t>Electrical work</t>
  </si>
  <si>
    <t>Masonry and other stonework</t>
  </si>
  <si>
    <t>Plastering, drywall, and insulation</t>
  </si>
  <si>
    <t>Terrazzo, tile, marble, mosaic work</t>
  </si>
  <si>
    <t>Carpentry work</t>
  </si>
  <si>
    <t>Floor laying and floor work, nec</t>
  </si>
  <si>
    <t>Roofing, siding, and sheetmetal work</t>
  </si>
  <si>
    <t>Concrete work</t>
  </si>
  <si>
    <t>Water well drilling</t>
  </si>
  <si>
    <t>Structural steel erection</t>
  </si>
  <si>
    <t>Glass and glazing work</t>
  </si>
  <si>
    <t>Excavation work</t>
  </si>
  <si>
    <t>Wrecking and demolition work</t>
  </si>
  <si>
    <t>Installing building equipment</t>
  </si>
  <si>
    <t>Special trade contractors, nec</t>
  </si>
  <si>
    <t>Meat packing plants</t>
  </si>
  <si>
    <t>Sausages and other prepared meats</t>
  </si>
  <si>
    <t>Poultry slaughtering and processing</t>
  </si>
  <si>
    <t>Creamery butter</t>
  </si>
  <si>
    <t>Cheese; natural and processed</t>
  </si>
  <si>
    <t>Dry, condensed, evaporated products</t>
  </si>
  <si>
    <t>Ice cream and frozen deserts</t>
  </si>
  <si>
    <t>Fluid milk</t>
  </si>
  <si>
    <t>Canned specialties</t>
  </si>
  <si>
    <t>Canned fruits and specialties</t>
  </si>
  <si>
    <t>Dehydrated fruits, vegetables, soups</t>
  </si>
  <si>
    <t>Pickles, sauces, and salad dressings</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</si>
  <si>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</si>
  <si>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</si>
  <si>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</si>
  <si>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</si>
  <si>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</si>
  <si>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</si>
  <si>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</si>
  <si>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</si>
  <si>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</si>
  <si>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</si>
  <si>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</si>
  <si>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bread</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</si>
  <si>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</si>
  <si>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</si>
  <si>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</si>
  <si>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</si>
  <si>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</si>
  <si>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</si>
  <si>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</si>
  <si>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</si>
  <si>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</si>
  <si>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</si>
  <si>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</si>
  <si>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t>
  </si>
  <si>
    <t>Malt beverages</t>
  </si>
  <si>
    <t>Malt</t>
  </si>
  <si>
    <t>Wines, brandy, and brandy spirits</t>
  </si>
  <si>
    <t>Distilled and blended liquors</t>
  </si>
  <si>
    <t>Bottled and canned soft drinks</t>
  </si>
  <si>
    <t>Flavoring extracts and syrups, nec</t>
  </si>
  <si>
    <t>Canned and cured fish and seafoods</t>
  </si>
  <si>
    <t>Fresh or frozen packaged fish</t>
  </si>
  <si>
    <t>Roasted coffee</t>
  </si>
  <si>
    <t>Potato chips and similar snacks</t>
  </si>
  <si>
    <t>Manufactured ice</t>
  </si>
  <si>
    <t>Macaroni and spaghetti</t>
  </si>
  <si>
    <t>Food preparations, nec</t>
  </si>
  <si>
    <t>Cigarettes</t>
  </si>
  <si>
    <t>Cigars</t>
  </si>
  <si>
    <t>Chewing and smoking tobacco</t>
  </si>
  <si>
    <t>Tobacco stemming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</si>
  <si>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</si>
  <si>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</si>
  <si>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</si>
  <si>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</si>
  <si>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</si>
  <si>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</si>
  <si>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</si>
  <si>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</si>
  <si>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</si>
  <si>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warp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</si>
  <si>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</si>
  <si>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</si>
  <si>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</si>
  <si>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</si>
  <si>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</si>
  <si>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</si>
  <si>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</si>
  <si>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</si>
  <si>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</si>
  <si>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</si>
  <si>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</si>
  <si>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 and twine</t>
  </si>
  <si>
    <t>Textile goods, nec</t>
  </si>
  <si>
    <t>Men's and boy's suits and coats</t>
  </si>
  <si>
    <t>Men's and boy's furnishings</t>
  </si>
  <si>
    <t>Men's and boy's underwear and nightwear</t>
  </si>
  <si>
    <t>Men's and boy's neckwear</t>
  </si>
  <si>
    <t>Men's and boy's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</si>
  <si>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</si>
  <si>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</si>
  <si>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</si>
  <si>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</si>
  <si>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</si>
  <si>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</si>
  <si>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</si>
  <si>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</si>
  <si>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Hats, caps, and millinery</t>
  </si>
  <si>
    <t>Girl's and children's dresses, blouses</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</si>
  <si>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</si>
  <si>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</si>
  <si>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</si>
  <si>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</si>
  <si>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</si>
  <si>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</si>
  <si>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</si>
  <si>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</si>
  <si>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</si>
  <si>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Household furnishings, nec</t>
  </si>
  <si>
    <t>Textile bags</t>
  </si>
  <si>
    <t>Canvas and related products</t>
  </si>
  <si>
    <t>Pleating and stitching</t>
  </si>
  <si>
    <t>Automotive and apparel trimmings</t>
  </si>
  <si>
    <t>Schiffli machine embroideries</t>
  </si>
  <si>
    <t>Fabricated textile products, nec</t>
  </si>
  <si>
    <t>Logging</t>
  </si>
  <si>
    <t>Sawmills and planing mills, general</t>
  </si>
  <si>
    <t>Hardwood dimension and flooring mills</t>
  </si>
  <si>
    <t>Special product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</si>
  <si>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</si>
  <si>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</si>
  <si>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</si>
  <si>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</si>
  <si>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</si>
  <si>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</si>
  <si>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</si>
  <si>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</si>
  <si>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</si>
  <si>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</si>
  <si>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</si>
  <si>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</si>
  <si>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</si>
  <si>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</si>
  <si>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</si>
  <si>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</si>
  <si>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</si>
  <si>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television and radio cabinets</t>
  </si>
  <si>
    <t>Household furniture, nec</t>
  </si>
  <si>
    <t>Wood office furniture</t>
  </si>
  <si>
    <t>Office furniture, except wood</t>
  </si>
  <si>
    <t>Public building and related furniture</t>
  </si>
  <si>
    <t>Wood partitions and fixtures</t>
  </si>
  <si>
    <t>Partitions and fixtures, except wood</t>
  </si>
  <si>
    <t>Drapery hardware and blinds and shades</t>
  </si>
  <si>
    <t>Furniture and fixtures, nec</t>
  </si>
  <si>
    <t>Pulp mills</t>
  </si>
  <si>
    <t>Paper mills</t>
  </si>
  <si>
    <t>Paperboard mills</t>
  </si>
  <si>
    <t>Setup paperboard boxes</t>
  </si>
  <si>
    <t>Corrugated and solid fiber boxes</t>
  </si>
  <si>
    <t>Fiber cans, drums, and similar products</t>
  </si>
  <si>
    <t>Sanitary food containers</t>
  </si>
  <si>
    <t>Folding paperboard boxes</t>
  </si>
  <si>
    <t>Paper; coated and laminated packaging</t>
  </si>
  <si>
    <t>Paper; coated and laminated, nec</t>
  </si>
  <si>
    <t>Bags: plastic, laminated, and coated</t>
  </si>
  <si>
    <t>Bags: uncoated paper and multiwall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</si>
  <si>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</si>
  <si>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</si>
  <si>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</si>
  <si>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</si>
  <si>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</si>
  <si>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</si>
  <si>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</si>
  <si>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</si>
  <si>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</si>
  <si>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</si>
  <si>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</si>
  <si>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</si>
  <si>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</si>
  <si>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</si>
  <si>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</si>
  <si>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</si>
  <si>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</si>
  <si>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</si>
  <si>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</si>
  <si>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</si>
  <si>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</si>
  <si>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Inorganic pigments</t>
  </si>
  <si>
    <t>Industrial inorganic chemicals, nec</t>
  </si>
  <si>
    <t>Plastics materials and resins</t>
  </si>
  <si>
    <t>Synthetic rubber</t>
  </si>
  <si>
    <t>Cellulosic manmade fibers</t>
  </si>
  <si>
    <t>Organic fibers, noncellulosic</t>
  </si>
  <si>
    <t>Medicinals and botanicals</t>
  </si>
  <si>
    <t>Pharmaceutical preparations</t>
  </si>
  <si>
    <t>Diagnostic substances</t>
  </si>
  <si>
    <t>Biological products, except diagnostic</t>
  </si>
  <si>
    <t>Soap and other detergents</t>
  </si>
  <si>
    <t>Polishes and sanitation goods</t>
  </si>
  <si>
    <t>Surface active agents</t>
  </si>
  <si>
    <t>Toilet preparations</t>
  </si>
  <si>
    <t>Paints and allied products</t>
  </si>
  <si>
    <t>Gum and wood chemicals</t>
  </si>
  <si>
    <t>Cyclic crudes and intermediates</t>
  </si>
  <si>
    <t>Industrial organic chemicals, nec</t>
  </si>
  <si>
    <t>Nitrogenous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</si>
  <si>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</si>
  <si>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</si>
  <si>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</si>
  <si>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</si>
  <si>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</si>
  <si>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</si>
  <si>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</si>
  <si>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</si>
  <si>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</si>
  <si>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</si>
  <si>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</si>
  <si>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</si>
  <si>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</si>
  <si>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</si>
  <si>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Rubber and plastics footwear</t>
  </si>
  <si>
    <t>Rubber and plastics hose and beltings</t>
  </si>
  <si>
    <t>Gaskets; packing and sealing devices</t>
  </si>
  <si>
    <t>Mechanical rubber goods</t>
  </si>
  <si>
    <t>Fabricated rubber products, nec</t>
  </si>
  <si>
    <t>Unsupported plastics film and sheet</t>
  </si>
  <si>
    <t>Unsupported plastics profile shapes</t>
  </si>
  <si>
    <t>Laminated plastics plate and sheet</t>
  </si>
  <si>
    <t>Plastics pipe</t>
  </si>
  <si>
    <t>Plastics bottles</t>
  </si>
  <si>
    <t>Plastics foam products</t>
  </si>
  <si>
    <t>Custom compound purchased resins</t>
  </si>
  <si>
    <t>Plastics plumbing fixtures</t>
  </si>
  <si>
    <t>Plastics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</si>
  <si>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</si>
  <si>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</si>
  <si>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</si>
  <si>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</si>
  <si>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</si>
  <si>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</si>
  <si>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</si>
  <si>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</si>
  <si>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handbags and purses</t>
  </si>
  <si>
    <t>Personal leather goods, nec</t>
  </si>
  <si>
    <t>Leather goods, nec</t>
  </si>
  <si>
    <t>Flat glass</t>
  </si>
  <si>
    <t>Glass containers</t>
  </si>
  <si>
    <t>Pressed and blown glass, nec</t>
  </si>
  <si>
    <t>Products of purchased glass</t>
  </si>
  <si>
    <t>Cement, hydraulic</t>
  </si>
  <si>
    <t>Brick and structural clay tile</t>
  </si>
  <si>
    <t>Ceramic wall and floor tile</t>
  </si>
  <si>
    <t>Clay refractories</t>
  </si>
  <si>
    <t>Structural clay products, nec</t>
  </si>
  <si>
    <t>Vitreous plumbing fixtures</t>
  </si>
  <si>
    <t>Vitreous china table and kitchenware</t>
  </si>
  <si>
    <t>Semivitreous table and kitchenware</t>
  </si>
  <si>
    <t>Porcelain electrical supplies</t>
  </si>
  <si>
    <t>Pottery products, nec</t>
  </si>
  <si>
    <t>Concrete block and brick</t>
  </si>
  <si>
    <t>Concrete products, nec</t>
  </si>
  <si>
    <t>Ready-mixed concrete</t>
  </si>
  <si>
    <t>Lime</t>
  </si>
  <si>
    <t>Gypsum products</t>
  </si>
  <si>
    <t>Cut stone and stone products</t>
  </si>
  <si>
    <t>Abrasive products</t>
  </si>
  <si>
    <t>Asbestos products</t>
  </si>
  <si>
    <t>Minerals, ground or treated</t>
  </si>
  <si>
    <t>Mineral wool</t>
  </si>
  <si>
    <t>Nonclay refractories</t>
  </si>
  <si>
    <t>Nonmetallic mineral products,</t>
  </si>
  <si>
    <t>Blast furnaces and steel mills</t>
  </si>
  <si>
    <t>Electrometallurgical products</t>
  </si>
  <si>
    <t>Steel wire and related products</t>
  </si>
  <si>
    <t>Cold finishing of steel shapes</t>
  </si>
  <si>
    <t>Steel pipe and tubes</t>
  </si>
  <si>
    <t>Gray and ductile iron foundries</t>
  </si>
  <si>
    <t>Malleable iron foundries</t>
  </si>
  <si>
    <t>Steel investment foundries</t>
  </si>
  <si>
    <t>Steel foundries, nec</t>
  </si>
  <si>
    <t>Primary copper</t>
  </si>
  <si>
    <t>Primary aluminum</t>
  </si>
  <si>
    <t>Primary nonferrous metals, nec</t>
  </si>
  <si>
    <t>Secondary nonferrous metals</t>
  </si>
  <si>
    <t>Copper rolling and drawing</t>
  </si>
  <si>
    <t>Aluminum sheet, plate, and foil</t>
  </si>
  <si>
    <t>Aluminum extruded products</t>
  </si>
  <si>
    <t>Aluminum rolling and drawing, nec</t>
  </si>
  <si>
    <t>Nonferrous rolling and drawing, nec</t>
  </si>
  <si>
    <t>Nonferrous wiredrawing and insulating</t>
  </si>
  <si>
    <t>Aluminum die-castings</t>
  </si>
  <si>
    <t>Nonferrous die-castings except aluminum</t>
  </si>
  <si>
    <t>Aluminum foundries</t>
  </si>
  <si>
    <t>Copper foundries</t>
  </si>
  <si>
    <t>Nonferrous foundries, nec</t>
  </si>
  <si>
    <t>Metal heat treating</t>
  </si>
  <si>
    <t>Primary metal products</t>
  </si>
  <si>
    <t>Metal cans</t>
  </si>
  <si>
    <t>Metal barrels, drums, and pails</t>
  </si>
  <si>
    <t>Cutlery</t>
  </si>
  <si>
    <t>Hand and edge tools, nec</t>
  </si>
  <si>
    <t>Saw blades and handsaws</t>
  </si>
  <si>
    <t>Hardware, nec</t>
  </si>
  <si>
    <t>Metal sanitary ware</t>
  </si>
  <si>
    <t>Plumbing fixture fittings and trim</t>
  </si>
  <si>
    <t>Heating equipment, except electric</t>
  </si>
  <si>
    <t>Fabricated structural metal</t>
  </si>
  <si>
    <t>Metal doors, sash, and trim</t>
  </si>
  <si>
    <t>Fabricated plate work (boiler shop)</t>
  </si>
  <si>
    <t>Sheet metalwork</t>
  </si>
  <si>
    <t>Architectural metalwork</t>
  </si>
  <si>
    <t>Prefabricated metal buildings</t>
  </si>
  <si>
    <t>Miscellaneous metalwork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</si>
  <si>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</si>
  <si>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</si>
  <si>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</si>
  <si>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</si>
  <si>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</si>
  <si>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</si>
  <si>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</si>
  <si>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</si>
  <si>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</si>
  <si>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</si>
  <si>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 nec</t>
  </si>
  <si>
    <t>Small arms</t>
  </si>
  <si>
    <t>Ordnance and accessories, nec</t>
  </si>
  <si>
    <t>Industrial valves</t>
  </si>
  <si>
    <t>Fluid power valves and hose fittings</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</si>
  <si>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</si>
  <si>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</si>
  <si>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</si>
  <si>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</si>
  <si>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</si>
  <si>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</si>
  <si>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</si>
  <si>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</si>
  <si>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</si>
  <si>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</si>
  <si>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</si>
  <si>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</si>
  <si>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Mining machinery</t>
  </si>
  <si>
    <t>Oil and gas field machinery</t>
  </si>
  <si>
    <t>Elevators and moving stairways</t>
  </si>
  <si>
    <t>Conveyors and conveying equipment</t>
  </si>
  <si>
    <t>Hoists, cranes, and monorails</t>
  </si>
  <si>
    <t>Industrial trucks and tractors</t>
  </si>
  <si>
    <t>Machine tools, metal cutting type</t>
  </si>
  <si>
    <t>Machine tools, metal forming type</t>
  </si>
  <si>
    <t>Industrial patterns</t>
  </si>
  <si>
    <t>Special dies, tools, jigs, and fixtures</t>
  </si>
  <si>
    <t>Machine tool accessories</t>
  </si>
  <si>
    <t>Power-driven handtools</t>
  </si>
  <si>
    <t>Rolling mill machinery</t>
  </si>
  <si>
    <t>Welding apparatus</t>
  </si>
  <si>
    <t>Metalworking machinery, nec</t>
  </si>
  <si>
    <t>Textile machinery</t>
  </si>
  <si>
    <t>Woodworking machinery</t>
  </si>
  <si>
    <t>Paper industries machinery</t>
  </si>
  <si>
    <t>Printing trades machinery</t>
  </si>
  <si>
    <t>Food products machinery</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</si>
  <si>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</si>
  <si>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</si>
  <si>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</si>
  <si>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</si>
  <si>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</si>
  <si>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</si>
  <si>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</si>
  <si>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</si>
  <si>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</si>
  <si>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t>
  </si>
  <si>
    <t>Electronic computers</t>
  </si>
  <si>
    <t>Computer storage devices</t>
  </si>
  <si>
    <t>Computer terminals</t>
  </si>
  <si>
    <t>Computer peripheral equipment, nec</t>
  </si>
  <si>
    <t>Calculating and accounting equipment</t>
  </si>
  <si>
    <t>Office machines, nec</t>
  </si>
  <si>
    <t>Automatic vending machines</t>
  </si>
  <si>
    <t>Commercial laundry equipment</t>
  </si>
  <si>
    <t>Refrigeration and heating equipment</t>
  </si>
  <si>
    <t>Measuring and dispensing pumps</t>
  </si>
  <si>
    <t>Service industry machinery, nec</t>
  </si>
  <si>
    <t>Carburetors, pistons, rings, valves</t>
  </si>
  <si>
    <t>Fluid power cylinders and actuators</t>
  </si>
  <si>
    <t>Fluid power pumps and motors</t>
  </si>
  <si>
    <t>Scales and balances, except laboratory</t>
  </si>
  <si>
    <t>Industrial machinery, nec</t>
  </si>
  <si>
    <t>Transformers, except electric</t>
  </si>
  <si>
    <t>Switchgear and switchboard apparatus</t>
  </si>
  <si>
    <t>Motors and generators</t>
  </si>
  <si>
    <t>Carbon and graphite products</t>
  </si>
  <si>
    <t>Relays and industrial controls</t>
  </si>
  <si>
    <t>Electrical industrial apparatus</t>
  </si>
  <si>
    <t>Household cooking equipment</t>
  </si>
  <si>
    <t>Household refrigerators and freezers</t>
  </si>
  <si>
    <t>Household laundry equipment</t>
  </si>
  <si>
    <t>Electric housewares and fans</t>
  </si>
  <si>
    <t>Household vacuum cleaners</t>
  </si>
  <si>
    <t>Household appliances, nec</t>
  </si>
  <si>
    <t>Electric lamps</t>
  </si>
  <si>
    <t>Current-carrying wiring devices</t>
  </si>
  <si>
    <t>Noncurrent-carrying wiring devices</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</si>
  <si>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</si>
  <si>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</si>
  <si>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</si>
  <si>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</si>
  <si>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</si>
  <si>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</si>
  <si>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</si>
  <si>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t.v. communications equipment</t>
  </si>
  <si>
    <t>Communications equipment, nec</t>
  </si>
  <si>
    <t>Electron tubes</t>
  </si>
  <si>
    <t>Printed circuit boards</t>
  </si>
  <si>
    <t>Semiconductors and related devices</t>
  </si>
  <si>
    <t>Electronic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</si>
  <si>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</si>
  <si>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</si>
  <si>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</si>
  <si>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</si>
  <si>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</si>
  <si>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</si>
  <si>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</si>
  <si>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media</t>
  </si>
  <si>
    <t>Electrical equipment and supplies, nec</t>
  </si>
  <si>
    <t>Motor vehicles and car bodies</t>
  </si>
  <si>
    <t>Truck and bus bodies</t>
  </si>
  <si>
    <t>Motor vehicle parts and accessories</t>
  </si>
  <si>
    <t>Truck trailers</t>
  </si>
  <si>
    <t>Motor homes</t>
  </si>
  <si>
    <t>Aircraft</t>
  </si>
  <si>
    <t>Aircraft engines and engine parts</t>
  </si>
  <si>
    <t>Aircraft parts and equipment, nec</t>
  </si>
  <si>
    <t>Shipbuilding and repairing</t>
  </si>
  <si>
    <t>Boatbuilding and repairing</t>
  </si>
  <si>
    <t>Railroad equipment</t>
  </si>
  <si>
    <t>Motorcycles,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</si>
  <si>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</si>
  <si>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</si>
  <si>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</si>
  <si>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</si>
  <si>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</si>
  <si>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</si>
  <si>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</si>
  <si>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</si>
  <si>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</si>
  <si>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</si>
  <si>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</si>
  <si>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</si>
  <si>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</si>
  <si>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</si>
  <si>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and controlling devices, nec</t>
  </si>
  <si>
    <t>Surgical and medical instruments</t>
  </si>
  <si>
    <t>Surgical appliances and supplies</t>
  </si>
  <si>
    <t>Dental equipment and supplies</t>
  </si>
  <si>
    <t>X-ray apparatus and tubes</t>
  </si>
  <si>
    <t>Electromedical equipment</t>
  </si>
  <si>
    <t>Ophthalmic goods</t>
  </si>
  <si>
    <t>Photographic equipment and supplies</t>
  </si>
  <si>
    <t>Watches, clocks, watchcases, and parts</t>
  </si>
  <si>
    <t>Jewelry, precious metal</t>
  </si>
  <si>
    <t>Silverware and plated ware</t>
  </si>
  <si>
    <t>Jewelers' materials and lapidary work</t>
  </si>
  <si>
    <t>Musical instruments</t>
  </si>
  <si>
    <t>Dolls and stuffed toys</t>
  </si>
  <si>
    <t>Games, toys, and children's vehicles</t>
  </si>
  <si>
    <t>Sporting and athletic goods, nec</t>
  </si>
  <si>
    <t>Pens and mechanical pencils</t>
  </si>
  <si>
    <t>Lead pencils and art goods</t>
  </si>
  <si>
    <t>Marking devices</t>
  </si>
  <si>
    <t>Carbon paper and inked ribbons</t>
  </si>
  <si>
    <t>Costume jewelry</t>
  </si>
  <si>
    <t>Fasteners, buttons, needles, and pins</t>
  </si>
  <si>
    <t>Brooms and brushes</t>
  </si>
  <si>
    <t>Signs and advertising specialties</t>
  </si>
  <si>
    <t>Burial caskets</t>
  </si>
  <si>
    <t>Hard surface floor coverings, nec</t>
  </si>
  <si>
    <t>Manufacturing industries, nec</t>
  </si>
  <si>
    <t>Railroads, line-haul operating</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</si>
  <si>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</si>
  <si>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</si>
  <si>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</si>
  <si>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</si>
  <si>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</si>
  <si>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</si>
  <si>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</si>
  <si>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</si>
  <si>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terminal and service facilities</t>
  </si>
  <si>
    <t>Local trucking, without storage</t>
  </si>
  <si>
    <t>Trucking, except local</t>
  </si>
  <si>
    <t>Local trucking with storage</t>
  </si>
  <si>
    <t>Courier services, except by air</t>
  </si>
  <si>
    <t>Farm product warehousing and storage</t>
  </si>
  <si>
    <t>Refrigerated warehousing and storage</t>
  </si>
  <si>
    <t>General warehousing and storage</t>
  </si>
  <si>
    <t>Special warehousing and storage, nec</t>
  </si>
  <si>
    <t>Trucking terminal facilities</t>
  </si>
  <si>
    <t>U.S. Postal Service</t>
  </si>
  <si>
    <t>Deep sea foreign transportation of freight</t>
  </si>
  <si>
    <t>Deep sea domestic transportation of freight</t>
  </si>
  <si>
    <t>Freight transportation on the great lakes</t>
  </si>
  <si>
    <t>Water transportation of freight</t>
  </si>
  <si>
    <t>Deep sea passenger transportation, except ferry</t>
  </si>
  <si>
    <t>Ferries</t>
  </si>
  <si>
    <t>Water passenger transportation</t>
  </si>
  <si>
    <t>Marine cargo handling</t>
  </si>
  <si>
    <t>Towing and tugboat service</t>
  </si>
  <si>
    <t>Water transportation services, nec</t>
  </si>
  <si>
    <t>Air transportation, scheduled</t>
  </si>
  <si>
    <t>Air courier services</t>
  </si>
  <si>
    <t>Air transportation, nonscheduled</t>
  </si>
  <si>
    <t>Airports, flying fields, and services</t>
  </si>
  <si>
    <t>Crude petroleum pipelines</t>
  </si>
  <si>
    <t>Refined petroleum pipelines</t>
  </si>
  <si>
    <t>Pipelines, nec</t>
  </si>
  <si>
    <t>Travel agencies</t>
  </si>
  <si>
    <t>Tour operators</t>
  </si>
  <si>
    <t>Passenger transportation arrangement</t>
  </si>
  <si>
    <t>Freight transportation arrangement</t>
  </si>
  <si>
    <t>Rental of railroad cars</t>
  </si>
  <si>
    <t>Packing and crating</t>
  </si>
  <si>
    <t>Inspection and fixed facilities</t>
  </si>
  <si>
    <t>Transportation services, nec</t>
  </si>
  <si>
    <t>Radiotelephone communication</t>
  </si>
  <si>
    <t>Telephone communication, except radio</t>
  </si>
  <si>
    <t>Telegraph and other communications</t>
  </si>
  <si>
    <t>Radio broadcasting stations</t>
  </si>
  <si>
    <t>Television broadcasting stations</t>
  </si>
  <si>
    <t>Cable and other pay television services</t>
  </si>
  <si>
    <t>Communication services, nec</t>
  </si>
  <si>
    <t>Electric services</t>
  </si>
  <si>
    <t>Natural gas transmission</t>
  </si>
  <si>
    <t>Gas transmission and distribution</t>
  </si>
  <si>
    <t>Natural gas distribution</t>
  </si>
  <si>
    <t>Gas production and/or distribution</t>
  </si>
  <si>
    <t>Electric and other services combined</t>
  </si>
  <si>
    <t>Gas and other services combined</t>
  </si>
  <si>
    <t>Combination utilities, nec</t>
  </si>
  <si>
    <t>Water supply</t>
  </si>
  <si>
    <t>Sewerage systems</t>
  </si>
  <si>
    <t>Refuse systems</t>
  </si>
  <si>
    <t>Sanitary services, nec</t>
  </si>
  <si>
    <t>Steam and air-conditioning supply</t>
  </si>
  <si>
    <t>Irrigation systems</t>
  </si>
  <si>
    <t>Automobiles and other motor vehicles</t>
  </si>
  <si>
    <t>Motor vehicle supplies and new parts</t>
  </si>
  <si>
    <t>Tires and tubes</t>
  </si>
  <si>
    <t>Motor vehicle parts, used</t>
  </si>
  <si>
    <t>Furniture</t>
  </si>
  <si>
    <t>Homefurnishings</t>
  </si>
  <si>
    <t>Lumber, plywood, and millwork</t>
  </si>
  <si>
    <t>Brick, stone, and related material</t>
  </si>
  <si>
    <t>Roofing, siding, and insulation</t>
  </si>
  <si>
    <t>Construction materials, nec</t>
  </si>
  <si>
    <t>Office equipment</t>
  </si>
  <si>
    <t>Computers, peripherals, and software</t>
  </si>
  <si>
    <t>Commercial equipment, nec</t>
  </si>
  <si>
    <t>Medical and hospital equipment</t>
  </si>
  <si>
    <t>Professional equipment, nec</t>
  </si>
  <si>
    <t>Metals service centers and offices</t>
  </si>
  <si>
    <t>Coal and other minerals and ores</t>
  </si>
  <si>
    <t>Electrical apparatus and equipment</t>
  </si>
  <si>
    <t>Electrical appliances, television and radio</t>
  </si>
  <si>
    <t>Electronic parts and equipment, nec</t>
  </si>
  <si>
    <t>Hardware</t>
  </si>
  <si>
    <t>Plumbing and hydronic heating supplies</t>
  </si>
  <si>
    <t>Warm air heating and air conditioning</t>
  </si>
  <si>
    <t>Refrigeration equipment and supplies</t>
  </si>
  <si>
    <t>Construction and mining machinery</t>
  </si>
  <si>
    <t>Farm and garden machinery</t>
  </si>
  <si>
    <t>Industrial machinery and equipment</t>
  </si>
  <si>
    <t>Industrial supplies</t>
  </si>
  <si>
    <t>Service establishment equipment</t>
  </si>
  <si>
    <t>Transportation equipment and supplies</t>
  </si>
  <si>
    <t>Sporting and recreation goods</t>
  </si>
  <si>
    <t>Toys and hobby goods and supplies</t>
  </si>
  <si>
    <t>Scrap and waste materials</t>
  </si>
  <si>
    <t>Jewelry and precious stones</t>
  </si>
  <si>
    <t>Durable goods, nec</t>
  </si>
  <si>
    <t>Printing and writing paper</t>
  </si>
  <si>
    <t>Stationery and office supplies</t>
  </si>
  <si>
    <t>Industrial and personal service paper</t>
  </si>
  <si>
    <t>Drugs, proprietaries, and sundries</t>
  </si>
  <si>
    <t>Piece goods and notions</t>
  </si>
  <si>
    <t>Men's and boy's clothing</t>
  </si>
  <si>
    <t>Women's and children's clothing</t>
  </si>
  <si>
    <t>Footwear</t>
  </si>
  <si>
    <t>Groceries, general line</t>
  </si>
  <si>
    <t>Packaged frozen goods</t>
  </si>
  <si>
    <t>Dairy products, except dried or canned</t>
  </si>
  <si>
    <t>Poultry and poultry products</t>
  </si>
  <si>
    <t>Confectionery</t>
  </si>
  <si>
    <t>Fish and seafoods</t>
  </si>
  <si>
    <t>Meats and meat products</t>
  </si>
  <si>
    <t>Fresh fruits and vegetables</t>
  </si>
  <si>
    <t>Groceries and related products, nec</t>
  </si>
  <si>
    <t>Grain and field beans</t>
  </si>
  <si>
    <t>Livestock</t>
  </si>
  <si>
    <t>Farm-product raw materials, nec</t>
  </si>
  <si>
    <t>Plastics materials and basic shapes</t>
  </si>
  <si>
    <t>Chemicals and allied products, nec</t>
  </si>
  <si>
    <t>Petroleum bulk stations and terminals</t>
  </si>
  <si>
    <t>Petroleum products, nec</t>
  </si>
  <si>
    <t>Beer and ale</t>
  </si>
  <si>
    <t>Wine and distilled beverages</t>
  </si>
  <si>
    <t>Farm supplies</t>
  </si>
  <si>
    <t>Books, periodicals, and newspapers</t>
  </si>
  <si>
    <t>Flowers and florists supplies</t>
  </si>
  <si>
    <t>Tobacco and tobacco products</t>
  </si>
  <si>
    <t>Paints, varnishes, and supplies</t>
  </si>
  <si>
    <t>Nondurable goods, nec</t>
  </si>
  <si>
    <t>Lumber and other building materials</t>
  </si>
  <si>
    <t>Paint, glass, and wallpaper stores</t>
  </si>
  <si>
    <t>Hardware stores</t>
  </si>
  <si>
    <t>Retail nurseries and garden stores</t>
  </si>
  <si>
    <t>Mobile home dealers</t>
  </si>
  <si>
    <t>Department stores</t>
  </si>
  <si>
    <t>Variety stores</t>
  </si>
  <si>
    <t>Miscellaneous general merchandise</t>
  </si>
  <si>
    <t>Grocery stores</t>
  </si>
  <si>
    <t>Meat and fish markets</t>
  </si>
  <si>
    <t>Fruit and vegetable markets</t>
  </si>
  <si>
    <t>Candy, nut, and confectionery stores</t>
  </si>
  <si>
    <t>Dairy products stores</t>
  </si>
  <si>
    <t>Retail bakeries</t>
  </si>
  <si>
    <t>Miscellaneous food stores</t>
  </si>
  <si>
    <t>New and used car dealers</t>
  </si>
  <si>
    <t>Used car dealers</t>
  </si>
  <si>
    <t>Auto and home supply stores</t>
  </si>
  <si>
    <t>Gasoline service stations</t>
  </si>
  <si>
    <t>Boat dealers</t>
  </si>
  <si>
    <t>Recreational vehicle dealers</t>
  </si>
  <si>
    <t>Motorcycle dealers</t>
  </si>
  <si>
    <t>Automotive dealers, nec</t>
  </si>
  <si>
    <t>Men's and boys' clothing stores</t>
  </si>
  <si>
    <t>Women's clothing stores</t>
  </si>
  <si>
    <t>Women's accessory and specialty stores</t>
  </si>
  <si>
    <t>Children's and infants' wear stores</t>
  </si>
  <si>
    <t>Family clothing stores</t>
  </si>
  <si>
    <t>Shoe stores</t>
  </si>
  <si>
    <t>Miscellaneous apparel and accessories</t>
  </si>
  <si>
    <t>Furniture stores</t>
  </si>
  <si>
    <t>Floor covering stores</t>
  </si>
  <si>
    <t>Drapery and upholstery stores</t>
  </si>
  <si>
    <t>Miscellaneous homefurnishings</t>
  </si>
  <si>
    <t>Household appliance stores</t>
  </si>
  <si>
    <t>Radio, television, and electronic stores</t>
  </si>
  <si>
    <t>Computer and software stores</t>
  </si>
  <si>
    <t>Record and prerecorded tape stores</t>
  </si>
  <si>
    <t>Musical instrument stores</t>
  </si>
  <si>
    <t>Eating places</t>
  </si>
  <si>
    <t>Drinking places</t>
  </si>
  <si>
    <t>Drug stores and proprietary stores</t>
  </si>
  <si>
    <t>Liquor stores</t>
  </si>
  <si>
    <t>Used merchandise stores</t>
  </si>
  <si>
    <t>Sporting goods and bicycle shops</t>
  </si>
  <si>
    <t>Book stores</t>
  </si>
  <si>
    <t>Stationery stores</t>
  </si>
  <si>
    <t>Jewelry stores</t>
  </si>
  <si>
    <t>Hobby, toy, and game shops</t>
  </si>
  <si>
    <t>Camera and photographic supply stores</t>
  </si>
  <si>
    <t>Gift, novelty, and souvenir shop</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</si>
  <si>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</si>
  <si>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</si>
  <si>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</si>
  <si>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</si>
  <si>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</si>
  <si>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</si>
  <si>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</si>
  <si>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</si>
  <si>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</si>
  <si>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</si>
  <si>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</si>
  <si>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</si>
  <si>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Miscellaneous retail stores, nec</t>
  </si>
  <si>
    <t>Federal reserve banks</t>
  </si>
  <si>
    <t>Central reserve depository, nec</t>
  </si>
  <si>
    <t>National commercial banks</t>
  </si>
  <si>
    <t>State commercial banks</t>
  </si>
  <si>
    <t>Commercial banks, nec</t>
  </si>
  <si>
    <t>Federal savings institutions</t>
  </si>
  <si>
    <t>Savings institutions, except federal</t>
  </si>
  <si>
    <t>Federal credit unions</t>
  </si>
  <si>
    <t>State credit unions</t>
  </si>
  <si>
    <t>Foreign bank and branches and agencies</t>
  </si>
  <si>
    <t>Foreign trade and international banks</t>
  </si>
  <si>
    <t>Nondeposit trust facilities</t>
  </si>
  <si>
    <t>Functions related to depository banking</t>
  </si>
  <si>
    <t>Federal and federally sponsored credit</t>
  </si>
  <si>
    <t>Personal credit institutions</t>
  </si>
  <si>
    <t>Short-term business credit</t>
  </si>
  <si>
    <t>Miscellaneous business credit</t>
  </si>
  <si>
    <t>Mortgage bankers and correspondents</t>
  </si>
  <si>
    <t>Loan brokers</t>
  </si>
  <si>
    <t>Security brokers and dealers</t>
  </si>
  <si>
    <t>Commodity contracts brokers, dealers</t>
  </si>
  <si>
    <t>Security and commodity exchanges</t>
  </si>
  <si>
    <t>Investment advice</t>
  </si>
  <si>
    <t>Security and commodity service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</si>
  <si>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</si>
  <si>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</si>
  <si>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</si>
  <si>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</si>
  <si>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</si>
  <si>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</si>
  <si>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</si>
  <si>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</si>
  <si>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service</t>
  </si>
  <si>
    <t>Nonresidential building operators</t>
  </si>
  <si>
    <t>Apartment building operators</t>
  </si>
  <si>
    <t>Dwelling operators, except apartments</t>
  </si>
  <si>
    <t>Mobile home site operators</t>
  </si>
  <si>
    <t>Railroad property lessors</t>
  </si>
  <si>
    <t>Real property lessors, nec</t>
  </si>
  <si>
    <t>Real estate agents and managers</t>
  </si>
  <si>
    <t>Title abstract offices</t>
  </si>
  <si>
    <t>Subdividers and developers, nec</t>
  </si>
  <si>
    <t>Cemetery subdividers and developers</t>
  </si>
  <si>
    <t>Bank holding companies</t>
  </si>
  <si>
    <t>Holding companies, nec</t>
  </si>
  <si>
    <t>Management investment, open-ended</t>
  </si>
  <si>
    <t>Investment offices, nec</t>
  </si>
  <si>
    <t>Trusts: educational, religious, etc.</t>
  </si>
  <si>
    <t>Trusts, nec</t>
  </si>
  <si>
    <t>Oil royalty traders</t>
  </si>
  <si>
    <t>Patent owners and lessors</t>
  </si>
  <si>
    <t>Real estate investment trusts</t>
  </si>
  <si>
    <t>Investors, nec</t>
  </si>
  <si>
    <t>Hotels and motels</t>
  </si>
  <si>
    <t>Rooming and boarding houses</t>
  </si>
  <si>
    <t>Sporting and recreational camps</t>
  </si>
  <si>
    <t>Trailer parks and campsites</t>
  </si>
  <si>
    <t>Membership-basis organization hotels</t>
  </si>
  <si>
    <t>Power laundries, family and commercial</t>
  </si>
  <si>
    <t>Garment pressing and cleaners' agents</t>
  </si>
  <si>
    <t>Linen supply</t>
  </si>
  <si>
    <t>Coin-operated laundries and cleaning</t>
  </si>
  <si>
    <t>Drycleaning plants, except rugs</t>
  </si>
  <si>
    <t>Carpet and upholstery cleaning</t>
  </si>
  <si>
    <t>Industrial launderers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</si>
  <si>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</si>
  <si>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</si>
  <si>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</si>
  <si>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</si>
  <si>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</si>
  <si>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</si>
  <si>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</si>
  <si>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t>
  </si>
  <si>
    <t>Advertising agencies</t>
  </si>
  <si>
    <t>Outdoor advertising services</t>
  </si>
  <si>
    <t>Radio, television, publisher representatives</t>
  </si>
  <si>
    <t>Advertising, nec</t>
  </si>
  <si>
    <t>Adjustment and collection services</t>
  </si>
  <si>
    <t>Credit reporting services</t>
  </si>
  <si>
    <t>Direct mail advertising services</t>
  </si>
  <si>
    <t>Photocopying and duplicating services</t>
  </si>
  <si>
    <t>Commercial photography</t>
  </si>
  <si>
    <t>Commercial art and graphic design</t>
  </si>
  <si>
    <t>Secretarial and court reporting</t>
  </si>
  <si>
    <t>Disinfecting and pest control services</t>
  </si>
  <si>
    <t>Building maintenance services, nec</t>
  </si>
  <si>
    <t>Medical equipment rental</t>
  </si>
  <si>
    <t>Heavy construction equipment rental</t>
  </si>
  <si>
    <t>Equipment rental and leasing, nec</t>
  </si>
  <si>
    <t>Employment agencies</t>
  </si>
  <si>
    <t>Help supply services</t>
  </si>
  <si>
    <t>Custom 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</si>
  <si>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</si>
  <si>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</si>
  <si>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</si>
  <si>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</si>
  <si>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</si>
  <si>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</si>
  <si>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</si>
  <si>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</si>
  <si>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</si>
  <si>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</si>
  <si>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</si>
  <si>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 laboratories</t>
  </si>
  <si>
    <t>Business services, nec</t>
  </si>
  <si>
    <t>Truck rental and leasing, without drivers</t>
  </si>
  <si>
    <t>Passenger car rental</t>
  </si>
  <si>
    <t>Passenger car leasing</t>
  </si>
  <si>
    <t>Utility trailer rental</t>
  </si>
  <si>
    <t>Automobile parking</t>
  </si>
  <si>
    <t>Top and body repair and paint shops</t>
  </si>
  <si>
    <t>Auto exhaust system repair shops</t>
  </si>
  <si>
    <t>Tire retreading and repair shops</t>
  </si>
  <si>
    <t>Automotive glass replacement shops</t>
  </si>
  <si>
    <t>Automotive transmission repair shops</t>
  </si>
  <si>
    <t>General automotive repair shops</t>
  </si>
  <si>
    <t>Automotive repair shops, nec</t>
  </si>
  <si>
    <t>Carwashes</t>
  </si>
  <si>
    <t>Automotive services, nec</t>
  </si>
  <si>
    <t>Radio and television repair</t>
  </si>
  <si>
    <t>Refrigeration service and repair</t>
  </si>
  <si>
    <t>Electrical repair shops</t>
  </si>
  <si>
    <t>Watch, clock, and jewelry repair</t>
  </si>
  <si>
    <t>Reupholstery and furniture repair</t>
  </si>
  <si>
    <t>Welding repair</t>
  </si>
  <si>
    <t>Armature rewinding shops</t>
  </si>
  <si>
    <t>Repair services, nec</t>
  </si>
  <si>
    <t>Motion picture and video production</t>
  </si>
  <si>
    <t>Services allied to motion pictures</t>
  </si>
  <si>
    <t>Motion picture and tape distribution</t>
  </si>
  <si>
    <t>Motion picture distribution services</t>
  </si>
  <si>
    <t>Motion picture theaters, except drive-in</t>
  </si>
  <si>
    <t>Drive-in motion picture theaters</t>
  </si>
  <si>
    <t>Video tape rental</t>
  </si>
  <si>
    <t>Dance studios, schools, and halls</t>
  </si>
  <si>
    <t>Theatrical producers and services</t>
  </si>
  <si>
    <t>Entertainers and entertainment groups</t>
  </si>
  <si>
    <t>Bowling centers</t>
  </si>
  <si>
    <t>Sports clubs, managers, and promoters</t>
  </si>
  <si>
    <t>Racing, including track operation</t>
  </si>
  <si>
    <t>Physical fitness facilities</t>
  </si>
  <si>
    <t>Public golf courses</t>
  </si>
  <si>
    <t>Coin-operated amusement devices</t>
  </si>
  <si>
    <t>Amusement parks</t>
  </si>
  <si>
    <t>Membership sports and recreation clubs</t>
  </si>
  <si>
    <t>Amusement and recreation, nec</t>
  </si>
  <si>
    <t>Offices and clinics of medical doctors</t>
  </si>
  <si>
    <t>Offices and clinics of dentists</t>
  </si>
  <si>
    <t>Offices and clinics of osteopathic physicians</t>
  </si>
  <si>
    <t>Offices and clinics of chiropractors</t>
  </si>
  <si>
    <t>Offices and clinics of optometrists</t>
  </si>
  <si>
    <t>Offices and clinics of podiatrists</t>
  </si>
  <si>
    <t>Offices of health practitioner</t>
  </si>
  <si>
    <t>Skilled nursing care facilities</t>
  </si>
  <si>
    <t>Intermediate care facilities</t>
  </si>
  <si>
    <t>Nursing and personal care, nec</t>
  </si>
  <si>
    <t>General medical and surgical hospitals</t>
  </si>
  <si>
    <t>Psychiatric hospitals</t>
  </si>
  <si>
    <t>Specialty hospitals, except psychiatric</t>
  </si>
  <si>
    <t>Medical laboratories</t>
  </si>
  <si>
    <t>Dental laboratories</t>
  </si>
  <si>
    <t>Home health care services</t>
  </si>
  <si>
    <t>Kidney dialysis centers</t>
  </si>
  <si>
    <t>Specialty outpatient clinics, nec</t>
  </si>
  <si>
    <t>Health and allied services, nec</t>
  </si>
  <si>
    <t>Legal services</t>
  </si>
  <si>
    <t>Elementary and secondary schools</t>
  </si>
  <si>
    <t>Colleges and universities</t>
  </si>
  <si>
    <t>Junior colleges</t>
  </si>
  <si>
    <t>Libraries</t>
  </si>
  <si>
    <t>Data processing schools</t>
  </si>
  <si>
    <t>Business and secretarial schools</t>
  </si>
  <si>
    <t>Vocational schools, nec</t>
  </si>
  <si>
    <t>Schools and educational services</t>
  </si>
  <si>
    <t>Individual and family services</t>
  </si>
  <si>
    <t>Job training and related services</t>
  </si>
  <si>
    <t>Child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</si>
  <si>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</si>
  <si>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</si>
  <si>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</si>
  <si>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</si>
  <si>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</si>
  <si>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</si>
  <si>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</si>
  <si>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</si>
  <si>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</si>
  <si>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</si>
  <si>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</si>
  <si>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</si>
  <si>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</si>
  <si>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</si>
  <si>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bookkeeping</t>
  </si>
  <si>
    <t>Commercial physical research</t>
  </si>
  <si>
    <t>Commercial nonphysical research</t>
  </si>
  <si>
    <t>Noncommercial research organizations</t>
  </si>
  <si>
    <t>Testing laboratories</t>
  </si>
  <si>
    <t>Management services</t>
  </si>
  <si>
    <t>Management consulting services</t>
  </si>
  <si>
    <t>Public relations services</t>
  </si>
  <si>
    <t>Facilities support services</t>
  </si>
  <si>
    <t>Business consulting, nec</t>
  </si>
  <si>
    <t>Private households</t>
  </si>
  <si>
    <t>Services, nec</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</si>
  <si>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</si>
  <si>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</si>
  <si>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</si>
  <si>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</si>
  <si>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</si>
  <si>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</si>
  <si>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</si>
  <si>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</si>
  <si>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</si>
  <si>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</si>
  <si>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policy</t>
  </si>
  <si>
    <t>Administration of educational programs</t>
  </si>
  <si>
    <t>Administration of public health programs</t>
  </si>
  <si>
    <t>Administration of social and manpower programs</t>
  </si>
  <si>
    <t>Administration of veterans' affairs</t>
  </si>
  <si>
    <t>Air, water, and solid waste management</t>
  </si>
  <si>
    <t>Land, mineral, and wildlife conservation</t>
  </si>
  <si>
    <t>Housing programs</t>
  </si>
  <si>
    <t>Urban and community development</t>
  </si>
  <si>
    <t>Administration of general economic programs</t>
  </si>
  <si>
    <t>Regulation, administration of transportation</t>
  </si>
  <si>
    <t>Regulation, administration of utilities</t>
  </si>
  <si>
    <t>Regulation of agricultural marketing</t>
  </si>
  <si>
    <t>Regulation, miscellaneous commercial sectors</t>
  </si>
  <si>
    <t>Space research and technology</t>
  </si>
  <si>
    <t>National security</t>
  </si>
  <si>
    <t>International affairs</t>
  </si>
  <si>
    <t>Nonclassifiable establishments</t>
  </si>
  <si>
    <t>WELCOME TO AI.SIGHT</t>
  </si>
  <si>
    <t>The Excel file contains sheets (with header information) as follow</t>
  </si>
  <si>
    <t>4. Income Statement - Obtained from CAT spreadsheet file</t>
  </si>
  <si>
    <t>5. Balance Sheet - Obtained from CAT spreadsheet file</t>
  </si>
  <si>
    <t>6. Calculated CF - Obtained from CAT spreadsheet file</t>
  </si>
  <si>
    <t>8. Summary - Generated summary using information from sheet 1 - sheet 7 (To be filled in Account Background)</t>
  </si>
  <si>
    <t>Toggle between sheets by clicking on the tabs to view the respective data</t>
  </si>
  <si>
    <t>1. Bill Statement -  Deal No., Item No., Currency, Outstanding Balance, Trans. Date, Expiry Date</t>
  </si>
  <si>
    <t>2. Loan Repayment Schedule - Due Date, Repayment Amount, Principal Payment, Interest Payment, Outstanding Balance</t>
  </si>
  <si>
    <t>3. Bank Statement - Date, Debit, Credit, Balance, Info, Payer, Payee</t>
  </si>
  <si>
    <t>7. User Metric - Contain relevant calculation from data above</t>
  </si>
  <si>
    <t>Scroll down to view more description on calculation method of user metrics and other features in the excel</t>
  </si>
  <si>
    <t>ACCOUNT BACKGROUND (For your designated usage)</t>
  </si>
  <si>
    <t>Please fill in the blanks accordingly via the dropdown options</t>
  </si>
  <si>
    <t>(The inputs will be used within the sentences on the left)</t>
  </si>
  <si>
    <t>Type of client</t>
  </si>
  <si>
    <t>Select from drop-down</t>
  </si>
  <si>
    <t>Type of business (SIC)</t>
  </si>
  <si>
    <t xml:space="preserve">Such figure could serve as an estimate for annual sales of subject borrower. </t>
  </si>
  <si>
    <t>Type of business (NAICS)</t>
  </si>
  <si>
    <t>Number of Installment Loans</t>
  </si>
  <si>
    <t>Fill in here</t>
  </si>
  <si>
    <t>Payment Status</t>
  </si>
  <si>
    <t>Operating Account</t>
  </si>
  <si>
    <t>Liquidity Level</t>
  </si>
  <si>
    <t>Negative TU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</si>
</sst>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8" x14ac:knownFonts="1">
    <font>
      <sz val="10"/>
      <color theme="1"/>
      <name val="Arial"/>
      <family val="2"/>
    </font>
    <font>
      <sz val="14"/>
      <color indexed="8"/>
      <name val="Arial"/>
      <family val="2"/>
    </font>
    <font>
      <b/>
      <sz val="14"/>
      <color indexed="8"/>
      <name val="Arial"/>
      <family val="2"/>
    </font>
    <font>
      <b/>
      <sz val="12"/>
      <color indexed="8"/>
      <name val="Arial"/>
      <family val="2"/>
    </font>
    <font>
      <b/>
      <sz val="10"/>
      <color indexed="8"/>
      <name val="Arial"/>
      <family val="2"/>
    </font>
    <font>
      <b/>
      <sz val="10"/>
      <name val="Arial"/>
      <family val="2"/>
    </font>
    <font>
      <b/>
      <sz val="14"/>
      <name val="Arial"/>
      <family val="2"/>
    </font>
    <font>
      <vertAlign val="superscript"/>
      <sz val="10"/>
      <color indexed="8"/>
      <name val="Arial"/>
      <family val="2"/>
    </font>
    <font>
      <b/>
      <vertAlign val="superscript"/>
      <sz val="14"/>
      <color indexed="8"/>
      <name val="Arial"/>
      <family val="2"/>
    </font>
    <font>
      <b/>
      <vertAlign val="superscript"/>
      <sz val="10"/>
      <color indexed="8"/>
      <name val="Arial"/>
      <family val="2"/>
    </font>
    <font>
      <b/>
      <vertAlign val="superscript"/>
      <sz val="12"/>
      <color indexed="8"/>
      <name val="Arial"/>
      <family val="2"/>
    </font>
    <font>
      <b/>
      <sz val="12"/>
      <color theme="1"/>
      <name val="Arial"/>
      <family val="2"/>
    </font>
    <font>
      <b/>
      <sz val="10"/>
      <color theme="1"/>
      <name val="Arial"/>
      <family val="2"/>
    </font>
    <font>
      <b/>
      <sz val="14"/>
      <color theme="1"/>
      <name val="Arial"/>
      <family val="2"/>
    </font>
    <font>
      <b/>
      <sz val="11"/>
      <color theme="1"/>
      <name val="Arial"/>
      <family val="2"/>
    </font>
    <font>
      <b/>
      <sz val="18"/>
      <color theme="1"/>
      <name val="Arial"/>
      <family val="2"/>
    </font>
    <font>
      <sz val="10"/>
      <name val="Arial"/>
      <family val="2"/>
    </font>
    <font>
      <sz val="10"/>
      <name val="Helv"/>
    </font>
    <font>
      <sz val="11"/>
      <color theme="0"/>
      <name val="Segoe UI"/>
      <family val="2"/>
    </font>
    <font>
      <sz val="24"/>
      <color theme="0"/>
      <name val="Segoe UI"/>
      <family val="2"/>
    </font>
    <font>
      <sz val="11"/>
      <color theme="0"/>
      <name val="Segoe UI Light"/>
      <family val="2"/>
    </font>
    <font>
      <sz val="11"/>
      <color theme="1"/>
      <name val="Segoe UI"/>
      <family val="2"/>
    </font>
    <font>
      <u/>
      <sz val="10"/>
      <color theme="10"/>
      <name val="Arial"/>
      <family val="2"/>
    </font>
    <font>
      <sz val="10"/>
      <color rgb="FF92D050"/>
      <name val="Arial"/>
      <family val="2"/>
    </font>
    <font>
      <sz val="11"/>
      <color rgb="FFFFFFFF"/>
      <name val="Segoe UI"/>
      <family val="2"/>
    </font>
    <font>
      <sz val="11"/>
      <color rgb="FF757171"/>
      <name val="Segoe UI"/>
      <family val="2"/>
    </font>
    <font>
      <b/>
      <u/>
      <sz val="14"/>
      <color rgb="FFFFFFFF"/>
      <name val="Segoe UI"/>
      <family val="2"/>
    </font>
    <font>
      <sz val="11"/>
      <name val="Segoe UI"/>
      <family val="2"/>
    </font>
  </fonts>
  <fills count="10">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757171"/>
        <bgColor rgb="FF757171"/>
      </patternFill>
    </fill>
    <fill>
      <patternFill patternType="solid">
        <fgColor rgb="FFD0CECE"/>
        <bgColor rgb="FFD0CECE"/>
      </patternFill>
    </fill>
    <fill>
      <patternFill patternType="solid">
        <fgColor theme="0"/>
        <bgColor rgb="FF757171"/>
      </patternFill>
    </fill>
    <fill>
      <patternFill patternType="solid">
        <fgColor rgb="FF757171"/>
        <bgColor indexed="64"/>
      </patternFill>
    </fill>
    <fill>
      <patternFill patternType="solid">
        <fgColor rgb="FFD0CECE"/>
        <bgColor indexed="64"/>
      </patternFill>
    </fill>
    <fill>
      <patternFill patternType="solid">
        <fgColor rgb="FFD0CECE"/>
        <bgColor rgb="FF757171"/>
      </patternFill>
    </fill>
  </fills>
  <borders count="22">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auto="1"/>
      </top>
      <bottom/>
      <diagonal/>
    </border>
    <border>
      <left style="medium">
        <color indexed="64"/>
      </left>
      <right/>
      <top style="medium">
        <color indexed="64"/>
      </top>
      <bottom/>
      <diagonal/>
    </border>
  </borders>
  <cellStyleXfs count="5">
    <xf numFmtId="0" fontId="0" fillId="0" borderId="0"/>
    <xf numFmtId="0" fontId="16" fillId="0" borderId="0"/>
    <xf numFmtId="0" fontId="16" fillId="0" borderId="0"/>
    <xf numFmtId="0" fontId="17" fillId="0" borderId="0"/>
    <xf numFmtId="0" fontId="22" fillId="0" borderId="0" applyNumberFormat="0" applyFill="0" applyBorder="0" applyAlignment="0" applyProtection="0"/>
  </cellStyleXfs>
  <cellXfs count="65">
    <xf numFmtId="0" fontId="0" fillId="0" borderId="0" xfId="0"/>
    <xf numFmtId="0" fontId="0" fillId="0" borderId="0" xfId="0" applyFont="1"/>
    <xf numFmtId="0" fontId="0" fillId="0" borderId="4" xfId="0" applyFont="1" applyBorder="1" applyAlignment="1">
      <alignment horizontal="left" vertical="top" wrapText="1"/>
    </xf>
    <xf numFmtId="0" fontId="0" fillId="0" borderId="0" xfId="0" applyFont="1" applyAlignment="1">
      <alignment horizontal="center"/>
    </xf>
    <xf numFmtId="0" fontId="0" fillId="0" borderId="0" xfId="0" applyFont="1" applyAlignment="1">
      <alignment horizontal="left"/>
    </xf>
    <xf numFmtId="0" fontId="11" fillId="0" borderId="4" xfId="0" applyFont="1" applyBorder="1" applyAlignment="1">
      <alignment horizontal="left" vertical="top" wrapText="1"/>
    </xf>
    <xf numFmtId="0" fontId="12" fillId="0" borderId="4" xfId="0" applyFont="1" applyBorder="1" applyAlignment="1">
      <alignment horizontal="left" vertical="top" wrapText="1"/>
    </xf>
    <xf numFmtId="0" fontId="5" fillId="2" borderId="4" xfId="0" applyFont="1" applyFill="1" applyBorder="1" applyAlignment="1">
      <alignment horizontal="left" vertical="top" wrapText="1"/>
    </xf>
    <xf numFmtId="0" fontId="0" fillId="2" borderId="0" xfId="0" applyFont="1" applyFill="1"/>
    <xf numFmtId="0" fontId="13" fillId="0" borderId="5" xfId="0" applyFont="1" applyBorder="1" applyAlignment="1">
      <alignment vertical="top" wrapText="1"/>
    </xf>
    <xf numFmtId="0" fontId="13" fillId="0" borderId="4" xfId="0" applyFont="1" applyBorder="1" applyAlignment="1">
      <alignment wrapText="1"/>
    </xf>
    <xf numFmtId="0" fontId="13" fillId="0" borderId="4" xfId="0" applyFont="1" applyBorder="1" applyAlignment="1">
      <alignment vertical="top" wrapText="1"/>
    </xf>
    <xf numFmtId="0" fontId="0" fillId="0" borderId="0" xfId="0" applyFont="1" applyAlignment="1">
      <alignment horizontal="left" vertical="top"/>
    </xf>
    <xf numFmtId="0" fontId="0" fillId="0" borderId="0" xfId="0" applyFont="1" applyAlignment="1">
      <alignment vertical="top"/>
    </xf>
    <xf numFmtId="0" fontId="13" fillId="0" borderId="4" xfId="0" applyFont="1" applyBorder="1" applyAlignment="1">
      <alignment horizontal="left" vertical="top" wrapText="1"/>
    </xf>
    <xf numFmtId="0" fontId="14" fillId="0" borderId="1" xfId="0" applyFont="1" applyBorder="1" applyAlignment="1">
      <alignment horizontal="center" vertical="top" wrapText="1"/>
    </xf>
    <xf numFmtId="0" fontId="14" fillId="0" borderId="2" xfId="0" applyFont="1" applyBorder="1" applyAlignment="1">
      <alignment horizontal="center" vertical="top" wrapText="1"/>
    </xf>
    <xf numFmtId="0" fontId="14" fillId="0" borderId="3" xfId="0" applyFont="1" applyBorder="1" applyAlignment="1">
      <alignment horizontal="center" vertical="top"/>
    </xf>
    <xf numFmtId="0" fontId="12" fillId="0" borderId="0" xfId="0" applyFont="1" applyAlignment="1">
      <alignment horizontal="center"/>
    </xf>
    <xf numFmtId="0" fontId="13" fillId="0" borderId="4" xfId="0" applyFont="1" applyBorder="1" applyAlignment="1">
      <alignment horizontal="center"/>
    </xf>
    <xf numFmtId="0" fontId="13" fillId="0" borderId="4" xfId="0" applyFont="1" applyBorder="1" applyAlignment="1">
      <alignment horizontal="left" wrapText="1"/>
    </xf>
    <xf numFmtId="0" fontId="6" fillId="0" borderId="4" xfId="0" applyFont="1" applyFill="1" applyBorder="1" applyAlignment="1">
      <alignment horizontal="center"/>
    </xf>
    <xf numFmtId="0" fontId="13" fillId="0" borderId="5" xfId="0" applyFont="1" applyBorder="1" applyAlignment="1">
      <alignment horizontal="left" vertical="top" wrapText="1"/>
    </xf>
    <xf numFmtId="0" fontId="0" fillId="0" borderId="4" xfId="0" applyBorder="1" applyAlignment="1">
      <alignment horizontal="left" vertical="top" wrapText="1"/>
    </xf>
    <xf numFmtId="0" fontId="13" fillId="2" borderId="4" xfId="0" applyFont="1" applyFill="1" applyBorder="1" applyAlignment="1">
      <alignment horizontal="center"/>
    </xf>
    <xf numFmtId="0" fontId="0" fillId="2" borderId="4" xfId="0" applyFont="1" applyFill="1" applyBorder="1" applyAlignment="1">
      <alignment horizontal="left" vertical="top" wrapText="1"/>
    </xf>
    <xf numFmtId="0" fontId="0" fillId="0" borderId="0" xfId="0" applyFont="1" applyBorder="1"/>
    <xf numFmtId="0" fontId="19" fillId="3" borderId="0" xfId="0" applyFont="1" applyFill="1" applyBorder="1"/>
    <xf numFmtId="0" fontId="0" fillId="3" borderId="0" xfId="0" applyFill="1" applyBorder="1"/>
    <xf numFmtId="0" fontId="18" fillId="3" borderId="0" xfId="0" applyFont="1" applyFill="1" applyBorder="1"/>
    <xf numFmtId="0" fontId="16" fillId="0" borderId="0" xfId="2"/>
    <xf numFmtId="0" fontId="5" fillId="0" borderId="0" xfId="2" applyFont="1" applyAlignment="1">
      <alignment horizontal="center"/>
    </xf>
    <xf numFmtId="0" fontId="16" fillId="0" borderId="0" xfId="2" applyFont="1"/>
    <xf numFmtId="164" fontId="5" fillId="0" borderId="0" xfId="2" applyNumberFormat="1" applyFont="1" applyAlignment="1">
      <alignment horizontal="left"/>
    </xf>
    <xf numFmtId="164" fontId="16" fillId="0" borderId="0" xfId="2" applyNumberFormat="1" applyFont="1" applyAlignment="1">
      <alignment horizontal="left"/>
    </xf>
    <xf numFmtId="0" fontId="18" fillId="3" borderId="0" xfId="0" applyFont="1" applyFill="1" applyBorder="1" applyAlignment="1"/>
    <xf numFmtId="0" fontId="20" fillId="3" borderId="0" xfId="0" applyFont="1" applyFill="1" applyBorder="1"/>
    <xf numFmtId="0" fontId="21" fillId="3" borderId="0" xfId="0" applyFont="1" applyFill="1" applyBorder="1"/>
    <xf numFmtId="0" fontId="20" fillId="3" borderId="0" xfId="4" quotePrefix="1" applyFont="1" applyFill="1" applyBorder="1"/>
    <xf numFmtId="0" fontId="20" fillId="3" borderId="0" xfId="4" applyFont="1" applyFill="1" applyBorder="1"/>
    <xf numFmtId="0" fontId="23" fillId="3" borderId="0" xfId="0" applyFont="1" applyFill="1" applyBorder="1" applyAlignment="1">
      <alignment horizontal="center"/>
    </xf>
    <xf numFmtId="0" fontId="24" fillId="4" borderId="0" xfId="0" applyFont="1" applyFill="1" applyAlignment="1">
      <alignment vertical="top" wrapText="1"/>
    </xf>
    <xf numFmtId="0" fontId="25" fillId="5" borderId="12" xfId="0" applyFont="1" applyFill="1" applyBorder="1" applyAlignment="1">
      <alignment vertical="top" wrapText="1"/>
    </xf>
    <xf numFmtId="0" fontId="0" fillId="0" borderId="0" xfId="0" applyAlignment="1">
      <alignment vertical="top" wrapText="1"/>
    </xf>
    <xf numFmtId="0" fontId="24" fillId="6" borderId="13" xfId="0" applyFont="1" applyFill="1" applyBorder="1" applyAlignment="1">
      <alignment vertical="top" wrapText="1"/>
    </xf>
    <xf numFmtId="0" fontId="27" fillId="6" borderId="14" xfId="0" applyFont="1" applyFill="1" applyBorder="1" applyAlignment="1">
      <alignment vertical="top" wrapText="1"/>
    </xf>
    <xf numFmtId="0" fontId="27" fillId="6" borderId="15" xfId="0" applyFont="1" applyFill="1" applyBorder="1" applyAlignment="1">
      <alignment vertical="top" wrapText="1"/>
    </xf>
    <xf numFmtId="0" fontId="27" fillId="6" borderId="16" xfId="0" applyFont="1" applyFill="1" applyBorder="1" applyAlignment="1">
      <alignment vertical="top" wrapText="1"/>
    </xf>
    <xf numFmtId="0" fontId="24" fillId="6" borderId="17" xfId="0" applyFont="1" applyFill="1" applyBorder="1" applyAlignment="1">
      <alignment vertical="top" wrapText="1"/>
    </xf>
    <xf numFmtId="0" fontId="27" fillId="6" borderId="18" xfId="0" applyFont="1" applyFill="1" applyBorder="1" applyAlignment="1">
      <alignment vertical="top" wrapText="1"/>
    </xf>
    <xf numFmtId="0" fontId="24" fillId="6" borderId="19" xfId="0" applyFont="1" applyFill="1" applyBorder="1" applyAlignment="1">
      <alignment vertical="top" wrapText="1"/>
    </xf>
    <xf numFmtId="0" fontId="27" fillId="6" borderId="20" xfId="0" applyFont="1" applyFill="1" applyBorder="1" applyAlignment="1">
      <alignment vertical="top" wrapText="1"/>
    </xf>
    <xf numFmtId="0" fontId="27" fillId="6" borderId="21" xfId="0" applyFont="1" applyFill="1" applyBorder="1" applyAlignment="1">
      <alignment vertical="top" wrapText="1"/>
    </xf>
    <xf numFmtId="0" fontId="0" fillId="7" borderId="0" xfId="0" applyFill="1" applyAlignment="1">
      <alignment vertical="top" wrapText="1"/>
    </xf>
    <xf numFmtId="0" fontId="25" fillId="5" borderId="0" xfId="0" applyFont="1" applyFill="1" applyAlignment="1">
      <alignment vertical="top" wrapText="1"/>
    </xf>
    <xf numFmtId="0" fontId="0" fillId="8" borderId="0" xfId="0" applyFill="1" applyAlignment="1">
      <alignment vertical="top" wrapText="1"/>
    </xf>
    <xf numFmtId="0" fontId="24" fillId="9" borderId="0" xfId="0" applyFont="1" applyFill="1" applyAlignment="1">
      <alignment vertical="top" wrapText="1"/>
    </xf>
    <xf numFmtId="0" fontId="27" fillId="6" borderId="0" xfId="0" applyFont="1" applyFill="1" applyBorder="1" applyAlignment="1">
      <alignment horizontal="left" vertical="top" wrapText="1"/>
    </xf>
    <xf numFmtId="0" fontId="26" fillId="4" borderId="14" xfId="0" applyFont="1" applyFill="1" applyBorder="1" applyAlignment="1">
      <alignment horizontal="left" vertical="top" wrapText="1"/>
    </xf>
    <xf numFmtId="0" fontId="15" fillId="0" borderId="6" xfId="0" applyFont="1" applyBorder="1" applyAlignment="1">
      <alignment horizontal="center" vertical="top"/>
    </xf>
    <xf numFmtId="0" fontId="15" fillId="0" borderId="7" xfId="0" applyFont="1" applyBorder="1" applyAlignment="1">
      <alignment vertical="top"/>
    </xf>
    <xf numFmtId="0" fontId="15" fillId="0" borderId="8" xfId="0" applyFont="1" applyBorder="1" applyAlignment="1">
      <alignment vertical="top"/>
    </xf>
    <xf numFmtId="0" fontId="0" fillId="0" borderId="9" xfId="0" applyBorder="1" applyAlignment="1">
      <alignment horizontal="left" vertical="top" wrapText="1"/>
    </xf>
    <xf numFmtId="0" fontId="0" fillId="0" borderId="10" xfId="0" applyBorder="1"/>
    <xf numFmtId="0" fontId="0" fillId="0" borderId="11" xfId="0" applyBorder="1"/>
  </cellXfs>
  <cellStyles count="5">
    <cellStyle name="Hyperlink" xfId="4" builtinId="8"/>
    <cellStyle name="Normal" xfId="0" builtinId="0"/>
    <cellStyle name="Normal 2" xfId="2" xr:uid="{00000000-0005-0000-0000-000030000000}"/>
    <cellStyle name="Normal 3" xfId="3" xr:uid="{00000000-0005-0000-0000-000031000000}"/>
    <cellStyle name="Normal 4" xfId="1" xr:uid="{00000000-0005-0000-0000-00002F000000}"/>
  </cellStyles>
  <dxfs count="4">
    <dxf>
      <font>
        <color auto="1"/>
      </font>
      <fill>
        <patternFill>
          <bgColor theme="0"/>
        </patternFill>
      </fill>
    </dxf>
    <dxf>
      <font>
        <b/>
        <i val="0"/>
        <color rgb="FFC00000"/>
      </font>
      <fill>
        <patternFill>
          <bgColor theme="0"/>
        </patternFill>
      </fill>
    </dxf>
    <dxf>
      <font>
        <b/>
        <i val="0"/>
        <color rgb="FFC00000"/>
      </font>
      <fill>
        <patternFill>
          <bgColor theme="0"/>
        </patternFill>
      </fill>
      <border>
        <left style="thin">
          <color auto="1"/>
        </left>
        <right style="thin">
          <color auto="1"/>
        </right>
        <top style="thin">
          <color auto="1"/>
        </top>
        <bottom style="thin">
          <color auto="1"/>
        </bottom>
      </border>
    </dxf>
    <dxf>
      <font>
        <color auto="1"/>
      </font>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1</xdr:colOff>
      <xdr:row>1</xdr:row>
      <xdr:rowOff>0</xdr:rowOff>
    </xdr:from>
    <xdr:to>
      <xdr:col>20</xdr:col>
      <xdr:colOff>17163</xdr:colOff>
      <xdr:row>19</xdr:row>
      <xdr:rowOff>6683</xdr:rowOff>
    </xdr:to>
    <xdr:sp macro="" textlink="">
      <xdr:nvSpPr>
        <xdr:cNvPr id="2" name="Background" descr="Background">
          <a:extLst>
            <a:ext uri="{FF2B5EF4-FFF2-40B4-BE49-F238E27FC236}">
              <a16:creationId xmlns:a16="http://schemas.microsoft.com/office/drawing/2014/main" id="{297F2311-13D9-4E08-B5F6-D67992D6E184}"/>
            </a:ext>
          </a:extLst>
        </xdr:cNvPr>
        <xdr:cNvSpPr/>
      </xdr:nvSpPr>
      <xdr:spPr>
        <a:xfrm>
          <a:off x="8115301" y="209550"/>
          <a:ext cx="3674762" cy="3803983"/>
        </a:xfrm>
        <a:prstGeom prst="rect">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xdr:from>
      <xdr:col>14</xdr:col>
      <xdr:colOff>126911</xdr:colOff>
      <xdr:row>1</xdr:row>
      <xdr:rowOff>114374</xdr:rowOff>
    </xdr:from>
    <xdr:to>
      <xdr:col>19</xdr:col>
      <xdr:colOff>461210</xdr:colOff>
      <xdr:row>2</xdr:row>
      <xdr:rowOff>142895</xdr:rowOff>
    </xdr:to>
    <xdr:sp macro="" textlink="">
      <xdr:nvSpPr>
        <xdr:cNvPr id="3" name="Step" descr="Basics: doing math with Excel&#10;">
          <a:extLst>
            <a:ext uri="{FF2B5EF4-FFF2-40B4-BE49-F238E27FC236}">
              <a16:creationId xmlns:a16="http://schemas.microsoft.com/office/drawing/2014/main" id="{0DC393A3-E170-40BE-97CB-513CB4E57B97}"/>
            </a:ext>
          </a:extLst>
        </xdr:cNvPr>
        <xdr:cNvSpPr txBox="1"/>
      </xdr:nvSpPr>
      <xdr:spPr>
        <a:xfrm>
          <a:off x="8242211" y="323924"/>
          <a:ext cx="3382299" cy="473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General Notice (Please read)</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14</xdr:col>
      <xdr:colOff>101168</xdr:colOff>
      <xdr:row>2</xdr:row>
      <xdr:rowOff>158804</xdr:rowOff>
    </xdr:from>
    <xdr:to>
      <xdr:col>19</xdr:col>
      <xdr:colOff>474885</xdr:colOff>
      <xdr:row>2</xdr:row>
      <xdr:rowOff>158804</xdr:rowOff>
    </xdr:to>
    <xdr:cxnSp macro="">
      <xdr:nvCxnSpPr>
        <xdr:cNvPr id="4" name="Top line" descr="Decorative line">
          <a:extLst>
            <a:ext uri="{FF2B5EF4-FFF2-40B4-BE49-F238E27FC236}">
              <a16:creationId xmlns:a16="http://schemas.microsoft.com/office/drawing/2014/main" id="{F1145375-A813-4FDF-80A0-AA4C3F934EAE}"/>
            </a:ext>
          </a:extLst>
        </xdr:cNvPr>
        <xdr:cNvCxnSpPr>
          <a:cxnSpLocks/>
        </xdr:cNvCxnSpPr>
      </xdr:nvCxnSpPr>
      <xdr:spPr>
        <a:xfrm>
          <a:off x="8216468" y="812854"/>
          <a:ext cx="34217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145627</xdr:colOff>
      <xdr:row>2</xdr:row>
      <xdr:rowOff>193248</xdr:rowOff>
    </xdr:from>
    <xdr:to>
      <xdr:col>19</xdr:col>
      <xdr:colOff>479926</xdr:colOff>
      <xdr:row>18</xdr:row>
      <xdr:rowOff>73526</xdr:rowOff>
    </xdr:to>
    <xdr:sp macro="" textlink="">
      <xdr:nvSpPr>
        <xdr:cNvPr id="5" name="Step" descr="Basics: doing math with Excel&#10;">
          <a:extLst>
            <a:ext uri="{FF2B5EF4-FFF2-40B4-BE49-F238E27FC236}">
              <a16:creationId xmlns:a16="http://schemas.microsoft.com/office/drawing/2014/main" id="{104102F9-16BF-4A57-AB22-EC0A80797C19}"/>
            </a:ext>
          </a:extLst>
        </xdr:cNvPr>
        <xdr:cNvSpPr txBox="1"/>
      </xdr:nvSpPr>
      <xdr:spPr>
        <a:xfrm>
          <a:off x="8260927" y="847298"/>
          <a:ext cx="3382299" cy="3023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Ai.sight currently reads only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bill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loan repayment schedule</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and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bank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the pdf format.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User will need to supplement the documents as underlined as well as the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 spreadsheet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order to view the complete output.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In addition, the software's accuracy is limited to the capability of the current Optical Character Recognition (OCR) algorithm running in the backend.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To ensure the data extracted is correct, user is expected to edit if needed.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 more assistance, please contact IT HELP</a:t>
          </a:r>
        </a:p>
      </xdr:txBody>
    </xdr:sp>
    <xdr:clientData/>
  </xdr:twoCellAnchor>
  <xdr:twoCellAnchor>
    <xdr:from>
      <xdr:col>13</xdr:col>
      <xdr:colOff>577850</xdr:colOff>
      <xdr:row>0</xdr:row>
      <xdr:rowOff>0</xdr:rowOff>
    </xdr:from>
    <xdr:to>
      <xdr:col>54</xdr:col>
      <xdr:colOff>484908</xdr:colOff>
      <xdr:row>171</xdr:row>
      <xdr:rowOff>23090</xdr:rowOff>
    </xdr:to>
    <xdr:sp macro="" textlink="">
      <xdr:nvSpPr>
        <xdr:cNvPr id="6" name="Background" descr="Background">
          <a:extLst>
            <a:ext uri="{FF2B5EF4-FFF2-40B4-BE49-F238E27FC236}">
              <a16:creationId xmlns:a16="http://schemas.microsoft.com/office/drawing/2014/main" id="{D20A0312-C91B-48F3-A1FC-F5AF62B9FF34}"/>
            </a:ext>
          </a:extLst>
        </xdr:cNvPr>
        <xdr:cNvSpPr/>
      </xdr:nvSpPr>
      <xdr:spPr>
        <a:xfrm>
          <a:off x="8083550" y="0"/>
          <a:ext cx="24900658" cy="32046140"/>
        </a:xfrm>
        <a:prstGeom prst="rect">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xdr:from>
      <xdr:col>14</xdr:col>
      <xdr:colOff>126911</xdr:colOff>
      <xdr:row>0</xdr:row>
      <xdr:rowOff>196924</xdr:rowOff>
    </xdr:from>
    <xdr:to>
      <xdr:col>19</xdr:col>
      <xdr:colOff>461210</xdr:colOff>
      <xdr:row>2</xdr:row>
      <xdr:rowOff>15895</xdr:rowOff>
    </xdr:to>
    <xdr:sp macro="" textlink="">
      <xdr:nvSpPr>
        <xdr:cNvPr id="7" name="Step" descr="Basics: doing math with Excel&#10;">
          <a:extLst>
            <a:ext uri="{FF2B5EF4-FFF2-40B4-BE49-F238E27FC236}">
              <a16:creationId xmlns:a16="http://schemas.microsoft.com/office/drawing/2014/main" id="{361597C8-8BF2-4573-8097-2AB149A0B5E7}"/>
            </a:ext>
          </a:extLst>
        </xdr:cNvPr>
        <xdr:cNvSpPr txBox="1"/>
      </xdr:nvSpPr>
      <xdr:spPr>
        <a:xfrm>
          <a:off x="8242211" y="196924"/>
          <a:ext cx="3382299" cy="473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General Notice (Please read)</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14</xdr:col>
      <xdr:colOff>101168</xdr:colOff>
      <xdr:row>2</xdr:row>
      <xdr:rowOff>31804</xdr:rowOff>
    </xdr:from>
    <xdr:to>
      <xdr:col>19</xdr:col>
      <xdr:colOff>474885</xdr:colOff>
      <xdr:row>2</xdr:row>
      <xdr:rowOff>31804</xdr:rowOff>
    </xdr:to>
    <xdr:cxnSp macro="">
      <xdr:nvCxnSpPr>
        <xdr:cNvPr id="8" name="Top line" descr="Decorative line">
          <a:extLst>
            <a:ext uri="{FF2B5EF4-FFF2-40B4-BE49-F238E27FC236}">
              <a16:creationId xmlns:a16="http://schemas.microsoft.com/office/drawing/2014/main" id="{CB96C122-0FE9-4218-AC73-330314ECC305}"/>
            </a:ext>
          </a:extLst>
        </xdr:cNvPr>
        <xdr:cNvCxnSpPr>
          <a:cxnSpLocks/>
        </xdr:cNvCxnSpPr>
      </xdr:nvCxnSpPr>
      <xdr:spPr>
        <a:xfrm>
          <a:off x="8216468" y="685854"/>
          <a:ext cx="34217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145627</xdr:colOff>
      <xdr:row>2</xdr:row>
      <xdr:rowOff>66248</xdr:rowOff>
    </xdr:from>
    <xdr:to>
      <xdr:col>19</xdr:col>
      <xdr:colOff>479926</xdr:colOff>
      <xdr:row>17</xdr:row>
      <xdr:rowOff>156076</xdr:rowOff>
    </xdr:to>
    <xdr:sp macro="" textlink="">
      <xdr:nvSpPr>
        <xdr:cNvPr id="9" name="Step" descr="Basics: doing math with Excel&#10;">
          <a:extLst>
            <a:ext uri="{FF2B5EF4-FFF2-40B4-BE49-F238E27FC236}">
              <a16:creationId xmlns:a16="http://schemas.microsoft.com/office/drawing/2014/main" id="{ECBC38FE-A10E-49E5-9FC9-4F8756C5E6B1}"/>
            </a:ext>
          </a:extLst>
        </xdr:cNvPr>
        <xdr:cNvSpPr txBox="1"/>
      </xdr:nvSpPr>
      <xdr:spPr>
        <a:xfrm>
          <a:off x="8260927" y="720298"/>
          <a:ext cx="3382299" cy="3023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Ai.sight currently reads only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bill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loan repayment schedule</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and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bank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the pdf format.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User will need to supplement the documents as underlined as well as the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 spreadsheet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order to view the complete output.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In addition, the software's accuracy is limited to the capability of the current Optical Character Recognition (OCR) algorithm running in the backend.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To ensure the data extracted is correct, user is expected to edit if needed.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 more assistance, please contact IT HELP</a:t>
          </a:r>
        </a:p>
      </xdr:txBody>
    </xdr:sp>
    <xdr:clientData/>
  </xdr:twoCellAnchor>
  <xdr:twoCellAnchor>
    <xdr:from>
      <xdr:col>14</xdr:col>
      <xdr:colOff>107951</xdr:colOff>
      <xdr:row>18</xdr:row>
      <xdr:rowOff>63500</xdr:rowOff>
    </xdr:from>
    <xdr:to>
      <xdr:col>19</xdr:col>
      <xdr:colOff>481668</xdr:colOff>
      <xdr:row>18</xdr:row>
      <xdr:rowOff>63500</xdr:rowOff>
    </xdr:to>
    <xdr:cxnSp macro="">
      <xdr:nvCxnSpPr>
        <xdr:cNvPr id="10" name="Top line" descr="Decorative line">
          <a:extLst>
            <a:ext uri="{FF2B5EF4-FFF2-40B4-BE49-F238E27FC236}">
              <a16:creationId xmlns:a16="http://schemas.microsoft.com/office/drawing/2014/main" id="{89960E22-7284-4005-86C6-67255B1BF114}"/>
            </a:ext>
          </a:extLst>
        </xdr:cNvPr>
        <xdr:cNvCxnSpPr>
          <a:cxnSpLocks/>
        </xdr:cNvCxnSpPr>
      </xdr:nvCxnSpPr>
      <xdr:spPr>
        <a:xfrm>
          <a:off x="8223251" y="3860800"/>
          <a:ext cx="34217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128064</xdr:colOff>
      <xdr:row>19</xdr:row>
      <xdr:rowOff>149283</xdr:rowOff>
    </xdr:from>
    <xdr:to>
      <xdr:col>15</xdr:col>
      <xdr:colOff>58464</xdr:colOff>
      <xdr:row>22</xdr:row>
      <xdr:rowOff>111433</xdr:rowOff>
    </xdr:to>
    <xdr:sp macro="" textlink="">
      <xdr:nvSpPr>
        <xdr:cNvPr id="11" name="Oval 10">
          <a:extLst>
            <a:ext uri="{FF2B5EF4-FFF2-40B4-BE49-F238E27FC236}">
              <a16:creationId xmlns:a16="http://schemas.microsoft.com/office/drawing/2014/main" id="{C5634301-81EF-4CAE-8C61-33B3B14E8AF5}"/>
            </a:ext>
          </a:extLst>
        </xdr:cNvPr>
        <xdr:cNvSpPr/>
      </xdr:nvSpPr>
      <xdr:spPr>
        <a:xfrm>
          <a:off x="8243364" y="4156133"/>
          <a:ext cx="540000" cy="540000"/>
        </a:xfrm>
        <a:prstGeom prst="ellipse">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SG" sz="2000" b="0">
              <a:latin typeface="Segoe UI" panose="020B0502040204020203" pitchFamily="34" charset="0"/>
              <a:ea typeface="Segoe UI Black" panose="020B0A02040204020203" pitchFamily="34" charset="0"/>
              <a:cs typeface="Segoe UI" panose="020B0502040204020203" pitchFamily="34" charset="0"/>
            </a:rPr>
            <a:t>1</a:t>
          </a:r>
        </a:p>
      </xdr:txBody>
    </xdr:sp>
    <xdr:clientData/>
  </xdr:twoCellAnchor>
  <xdr:twoCellAnchor>
    <xdr:from>
      <xdr:col>15</xdr:col>
      <xdr:colOff>266700</xdr:colOff>
      <xdr:row>19</xdr:row>
      <xdr:rowOff>120650</xdr:rowOff>
    </xdr:from>
    <xdr:to>
      <xdr:col>19</xdr:col>
      <xdr:colOff>480350</xdr:colOff>
      <xdr:row>36</xdr:row>
      <xdr:rowOff>64428</xdr:rowOff>
    </xdr:to>
    <xdr:sp macro="" textlink="">
      <xdr:nvSpPr>
        <xdr:cNvPr id="12" name="Step" descr="Basics: doing math with Excel&#10;">
          <a:extLst>
            <a:ext uri="{FF2B5EF4-FFF2-40B4-BE49-F238E27FC236}">
              <a16:creationId xmlns:a16="http://schemas.microsoft.com/office/drawing/2014/main" id="{2F253554-4BA3-4EB3-8EBD-4EFB5C0548D5}"/>
            </a:ext>
          </a:extLst>
        </xdr:cNvPr>
        <xdr:cNvSpPr txBox="1"/>
      </xdr:nvSpPr>
      <xdr:spPr>
        <a:xfrm>
          <a:off x="8991600" y="4127500"/>
          <a:ext cx="2652050" cy="3099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Ai.sight currently reads only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bill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loan repayment schedule</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and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bank statement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the pdf format.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User will need to supplement the documents as underlined as well as the </a:t>
          </a:r>
          <a:r>
            <a:rPr kumimoji="0" lang="en-US" sz="1100" b="0" i="0" u="sng"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 spreadsheet</a:t>
          </a: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 in order to view the complete output.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In addition, the software's accuracy is limited to the capability of the current Optical Character Recognition (OCR) algorithm running in the backend.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rPr>
            <a:t>To ensure the data extracted is correct, user is expected to edit if needed.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50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 more assistance, please contact IT HELP</a:t>
          </a:r>
        </a:p>
      </xdr:txBody>
    </xdr:sp>
    <xdr:clientData/>
  </xdr:twoCellAnchor>
  <xdr:twoCellAnchor>
    <xdr:from>
      <xdr:col>14</xdr:col>
      <xdr:colOff>134414</xdr:colOff>
      <xdr:row>36</xdr:row>
      <xdr:rowOff>104833</xdr:rowOff>
    </xdr:from>
    <xdr:to>
      <xdr:col>15</xdr:col>
      <xdr:colOff>64814</xdr:colOff>
      <xdr:row>39</xdr:row>
      <xdr:rowOff>92383</xdr:rowOff>
    </xdr:to>
    <xdr:sp macro="" textlink="">
      <xdr:nvSpPr>
        <xdr:cNvPr id="13" name="Oval 12">
          <a:extLst>
            <a:ext uri="{FF2B5EF4-FFF2-40B4-BE49-F238E27FC236}">
              <a16:creationId xmlns:a16="http://schemas.microsoft.com/office/drawing/2014/main" id="{0EDE6AD6-244F-466B-AA2A-B97F132FFBFA}"/>
            </a:ext>
          </a:extLst>
        </xdr:cNvPr>
        <xdr:cNvSpPr/>
      </xdr:nvSpPr>
      <xdr:spPr>
        <a:xfrm>
          <a:off x="8249714" y="7267633"/>
          <a:ext cx="540000" cy="540000"/>
        </a:xfrm>
        <a:prstGeom prst="ellipse">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SG" sz="2000" b="0">
              <a:latin typeface="Segoe UI" panose="020B0502040204020203" pitchFamily="34" charset="0"/>
              <a:ea typeface="Segoe UI Black" panose="020B0A02040204020203" pitchFamily="34" charset="0"/>
              <a:cs typeface="Segoe UI" panose="020B0502040204020203" pitchFamily="34" charset="0"/>
            </a:rPr>
            <a:t>2</a:t>
          </a:r>
        </a:p>
      </xdr:txBody>
    </xdr:sp>
    <xdr:clientData/>
  </xdr:twoCellAnchor>
  <xdr:twoCellAnchor>
    <xdr:from>
      <xdr:col>14</xdr:col>
      <xdr:colOff>153464</xdr:colOff>
      <xdr:row>40</xdr:row>
      <xdr:rowOff>22283</xdr:rowOff>
    </xdr:from>
    <xdr:to>
      <xdr:col>15</xdr:col>
      <xdr:colOff>83864</xdr:colOff>
      <xdr:row>43</xdr:row>
      <xdr:rowOff>9833</xdr:rowOff>
    </xdr:to>
    <xdr:sp macro="" textlink="">
      <xdr:nvSpPr>
        <xdr:cNvPr id="14" name="Oval 13">
          <a:extLst>
            <a:ext uri="{FF2B5EF4-FFF2-40B4-BE49-F238E27FC236}">
              <a16:creationId xmlns:a16="http://schemas.microsoft.com/office/drawing/2014/main" id="{A2E7D9EE-E899-4BE7-916C-24F40B7907A4}"/>
            </a:ext>
          </a:extLst>
        </xdr:cNvPr>
        <xdr:cNvSpPr/>
      </xdr:nvSpPr>
      <xdr:spPr>
        <a:xfrm>
          <a:off x="8268764" y="7921683"/>
          <a:ext cx="540000" cy="540000"/>
        </a:xfrm>
        <a:prstGeom prst="ellipse">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SG" sz="2000" b="0">
              <a:latin typeface="Segoe UI" panose="020B0502040204020203" pitchFamily="34" charset="0"/>
              <a:ea typeface="Segoe UI Black" panose="020B0A02040204020203" pitchFamily="34" charset="0"/>
              <a:cs typeface="Segoe UI" panose="020B0502040204020203" pitchFamily="34" charset="0"/>
            </a:rPr>
            <a:t>3</a:t>
          </a:r>
        </a:p>
      </xdr:txBody>
    </xdr:sp>
    <xdr:clientData/>
  </xdr:twoCellAnchor>
  <xdr:twoCellAnchor>
    <xdr:from>
      <xdr:col>0</xdr:col>
      <xdr:colOff>127000</xdr:colOff>
      <xdr:row>18</xdr:row>
      <xdr:rowOff>63500</xdr:rowOff>
    </xdr:from>
    <xdr:to>
      <xdr:col>13</xdr:col>
      <xdr:colOff>358730</xdr:colOff>
      <xdr:row>18</xdr:row>
      <xdr:rowOff>63500</xdr:rowOff>
    </xdr:to>
    <xdr:cxnSp macro="">
      <xdr:nvCxnSpPr>
        <xdr:cNvPr id="15" name="Top line" descr="Decorative line">
          <a:extLst>
            <a:ext uri="{FF2B5EF4-FFF2-40B4-BE49-F238E27FC236}">
              <a16:creationId xmlns:a16="http://schemas.microsoft.com/office/drawing/2014/main" id="{C3862EFF-CB57-41D2-8692-01020F62BDBC}"/>
            </a:ext>
          </a:extLst>
        </xdr:cNvPr>
        <xdr:cNvCxnSpPr>
          <a:cxnSpLocks/>
        </xdr:cNvCxnSpPr>
      </xdr:nvCxnSpPr>
      <xdr:spPr>
        <a:xfrm>
          <a:off x="127000" y="3860800"/>
          <a:ext cx="7737430" cy="0"/>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127000</xdr:colOff>
      <xdr:row>2</xdr:row>
      <xdr:rowOff>38100</xdr:rowOff>
    </xdr:from>
    <xdr:to>
      <xdr:col>13</xdr:col>
      <xdr:colOff>358730</xdr:colOff>
      <xdr:row>2</xdr:row>
      <xdr:rowOff>38100</xdr:rowOff>
    </xdr:to>
    <xdr:cxnSp macro="">
      <xdr:nvCxnSpPr>
        <xdr:cNvPr id="16" name="Top line" descr="Decorative line">
          <a:extLst>
            <a:ext uri="{FF2B5EF4-FFF2-40B4-BE49-F238E27FC236}">
              <a16:creationId xmlns:a16="http://schemas.microsoft.com/office/drawing/2014/main" id="{4DD9CDEE-1992-4F67-8C1B-3C5280528C26}"/>
            </a:ext>
          </a:extLst>
        </xdr:cNvPr>
        <xdr:cNvCxnSpPr>
          <a:cxnSpLocks/>
        </xdr:cNvCxnSpPr>
      </xdr:nvCxnSpPr>
      <xdr:spPr>
        <a:xfrm>
          <a:off x="127000" y="692150"/>
          <a:ext cx="7737430" cy="0"/>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n%20Williams/Downloads/output86397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ven%20Williams/Desktop/async_flask-master/static/uploads/Obligor%201%20-%20CAT%20spreadsheet.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n%20Williams/Downloads/output%20(30).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User%20Input"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Fina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Loan Repayment Schedule"/>
      <sheetName val="_coorLR"/>
      <sheetName val="_confLR"/>
      <sheetName val="Bank Statement"/>
      <sheetName val="_coorBaS"/>
      <sheetName val="_confBaS"/>
      <sheetName val="Bill Statement"/>
      <sheetName val="_coorBiS"/>
      <sheetName val="_confBiS"/>
      <sheetName val="User Metric"/>
      <sheetName val="Summary"/>
      <sheetName val="Income Statement"/>
      <sheetName val="Balance Sheet"/>
      <sheetName val="Calculated CF"/>
      <sheetName val="MCFL"/>
      <sheetName val="Customer Selection Criteria"/>
      <sheetName val="RO Small Ticket SME Upto 0.1MM"/>
      <sheetName val="Romania Pre Screening"/>
      <sheetName val="RO Classic Prog SME"/>
      <sheetName val="SME Level"/>
      <sheetName val="TW Pre-Screening"/>
      <sheetName val="ref_CAC"/>
      <sheetName val="RR_Cri_CAC"/>
      <sheetName val="RR_GBFCol"/>
      <sheetName val="RR_Ref_CSC"/>
      <sheetName val="DSCR Tables"/>
      <sheetName val="CSC"/>
      <sheetName val="RR_CAC"/>
      <sheetName val="RR_Pregrading"/>
      <sheetName val="Hong Kong Summary"/>
      <sheetName val="DSCR"/>
      <sheetName val="CacheConv"/>
      <sheetName val="NAICS"/>
      <sheetName val="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7">
          <cell r="A7" t="str">
            <v>Option 1 Global A/R</v>
          </cell>
          <cell r="B7" t="e">
            <v>#REF!</v>
          </cell>
          <cell r="C7" t="e">
            <v>#REF!</v>
          </cell>
          <cell r="D7">
            <v>180</v>
          </cell>
          <cell r="E7">
            <v>180</v>
          </cell>
          <cell r="F7">
            <v>4</v>
          </cell>
          <cell r="G7">
            <v>0</v>
          </cell>
          <cell r="H7">
            <v>3</v>
          </cell>
          <cell r="I7">
            <v>0</v>
          </cell>
          <cell r="J7">
            <v>2.5</v>
          </cell>
          <cell r="K7">
            <v>0</v>
          </cell>
          <cell r="L7">
            <v>8</v>
          </cell>
          <cell r="M7">
            <v>0</v>
          </cell>
          <cell r="N7">
            <v>6.5</v>
          </cell>
          <cell r="O7">
            <v>0</v>
          </cell>
          <cell r="P7">
            <v>5</v>
          </cell>
          <cell r="Q7">
            <v>0</v>
          </cell>
          <cell r="R7">
            <v>10</v>
          </cell>
          <cell r="S7">
            <v>0</v>
          </cell>
          <cell r="T7">
            <v>8</v>
          </cell>
          <cell r="U7">
            <v>0</v>
          </cell>
          <cell r="V7">
            <v>6</v>
          </cell>
          <cell r="W7">
            <v>0</v>
          </cell>
          <cell r="X7">
            <v>4</v>
          </cell>
          <cell r="Y7">
            <v>0</v>
          </cell>
          <cell r="Z7">
            <v>3</v>
          </cell>
          <cell r="AA7">
            <v>0</v>
          </cell>
          <cell r="AB7">
            <v>2.5</v>
          </cell>
          <cell r="AC7">
            <v>0</v>
          </cell>
          <cell r="AD7">
            <v>8</v>
          </cell>
          <cell r="AE7">
            <v>0</v>
          </cell>
          <cell r="AF7">
            <v>6.5</v>
          </cell>
          <cell r="AG7">
            <v>0</v>
          </cell>
          <cell r="AH7">
            <v>5</v>
          </cell>
          <cell r="AI7">
            <v>0</v>
          </cell>
          <cell r="AJ7">
            <v>10</v>
          </cell>
          <cell r="AK7">
            <v>0</v>
          </cell>
          <cell r="AL7">
            <v>8</v>
          </cell>
          <cell r="AM7">
            <v>0</v>
          </cell>
          <cell r="AN7">
            <v>6</v>
          </cell>
          <cell r="AO7">
            <v>0</v>
          </cell>
        </row>
        <row r="8">
          <cell r="A8" t="str">
            <v>Option 2-1 with valid acknowledgement</v>
          </cell>
          <cell r="B8" t="e">
            <v>#REF!</v>
          </cell>
          <cell r="C8" t="e">
            <v>#REF!</v>
          </cell>
          <cell r="D8">
            <v>180</v>
          </cell>
          <cell r="E8">
            <v>180</v>
          </cell>
          <cell r="F8">
            <v>3</v>
          </cell>
          <cell r="G8">
            <v>0</v>
          </cell>
          <cell r="H8">
            <v>2.5</v>
          </cell>
          <cell r="I8">
            <v>0</v>
          </cell>
          <cell r="J8">
            <v>2</v>
          </cell>
          <cell r="K8">
            <v>0</v>
          </cell>
          <cell r="L8">
            <v>6</v>
          </cell>
          <cell r="M8">
            <v>0</v>
          </cell>
          <cell r="N8">
            <v>5</v>
          </cell>
          <cell r="O8">
            <v>0</v>
          </cell>
          <cell r="P8">
            <v>4</v>
          </cell>
          <cell r="Q8">
            <v>0</v>
          </cell>
          <cell r="R8">
            <v>8</v>
          </cell>
          <cell r="S8">
            <v>0</v>
          </cell>
          <cell r="T8">
            <v>6.5</v>
          </cell>
          <cell r="U8">
            <v>0</v>
          </cell>
          <cell r="V8">
            <v>5</v>
          </cell>
          <cell r="W8">
            <v>0</v>
          </cell>
          <cell r="X8">
            <v>3</v>
          </cell>
          <cell r="Y8">
            <v>0</v>
          </cell>
          <cell r="Z8">
            <v>2.5</v>
          </cell>
          <cell r="AA8">
            <v>0</v>
          </cell>
          <cell r="AB8">
            <v>2</v>
          </cell>
          <cell r="AC8">
            <v>0</v>
          </cell>
          <cell r="AD8">
            <v>6</v>
          </cell>
          <cell r="AE8">
            <v>0</v>
          </cell>
          <cell r="AF8">
            <v>5</v>
          </cell>
          <cell r="AG8">
            <v>0</v>
          </cell>
          <cell r="AH8">
            <v>4</v>
          </cell>
          <cell r="AI8">
            <v>0</v>
          </cell>
          <cell r="AJ8">
            <v>8</v>
          </cell>
          <cell r="AK8">
            <v>0</v>
          </cell>
          <cell r="AL8">
            <v>6.5</v>
          </cell>
          <cell r="AM8">
            <v>0</v>
          </cell>
          <cell r="AN8">
            <v>5</v>
          </cell>
          <cell r="AO8">
            <v>0</v>
          </cell>
        </row>
        <row r="9">
          <cell r="A9" t="str">
            <v>Option 2-1 without valid acknowledgement</v>
          </cell>
          <cell r="B9" t="e">
            <v>#REF!</v>
          </cell>
          <cell r="C9" t="e">
            <v>#REF!</v>
          </cell>
          <cell r="D9">
            <v>180</v>
          </cell>
          <cell r="E9">
            <v>180</v>
          </cell>
          <cell r="F9">
            <v>2.5</v>
          </cell>
          <cell r="G9">
            <v>0</v>
          </cell>
          <cell r="H9">
            <v>2</v>
          </cell>
          <cell r="I9">
            <v>0</v>
          </cell>
          <cell r="J9">
            <v>1.5</v>
          </cell>
          <cell r="K9">
            <v>0</v>
          </cell>
          <cell r="L9">
            <v>5</v>
          </cell>
          <cell r="M9">
            <v>0</v>
          </cell>
          <cell r="N9">
            <v>4</v>
          </cell>
          <cell r="O9">
            <v>0</v>
          </cell>
          <cell r="P9">
            <v>3</v>
          </cell>
          <cell r="Q9">
            <v>0</v>
          </cell>
          <cell r="R9">
            <v>5</v>
          </cell>
          <cell r="S9">
            <v>0</v>
          </cell>
          <cell r="T9">
            <v>5</v>
          </cell>
          <cell r="U9">
            <v>0</v>
          </cell>
          <cell r="V9">
            <v>4</v>
          </cell>
          <cell r="W9">
            <v>0</v>
          </cell>
          <cell r="X9">
            <v>2.5</v>
          </cell>
          <cell r="Y9">
            <v>0</v>
          </cell>
          <cell r="Z9">
            <v>2</v>
          </cell>
          <cell r="AA9">
            <v>0</v>
          </cell>
          <cell r="AB9">
            <v>1.5</v>
          </cell>
          <cell r="AC9">
            <v>0</v>
          </cell>
          <cell r="AD9">
            <v>5</v>
          </cell>
          <cell r="AE9">
            <v>0</v>
          </cell>
          <cell r="AF9">
            <v>4</v>
          </cell>
          <cell r="AG9">
            <v>0</v>
          </cell>
          <cell r="AH9">
            <v>3</v>
          </cell>
          <cell r="AI9">
            <v>0</v>
          </cell>
          <cell r="AJ9">
            <v>5</v>
          </cell>
          <cell r="AK9">
            <v>0</v>
          </cell>
          <cell r="AL9">
            <v>5</v>
          </cell>
          <cell r="AM9">
            <v>0</v>
          </cell>
          <cell r="AN9">
            <v>4</v>
          </cell>
          <cell r="AO9">
            <v>0</v>
          </cell>
        </row>
        <row r="10">
          <cell r="A10" t="str">
            <v>Commercial Draft Discounting from Eligible Buyers</v>
          </cell>
          <cell r="B10" t="e">
            <v>#REF!</v>
          </cell>
          <cell r="C10" t="e">
            <v>#REF!</v>
          </cell>
          <cell r="D10">
            <v>180</v>
          </cell>
          <cell r="E10">
            <v>180</v>
          </cell>
          <cell r="F10">
            <v>3</v>
          </cell>
          <cell r="G10">
            <v>0</v>
          </cell>
          <cell r="H10">
            <v>2.5</v>
          </cell>
          <cell r="I10">
            <v>0</v>
          </cell>
          <cell r="J10">
            <v>2</v>
          </cell>
          <cell r="K10">
            <v>0</v>
          </cell>
          <cell r="L10">
            <v>6</v>
          </cell>
          <cell r="M10">
            <v>0</v>
          </cell>
          <cell r="N10">
            <v>5</v>
          </cell>
          <cell r="O10">
            <v>0</v>
          </cell>
          <cell r="P10">
            <v>4</v>
          </cell>
          <cell r="Q10">
            <v>0</v>
          </cell>
          <cell r="R10">
            <v>8</v>
          </cell>
          <cell r="S10">
            <v>0</v>
          </cell>
          <cell r="T10">
            <v>6.5</v>
          </cell>
          <cell r="U10">
            <v>0</v>
          </cell>
          <cell r="V10">
            <v>5</v>
          </cell>
          <cell r="W10">
            <v>0</v>
          </cell>
          <cell r="X10">
            <v>3</v>
          </cell>
          <cell r="Y10">
            <v>0</v>
          </cell>
          <cell r="Z10">
            <v>2.5</v>
          </cell>
          <cell r="AA10">
            <v>0</v>
          </cell>
          <cell r="AB10">
            <v>2</v>
          </cell>
          <cell r="AC10">
            <v>0</v>
          </cell>
          <cell r="AD10">
            <v>6</v>
          </cell>
          <cell r="AE10">
            <v>0</v>
          </cell>
          <cell r="AF10">
            <v>5</v>
          </cell>
          <cell r="AG10">
            <v>0</v>
          </cell>
          <cell r="AH10">
            <v>4</v>
          </cell>
          <cell r="AI10">
            <v>0</v>
          </cell>
          <cell r="AJ10">
            <v>8</v>
          </cell>
          <cell r="AK10">
            <v>0</v>
          </cell>
          <cell r="AL10">
            <v>6.5</v>
          </cell>
          <cell r="AM10">
            <v>0</v>
          </cell>
          <cell r="AN10">
            <v>5</v>
          </cell>
          <cell r="AO10">
            <v>0</v>
          </cell>
        </row>
        <row r="11">
          <cell r="A11" t="str">
            <v>RDDP-Receivable-Bank Accepted</v>
          </cell>
          <cell r="B11" t="e">
            <v>#REF!</v>
          </cell>
          <cell r="C11" t="e">
            <v>#REF!</v>
          </cell>
          <cell r="D11">
            <v>180</v>
          </cell>
          <cell r="E11">
            <v>180</v>
          </cell>
          <cell r="F11">
            <v>3</v>
          </cell>
          <cell r="G11">
            <v>0</v>
          </cell>
          <cell r="H11">
            <v>2.5</v>
          </cell>
          <cell r="I11">
            <v>0</v>
          </cell>
          <cell r="J11">
            <v>2</v>
          </cell>
          <cell r="K11">
            <v>0</v>
          </cell>
          <cell r="L11">
            <v>6</v>
          </cell>
          <cell r="M11">
            <v>0</v>
          </cell>
          <cell r="N11">
            <v>5</v>
          </cell>
          <cell r="O11">
            <v>0</v>
          </cell>
          <cell r="P11">
            <v>4</v>
          </cell>
          <cell r="Q11">
            <v>0</v>
          </cell>
          <cell r="R11">
            <v>8</v>
          </cell>
          <cell r="S11">
            <v>0</v>
          </cell>
          <cell r="T11">
            <v>6.5</v>
          </cell>
          <cell r="U11">
            <v>0</v>
          </cell>
          <cell r="V11">
            <v>5</v>
          </cell>
          <cell r="W11">
            <v>0</v>
          </cell>
          <cell r="X11">
            <v>3</v>
          </cell>
          <cell r="Y11">
            <v>0</v>
          </cell>
          <cell r="Z11">
            <v>2.5</v>
          </cell>
          <cell r="AA11">
            <v>0</v>
          </cell>
          <cell r="AB11">
            <v>2</v>
          </cell>
          <cell r="AC11">
            <v>0</v>
          </cell>
          <cell r="AD11">
            <v>6</v>
          </cell>
          <cell r="AE11">
            <v>0</v>
          </cell>
          <cell r="AF11">
            <v>5</v>
          </cell>
          <cell r="AG11">
            <v>0</v>
          </cell>
          <cell r="AH11">
            <v>4</v>
          </cell>
          <cell r="AI11">
            <v>0</v>
          </cell>
          <cell r="AJ11">
            <v>8</v>
          </cell>
          <cell r="AK11">
            <v>0</v>
          </cell>
          <cell r="AL11">
            <v>6.5</v>
          </cell>
          <cell r="AM11">
            <v>0</v>
          </cell>
          <cell r="AN11">
            <v>5</v>
          </cell>
          <cell r="AO11">
            <v>0</v>
          </cell>
        </row>
        <row r="12">
          <cell r="A12" t="str">
            <v>Export Bill Negotiation (Clean)</v>
          </cell>
          <cell r="B12" t="e">
            <v>#REF!</v>
          </cell>
          <cell r="C12" t="e">
            <v>#REF!</v>
          </cell>
          <cell r="D12">
            <v>180</v>
          </cell>
          <cell r="E12">
            <v>180</v>
          </cell>
          <cell r="F12">
            <v>3</v>
          </cell>
          <cell r="G12">
            <v>0</v>
          </cell>
          <cell r="H12">
            <v>2.5</v>
          </cell>
          <cell r="I12">
            <v>0</v>
          </cell>
          <cell r="J12">
            <v>2</v>
          </cell>
          <cell r="K12">
            <v>0</v>
          </cell>
          <cell r="L12">
            <v>6</v>
          </cell>
          <cell r="M12">
            <v>0</v>
          </cell>
          <cell r="N12">
            <v>5</v>
          </cell>
          <cell r="O12">
            <v>0</v>
          </cell>
          <cell r="P12">
            <v>4</v>
          </cell>
          <cell r="Q12">
            <v>0</v>
          </cell>
          <cell r="R12">
            <v>8</v>
          </cell>
          <cell r="S12">
            <v>0</v>
          </cell>
          <cell r="T12">
            <v>6.5</v>
          </cell>
          <cell r="U12">
            <v>0</v>
          </cell>
          <cell r="V12">
            <v>5</v>
          </cell>
          <cell r="W12">
            <v>0</v>
          </cell>
          <cell r="X12">
            <v>3</v>
          </cell>
          <cell r="Y12">
            <v>0</v>
          </cell>
          <cell r="Z12">
            <v>2.5</v>
          </cell>
          <cell r="AA12">
            <v>0</v>
          </cell>
          <cell r="AB12">
            <v>2</v>
          </cell>
          <cell r="AC12">
            <v>0</v>
          </cell>
          <cell r="AD12">
            <v>6</v>
          </cell>
          <cell r="AE12">
            <v>0</v>
          </cell>
          <cell r="AF12">
            <v>5</v>
          </cell>
          <cell r="AG12">
            <v>0</v>
          </cell>
          <cell r="AH12">
            <v>4</v>
          </cell>
          <cell r="AI12">
            <v>0</v>
          </cell>
          <cell r="AJ12">
            <v>8</v>
          </cell>
          <cell r="AK12">
            <v>0</v>
          </cell>
          <cell r="AL12">
            <v>6.5</v>
          </cell>
          <cell r="AM12">
            <v>0</v>
          </cell>
          <cell r="AN12">
            <v>5</v>
          </cell>
          <cell r="AO12">
            <v>0</v>
          </cell>
        </row>
        <row r="13">
          <cell r="A13" t="str">
            <v>Export Bill Negotiation (Minor Discrepant)</v>
          </cell>
          <cell r="B13" t="e">
            <v>#REF!</v>
          </cell>
          <cell r="C13" t="e">
            <v>#REF!</v>
          </cell>
          <cell r="D13">
            <v>180</v>
          </cell>
          <cell r="E13">
            <v>180</v>
          </cell>
          <cell r="F13">
            <v>2.5</v>
          </cell>
          <cell r="G13">
            <v>0</v>
          </cell>
          <cell r="H13">
            <v>2</v>
          </cell>
          <cell r="I13">
            <v>0</v>
          </cell>
          <cell r="J13">
            <v>1.5</v>
          </cell>
          <cell r="K13">
            <v>0</v>
          </cell>
          <cell r="L13">
            <v>4</v>
          </cell>
          <cell r="M13">
            <v>0</v>
          </cell>
          <cell r="N13">
            <v>4</v>
          </cell>
          <cell r="O13">
            <v>0</v>
          </cell>
          <cell r="P13">
            <v>3</v>
          </cell>
          <cell r="Q13">
            <v>0</v>
          </cell>
          <cell r="R13">
            <v>4</v>
          </cell>
          <cell r="S13">
            <v>0</v>
          </cell>
          <cell r="T13">
            <v>4</v>
          </cell>
          <cell r="U13">
            <v>0</v>
          </cell>
          <cell r="V13">
            <v>3</v>
          </cell>
          <cell r="W13">
            <v>0</v>
          </cell>
          <cell r="X13">
            <v>2.5</v>
          </cell>
          <cell r="Y13">
            <v>0</v>
          </cell>
          <cell r="Z13">
            <v>2</v>
          </cell>
          <cell r="AA13">
            <v>0</v>
          </cell>
          <cell r="AB13">
            <v>1.5</v>
          </cell>
          <cell r="AC13">
            <v>0</v>
          </cell>
          <cell r="AD13">
            <v>4</v>
          </cell>
          <cell r="AE13">
            <v>0</v>
          </cell>
          <cell r="AF13">
            <v>4</v>
          </cell>
          <cell r="AG13">
            <v>0</v>
          </cell>
          <cell r="AH13">
            <v>3</v>
          </cell>
          <cell r="AI13">
            <v>0</v>
          </cell>
          <cell r="AJ13">
            <v>4</v>
          </cell>
          <cell r="AK13">
            <v>0</v>
          </cell>
          <cell r="AL13">
            <v>4</v>
          </cell>
          <cell r="AM13">
            <v>0</v>
          </cell>
          <cell r="AN13">
            <v>3</v>
          </cell>
          <cell r="AO13">
            <v>0</v>
          </cell>
        </row>
        <row r="14">
          <cell r="A14" t="str">
            <v>Discount of Export D/P with B/L</v>
          </cell>
          <cell r="B14" t="e">
            <v>#REF!</v>
          </cell>
          <cell r="C14" t="e">
            <v>#REF!</v>
          </cell>
          <cell r="D14">
            <v>180</v>
          </cell>
          <cell r="E14">
            <v>180</v>
          </cell>
          <cell r="F14">
            <v>2.5</v>
          </cell>
          <cell r="G14">
            <v>0</v>
          </cell>
          <cell r="H14">
            <v>2</v>
          </cell>
          <cell r="I14">
            <v>0</v>
          </cell>
          <cell r="J14">
            <v>1.5</v>
          </cell>
          <cell r="K14">
            <v>0</v>
          </cell>
          <cell r="L14">
            <v>4</v>
          </cell>
          <cell r="M14">
            <v>0</v>
          </cell>
          <cell r="N14">
            <v>4</v>
          </cell>
          <cell r="O14">
            <v>0</v>
          </cell>
          <cell r="P14">
            <v>3</v>
          </cell>
          <cell r="Q14">
            <v>0</v>
          </cell>
          <cell r="R14">
            <v>4</v>
          </cell>
          <cell r="S14">
            <v>0</v>
          </cell>
          <cell r="T14">
            <v>4</v>
          </cell>
          <cell r="U14">
            <v>0</v>
          </cell>
          <cell r="V14">
            <v>3</v>
          </cell>
          <cell r="W14">
            <v>0</v>
          </cell>
          <cell r="X14">
            <v>2.5</v>
          </cell>
          <cell r="Y14">
            <v>0</v>
          </cell>
          <cell r="Z14">
            <v>2</v>
          </cell>
          <cell r="AA14">
            <v>0</v>
          </cell>
          <cell r="AB14">
            <v>1.5</v>
          </cell>
          <cell r="AC14">
            <v>0</v>
          </cell>
          <cell r="AD14">
            <v>4</v>
          </cell>
          <cell r="AE14">
            <v>0</v>
          </cell>
          <cell r="AF14">
            <v>4</v>
          </cell>
          <cell r="AG14">
            <v>0</v>
          </cell>
          <cell r="AH14">
            <v>3</v>
          </cell>
          <cell r="AI14">
            <v>0</v>
          </cell>
          <cell r="AJ14">
            <v>4</v>
          </cell>
          <cell r="AK14">
            <v>0</v>
          </cell>
          <cell r="AL14">
            <v>4</v>
          </cell>
          <cell r="AM14">
            <v>0</v>
          </cell>
          <cell r="AN14">
            <v>3</v>
          </cell>
          <cell r="AO14">
            <v>0</v>
          </cell>
        </row>
        <row r="15">
          <cell r="A15" t="str">
            <v>Sight L/C Opening</v>
          </cell>
          <cell r="B15" t="e">
            <v>#REF!</v>
          </cell>
          <cell r="C15" t="e">
            <v>#REF!</v>
          </cell>
          <cell r="D15">
            <v>180</v>
          </cell>
          <cell r="E15">
            <v>180</v>
          </cell>
          <cell r="F15">
            <v>2</v>
          </cell>
          <cell r="G15">
            <v>15</v>
          </cell>
          <cell r="H15">
            <v>1.5</v>
          </cell>
          <cell r="I15">
            <v>20</v>
          </cell>
          <cell r="J15">
            <v>1</v>
          </cell>
          <cell r="K15">
            <v>30</v>
          </cell>
          <cell r="L15">
            <v>3</v>
          </cell>
          <cell r="M15">
            <v>10</v>
          </cell>
          <cell r="N15">
            <v>2.5</v>
          </cell>
          <cell r="O15">
            <v>15</v>
          </cell>
          <cell r="P15">
            <v>2</v>
          </cell>
          <cell r="Q15">
            <v>25</v>
          </cell>
          <cell r="R15">
            <v>3.5</v>
          </cell>
          <cell r="S15">
            <v>10</v>
          </cell>
          <cell r="T15">
            <v>3</v>
          </cell>
          <cell r="U15">
            <v>15</v>
          </cell>
          <cell r="V15">
            <v>2.5</v>
          </cell>
          <cell r="W15">
            <v>20</v>
          </cell>
          <cell r="X15">
            <v>2</v>
          </cell>
          <cell r="Y15">
            <v>15</v>
          </cell>
          <cell r="Z15">
            <v>1.5</v>
          </cell>
          <cell r="AA15">
            <v>20</v>
          </cell>
          <cell r="AB15">
            <v>1</v>
          </cell>
          <cell r="AC15">
            <v>30</v>
          </cell>
          <cell r="AD15">
            <v>3</v>
          </cell>
          <cell r="AE15">
            <v>10</v>
          </cell>
          <cell r="AF15">
            <v>2.5</v>
          </cell>
          <cell r="AG15">
            <v>15</v>
          </cell>
          <cell r="AH15">
            <v>2</v>
          </cell>
          <cell r="AI15">
            <v>25</v>
          </cell>
          <cell r="AJ15">
            <v>3.5</v>
          </cell>
          <cell r="AK15">
            <v>10</v>
          </cell>
          <cell r="AL15">
            <v>3</v>
          </cell>
          <cell r="AM15">
            <v>15</v>
          </cell>
          <cell r="AN15">
            <v>2.5</v>
          </cell>
          <cell r="AO15">
            <v>20</v>
          </cell>
        </row>
        <row r="16">
          <cell r="A16" t="str">
            <v>Option 2-2 Invoice Receivable</v>
          </cell>
          <cell r="B16" t="e">
            <v>#REF!</v>
          </cell>
          <cell r="C16" t="e">
            <v>#REF!</v>
          </cell>
          <cell r="D16">
            <v>180</v>
          </cell>
          <cell r="E16">
            <v>180</v>
          </cell>
          <cell r="F16">
            <v>2</v>
          </cell>
          <cell r="G16">
            <v>30</v>
          </cell>
          <cell r="H16">
            <v>1.5</v>
          </cell>
          <cell r="I16">
            <v>35</v>
          </cell>
          <cell r="J16">
            <v>0.5</v>
          </cell>
          <cell r="K16">
            <v>40</v>
          </cell>
          <cell r="L16">
            <v>3</v>
          </cell>
          <cell r="M16">
            <v>25</v>
          </cell>
          <cell r="N16">
            <v>2.5</v>
          </cell>
          <cell r="O16">
            <v>30</v>
          </cell>
          <cell r="P16">
            <v>1</v>
          </cell>
          <cell r="Q16">
            <v>35</v>
          </cell>
          <cell r="R16">
            <v>4</v>
          </cell>
          <cell r="S16">
            <v>20</v>
          </cell>
          <cell r="T16">
            <v>3</v>
          </cell>
          <cell r="U16">
            <v>25</v>
          </cell>
          <cell r="V16">
            <v>1.5</v>
          </cell>
          <cell r="W16">
            <v>30</v>
          </cell>
          <cell r="X16">
            <v>2</v>
          </cell>
          <cell r="Y16">
            <v>30</v>
          </cell>
          <cell r="Z16">
            <v>1.5</v>
          </cell>
          <cell r="AA16">
            <v>35</v>
          </cell>
          <cell r="AB16">
            <v>0.5</v>
          </cell>
          <cell r="AC16">
            <v>40</v>
          </cell>
          <cell r="AD16">
            <v>3</v>
          </cell>
          <cell r="AE16">
            <v>25</v>
          </cell>
          <cell r="AF16">
            <v>2.5</v>
          </cell>
          <cell r="AG16">
            <v>30</v>
          </cell>
          <cell r="AH16">
            <v>1</v>
          </cell>
          <cell r="AI16">
            <v>35</v>
          </cell>
          <cell r="AJ16">
            <v>4</v>
          </cell>
          <cell r="AK16">
            <v>20</v>
          </cell>
          <cell r="AL16">
            <v>3</v>
          </cell>
          <cell r="AM16">
            <v>25</v>
          </cell>
          <cell r="AN16">
            <v>1.5</v>
          </cell>
          <cell r="AO16">
            <v>30</v>
          </cell>
        </row>
        <row r="17">
          <cell r="A17" t="str">
            <v>Usance LC Opening</v>
          </cell>
          <cell r="B17" t="e">
            <v>#REF!</v>
          </cell>
          <cell r="C17" t="str">
            <v>Days</v>
          </cell>
          <cell r="D17">
            <v>180</v>
          </cell>
          <cell r="E17">
            <v>180</v>
          </cell>
          <cell r="F17">
            <v>1.5</v>
          </cell>
          <cell r="G17">
            <v>30</v>
          </cell>
          <cell r="H17">
            <v>1.25</v>
          </cell>
          <cell r="I17">
            <v>35</v>
          </cell>
          <cell r="J17">
            <v>0.5</v>
          </cell>
          <cell r="K17">
            <v>40</v>
          </cell>
          <cell r="L17">
            <v>2.5</v>
          </cell>
          <cell r="M17">
            <v>25</v>
          </cell>
          <cell r="N17">
            <v>2</v>
          </cell>
          <cell r="O17">
            <v>30</v>
          </cell>
          <cell r="P17">
            <v>1</v>
          </cell>
          <cell r="Q17">
            <v>35</v>
          </cell>
          <cell r="R17">
            <v>3</v>
          </cell>
          <cell r="S17">
            <v>20</v>
          </cell>
          <cell r="T17">
            <v>2.5</v>
          </cell>
          <cell r="U17">
            <v>25</v>
          </cell>
          <cell r="V17">
            <v>1.5</v>
          </cell>
          <cell r="W17">
            <v>30</v>
          </cell>
          <cell r="X17">
            <v>1.5</v>
          </cell>
          <cell r="Y17">
            <v>30</v>
          </cell>
          <cell r="Z17">
            <v>1.25</v>
          </cell>
          <cell r="AA17">
            <v>35</v>
          </cell>
          <cell r="AB17">
            <v>0.5</v>
          </cell>
          <cell r="AC17">
            <v>40</v>
          </cell>
          <cell r="AD17">
            <v>2.5</v>
          </cell>
          <cell r="AE17">
            <v>25</v>
          </cell>
          <cell r="AF17">
            <v>2</v>
          </cell>
          <cell r="AG17">
            <v>30</v>
          </cell>
          <cell r="AH17">
            <v>1</v>
          </cell>
          <cell r="AI17">
            <v>35</v>
          </cell>
          <cell r="AJ17">
            <v>3</v>
          </cell>
          <cell r="AK17">
            <v>20</v>
          </cell>
          <cell r="AL17">
            <v>2.5</v>
          </cell>
          <cell r="AM17">
            <v>25</v>
          </cell>
          <cell r="AN17">
            <v>1.5</v>
          </cell>
          <cell r="AO17">
            <v>30</v>
          </cell>
        </row>
        <row r="18">
          <cell r="A18" t="str">
            <v>Import Loan Under LC</v>
          </cell>
          <cell r="B18" t="e">
            <v>#REF!</v>
          </cell>
          <cell r="C18" t="e">
            <v>#REF!</v>
          </cell>
          <cell r="D18">
            <v>180</v>
          </cell>
          <cell r="E18">
            <v>180</v>
          </cell>
          <cell r="F18">
            <v>1.5</v>
          </cell>
          <cell r="G18">
            <v>30</v>
          </cell>
          <cell r="H18">
            <v>1.25</v>
          </cell>
          <cell r="I18">
            <v>35</v>
          </cell>
          <cell r="J18">
            <v>0.5</v>
          </cell>
          <cell r="K18">
            <v>40</v>
          </cell>
          <cell r="L18">
            <v>2.5</v>
          </cell>
          <cell r="M18">
            <v>25</v>
          </cell>
          <cell r="N18">
            <v>2</v>
          </cell>
          <cell r="O18">
            <v>30</v>
          </cell>
          <cell r="P18">
            <v>1</v>
          </cell>
          <cell r="Q18">
            <v>35</v>
          </cell>
          <cell r="R18">
            <v>3</v>
          </cell>
          <cell r="S18">
            <v>20</v>
          </cell>
          <cell r="T18">
            <v>2.5</v>
          </cell>
          <cell r="U18">
            <v>25</v>
          </cell>
          <cell r="V18">
            <v>1.5</v>
          </cell>
          <cell r="W18">
            <v>30</v>
          </cell>
          <cell r="X18">
            <v>1.5</v>
          </cell>
          <cell r="Y18">
            <v>30</v>
          </cell>
          <cell r="Z18">
            <v>1.25</v>
          </cell>
          <cell r="AA18">
            <v>35</v>
          </cell>
          <cell r="AB18">
            <v>0.5</v>
          </cell>
          <cell r="AC18">
            <v>40</v>
          </cell>
          <cell r="AD18">
            <v>2.5</v>
          </cell>
          <cell r="AE18">
            <v>25</v>
          </cell>
          <cell r="AF18">
            <v>2</v>
          </cell>
          <cell r="AG18">
            <v>30</v>
          </cell>
          <cell r="AH18">
            <v>1</v>
          </cell>
          <cell r="AI18">
            <v>35</v>
          </cell>
          <cell r="AJ18">
            <v>3</v>
          </cell>
          <cell r="AK18">
            <v>20</v>
          </cell>
          <cell r="AL18">
            <v>2.5</v>
          </cell>
          <cell r="AM18">
            <v>25</v>
          </cell>
          <cell r="AN18">
            <v>1.5</v>
          </cell>
          <cell r="AO18">
            <v>30</v>
          </cell>
        </row>
        <row r="19">
          <cell r="A19" t="str">
            <v>Commercial Draft Acceptance</v>
          </cell>
          <cell r="B19" t="e">
            <v>#REF!</v>
          </cell>
          <cell r="C19" t="e">
            <v>#REF!</v>
          </cell>
          <cell r="D19">
            <v>180</v>
          </cell>
          <cell r="E19">
            <v>180</v>
          </cell>
          <cell r="F19">
            <v>1.5</v>
          </cell>
          <cell r="G19">
            <v>30</v>
          </cell>
          <cell r="H19">
            <v>1.25</v>
          </cell>
          <cell r="I19">
            <v>35</v>
          </cell>
          <cell r="J19">
            <v>0.5</v>
          </cell>
          <cell r="K19">
            <v>40</v>
          </cell>
          <cell r="L19">
            <v>2.5</v>
          </cell>
          <cell r="M19">
            <v>25</v>
          </cell>
          <cell r="N19">
            <v>2</v>
          </cell>
          <cell r="O19">
            <v>30</v>
          </cell>
          <cell r="P19">
            <v>1</v>
          </cell>
          <cell r="Q19">
            <v>35</v>
          </cell>
          <cell r="R19">
            <v>3</v>
          </cell>
          <cell r="S19">
            <v>20</v>
          </cell>
          <cell r="T19">
            <v>2.5</v>
          </cell>
          <cell r="U19">
            <v>25</v>
          </cell>
          <cell r="V19">
            <v>1.5</v>
          </cell>
          <cell r="W19">
            <v>30</v>
          </cell>
          <cell r="X19">
            <v>1.5</v>
          </cell>
          <cell r="Y19">
            <v>30</v>
          </cell>
          <cell r="Z19">
            <v>1.25</v>
          </cell>
          <cell r="AA19">
            <v>35</v>
          </cell>
          <cell r="AB19">
            <v>0.5</v>
          </cell>
          <cell r="AC19">
            <v>40</v>
          </cell>
          <cell r="AD19">
            <v>2.5</v>
          </cell>
          <cell r="AE19">
            <v>25</v>
          </cell>
          <cell r="AF19">
            <v>2</v>
          </cell>
          <cell r="AG19">
            <v>30</v>
          </cell>
          <cell r="AH19">
            <v>1</v>
          </cell>
          <cell r="AI19">
            <v>35</v>
          </cell>
          <cell r="AJ19">
            <v>3</v>
          </cell>
          <cell r="AK19">
            <v>20</v>
          </cell>
          <cell r="AL19">
            <v>2.5</v>
          </cell>
          <cell r="AM19">
            <v>25</v>
          </cell>
          <cell r="AN19">
            <v>1.5</v>
          </cell>
          <cell r="AO19">
            <v>30</v>
          </cell>
        </row>
        <row r="20">
          <cell r="A20" t="str">
            <v>Accounts Payable Financing with Invoices</v>
          </cell>
          <cell r="B20" t="e">
            <v>#REF!</v>
          </cell>
          <cell r="C20" t="e">
            <v>#REF!</v>
          </cell>
          <cell r="D20">
            <v>180</v>
          </cell>
          <cell r="E20">
            <v>180</v>
          </cell>
          <cell r="F20">
            <v>1.5</v>
          </cell>
          <cell r="G20">
            <v>30</v>
          </cell>
          <cell r="H20">
            <v>1.25</v>
          </cell>
          <cell r="I20">
            <v>35</v>
          </cell>
          <cell r="J20">
            <v>0.5</v>
          </cell>
          <cell r="K20">
            <v>40</v>
          </cell>
          <cell r="L20">
            <v>2.5</v>
          </cell>
          <cell r="M20">
            <v>25</v>
          </cell>
          <cell r="N20">
            <v>2</v>
          </cell>
          <cell r="O20">
            <v>30</v>
          </cell>
          <cell r="P20">
            <v>1</v>
          </cell>
          <cell r="Q20">
            <v>35</v>
          </cell>
          <cell r="R20">
            <v>3</v>
          </cell>
          <cell r="S20">
            <v>20</v>
          </cell>
          <cell r="T20">
            <v>2.5</v>
          </cell>
          <cell r="U20">
            <v>25</v>
          </cell>
          <cell r="V20">
            <v>1.5</v>
          </cell>
          <cell r="W20">
            <v>30</v>
          </cell>
          <cell r="X20">
            <v>1.5</v>
          </cell>
          <cell r="Y20">
            <v>30</v>
          </cell>
          <cell r="Z20">
            <v>1.25</v>
          </cell>
          <cell r="AA20">
            <v>35</v>
          </cell>
          <cell r="AB20">
            <v>0.5</v>
          </cell>
          <cell r="AC20">
            <v>40</v>
          </cell>
          <cell r="AD20">
            <v>2.5</v>
          </cell>
          <cell r="AE20">
            <v>25</v>
          </cell>
          <cell r="AF20">
            <v>2</v>
          </cell>
          <cell r="AG20">
            <v>30</v>
          </cell>
          <cell r="AH20">
            <v>1</v>
          </cell>
          <cell r="AI20">
            <v>35</v>
          </cell>
          <cell r="AJ20">
            <v>3</v>
          </cell>
          <cell r="AK20">
            <v>20</v>
          </cell>
          <cell r="AL20">
            <v>2.5</v>
          </cell>
          <cell r="AM20">
            <v>25</v>
          </cell>
          <cell r="AN20">
            <v>1.5</v>
          </cell>
          <cell r="AO20">
            <v>30</v>
          </cell>
        </row>
        <row r="21">
          <cell r="A21" t="str">
            <v>Accounts Payable Financing without Invoices</v>
          </cell>
          <cell r="B21" t="e">
            <v>#REF!</v>
          </cell>
          <cell r="C21" t="e">
            <v>#REF!</v>
          </cell>
          <cell r="D21">
            <v>180</v>
          </cell>
          <cell r="E21">
            <v>180</v>
          </cell>
          <cell r="F21">
            <v>1.5</v>
          </cell>
          <cell r="G21">
            <v>30</v>
          </cell>
          <cell r="H21">
            <v>1.25</v>
          </cell>
          <cell r="I21">
            <v>35</v>
          </cell>
          <cell r="J21">
            <v>0.5</v>
          </cell>
          <cell r="K21">
            <v>40</v>
          </cell>
          <cell r="L21">
            <v>2.5</v>
          </cell>
          <cell r="M21">
            <v>25</v>
          </cell>
          <cell r="N21">
            <v>2</v>
          </cell>
          <cell r="O21">
            <v>30</v>
          </cell>
          <cell r="P21">
            <v>1</v>
          </cell>
          <cell r="Q21">
            <v>35</v>
          </cell>
          <cell r="R21">
            <v>3</v>
          </cell>
          <cell r="S21">
            <v>20</v>
          </cell>
          <cell r="T21">
            <v>2.5</v>
          </cell>
          <cell r="U21">
            <v>25</v>
          </cell>
          <cell r="V21">
            <v>1.5</v>
          </cell>
          <cell r="W21">
            <v>30</v>
          </cell>
          <cell r="X21">
            <v>1.5</v>
          </cell>
          <cell r="Y21">
            <v>30</v>
          </cell>
          <cell r="Z21">
            <v>1.25</v>
          </cell>
          <cell r="AA21">
            <v>35</v>
          </cell>
          <cell r="AB21">
            <v>0.5</v>
          </cell>
          <cell r="AC21">
            <v>40</v>
          </cell>
          <cell r="AD21">
            <v>2.5</v>
          </cell>
          <cell r="AE21">
            <v>25</v>
          </cell>
          <cell r="AF21">
            <v>2</v>
          </cell>
          <cell r="AG21">
            <v>30</v>
          </cell>
          <cell r="AH21">
            <v>1</v>
          </cell>
          <cell r="AI21">
            <v>35</v>
          </cell>
          <cell r="AJ21">
            <v>3</v>
          </cell>
          <cell r="AK21">
            <v>20</v>
          </cell>
          <cell r="AL21">
            <v>2.5</v>
          </cell>
          <cell r="AM21">
            <v>25</v>
          </cell>
          <cell r="AN21">
            <v>1.5</v>
          </cell>
          <cell r="AO21">
            <v>30</v>
          </cell>
        </row>
        <row r="22">
          <cell r="A22" t="str">
            <v>Discount of Export D/A</v>
          </cell>
          <cell r="B22" t="e">
            <v>#REF!</v>
          </cell>
          <cell r="C22" t="e">
            <v>#REF!</v>
          </cell>
          <cell r="D22">
            <v>180</v>
          </cell>
          <cell r="E22">
            <v>180</v>
          </cell>
          <cell r="F22">
            <v>1.5</v>
          </cell>
          <cell r="G22">
            <v>30</v>
          </cell>
          <cell r="H22">
            <v>1.25</v>
          </cell>
          <cell r="I22">
            <v>35</v>
          </cell>
          <cell r="J22">
            <v>0.5</v>
          </cell>
          <cell r="K22">
            <v>40</v>
          </cell>
          <cell r="L22">
            <v>2.5</v>
          </cell>
          <cell r="M22">
            <v>25</v>
          </cell>
          <cell r="N22">
            <v>2</v>
          </cell>
          <cell r="O22">
            <v>30</v>
          </cell>
          <cell r="P22">
            <v>1</v>
          </cell>
          <cell r="Q22">
            <v>35</v>
          </cell>
          <cell r="R22">
            <v>3</v>
          </cell>
          <cell r="S22">
            <v>20</v>
          </cell>
          <cell r="T22">
            <v>2.5</v>
          </cell>
          <cell r="U22">
            <v>25</v>
          </cell>
          <cell r="V22">
            <v>1.5</v>
          </cell>
          <cell r="W22">
            <v>30</v>
          </cell>
          <cell r="X22">
            <v>1.5</v>
          </cell>
          <cell r="Y22">
            <v>30</v>
          </cell>
          <cell r="Z22">
            <v>1.25</v>
          </cell>
          <cell r="AA22">
            <v>35</v>
          </cell>
          <cell r="AB22">
            <v>0.5</v>
          </cell>
          <cell r="AC22">
            <v>40</v>
          </cell>
          <cell r="AD22">
            <v>2.5</v>
          </cell>
          <cell r="AE22">
            <v>25</v>
          </cell>
          <cell r="AF22">
            <v>2</v>
          </cell>
          <cell r="AG22">
            <v>30</v>
          </cell>
          <cell r="AH22">
            <v>1</v>
          </cell>
          <cell r="AI22">
            <v>35</v>
          </cell>
          <cell r="AJ22">
            <v>3</v>
          </cell>
          <cell r="AK22">
            <v>20</v>
          </cell>
          <cell r="AL22">
            <v>2.5</v>
          </cell>
          <cell r="AM22">
            <v>25</v>
          </cell>
          <cell r="AN22">
            <v>1.5</v>
          </cell>
          <cell r="AO22">
            <v>30</v>
          </cell>
        </row>
        <row r="23">
          <cell r="A23" t="str">
            <v>Discount of Export D/P without B/L</v>
          </cell>
          <cell r="B23" t="e">
            <v>#REF!</v>
          </cell>
          <cell r="C23" t="e">
            <v>#REF!</v>
          </cell>
          <cell r="D23">
            <v>180</v>
          </cell>
          <cell r="E23">
            <v>180</v>
          </cell>
          <cell r="F23">
            <v>1.5</v>
          </cell>
          <cell r="G23">
            <v>30</v>
          </cell>
          <cell r="H23">
            <v>1.25</v>
          </cell>
          <cell r="I23">
            <v>35</v>
          </cell>
          <cell r="J23">
            <v>0.5</v>
          </cell>
          <cell r="K23">
            <v>40</v>
          </cell>
          <cell r="L23">
            <v>2.5</v>
          </cell>
          <cell r="M23">
            <v>25</v>
          </cell>
          <cell r="N23">
            <v>2</v>
          </cell>
          <cell r="O23">
            <v>30</v>
          </cell>
          <cell r="P23">
            <v>1</v>
          </cell>
          <cell r="Q23">
            <v>35</v>
          </cell>
          <cell r="R23">
            <v>3</v>
          </cell>
          <cell r="S23">
            <v>20</v>
          </cell>
          <cell r="T23">
            <v>2.5</v>
          </cell>
          <cell r="U23">
            <v>25</v>
          </cell>
          <cell r="V23">
            <v>1.5</v>
          </cell>
          <cell r="W23">
            <v>30</v>
          </cell>
          <cell r="X23">
            <v>1.5</v>
          </cell>
          <cell r="Y23">
            <v>30</v>
          </cell>
          <cell r="Z23">
            <v>1.25</v>
          </cell>
          <cell r="AA23">
            <v>35</v>
          </cell>
          <cell r="AB23">
            <v>0.5</v>
          </cell>
          <cell r="AC23">
            <v>40</v>
          </cell>
          <cell r="AD23">
            <v>2.5</v>
          </cell>
          <cell r="AE23">
            <v>25</v>
          </cell>
          <cell r="AF23">
            <v>2</v>
          </cell>
          <cell r="AG23">
            <v>30</v>
          </cell>
          <cell r="AH23">
            <v>1</v>
          </cell>
          <cell r="AI23">
            <v>35</v>
          </cell>
          <cell r="AJ23">
            <v>3</v>
          </cell>
          <cell r="AK23">
            <v>20</v>
          </cell>
          <cell r="AL23">
            <v>2.5</v>
          </cell>
          <cell r="AM23">
            <v>25</v>
          </cell>
          <cell r="AN23">
            <v>1.5</v>
          </cell>
          <cell r="AO23">
            <v>30</v>
          </cell>
        </row>
        <row r="24">
          <cell r="A24" t="str">
            <v>Import Loan under Import D/A or D/P</v>
          </cell>
          <cell r="B24" t="e">
            <v>#REF!</v>
          </cell>
          <cell r="C24" t="e">
            <v>#REF!</v>
          </cell>
          <cell r="D24">
            <v>180</v>
          </cell>
          <cell r="E24">
            <v>180</v>
          </cell>
          <cell r="F24">
            <v>1.5</v>
          </cell>
          <cell r="G24">
            <v>30</v>
          </cell>
          <cell r="H24">
            <v>1.25</v>
          </cell>
          <cell r="I24">
            <v>35</v>
          </cell>
          <cell r="J24">
            <v>0.5</v>
          </cell>
          <cell r="K24">
            <v>40</v>
          </cell>
          <cell r="L24">
            <v>2.5</v>
          </cell>
          <cell r="M24">
            <v>25</v>
          </cell>
          <cell r="N24">
            <v>2</v>
          </cell>
          <cell r="O24">
            <v>30</v>
          </cell>
          <cell r="P24">
            <v>1</v>
          </cell>
          <cell r="Q24">
            <v>35</v>
          </cell>
          <cell r="R24">
            <v>3</v>
          </cell>
          <cell r="S24">
            <v>20</v>
          </cell>
          <cell r="T24">
            <v>2.5</v>
          </cell>
          <cell r="U24">
            <v>25</v>
          </cell>
          <cell r="V24">
            <v>1.5</v>
          </cell>
          <cell r="W24">
            <v>30</v>
          </cell>
          <cell r="X24">
            <v>1.5</v>
          </cell>
          <cell r="Y24">
            <v>30</v>
          </cell>
          <cell r="Z24">
            <v>1.25</v>
          </cell>
          <cell r="AA24">
            <v>35</v>
          </cell>
          <cell r="AB24">
            <v>0.5</v>
          </cell>
          <cell r="AC24">
            <v>40</v>
          </cell>
          <cell r="AD24">
            <v>2.5</v>
          </cell>
          <cell r="AE24">
            <v>25</v>
          </cell>
          <cell r="AF24">
            <v>2</v>
          </cell>
          <cell r="AG24">
            <v>30</v>
          </cell>
          <cell r="AH24">
            <v>1</v>
          </cell>
          <cell r="AI24">
            <v>35</v>
          </cell>
          <cell r="AJ24">
            <v>3</v>
          </cell>
          <cell r="AK24">
            <v>20</v>
          </cell>
          <cell r="AL24">
            <v>2.5</v>
          </cell>
          <cell r="AM24">
            <v>25</v>
          </cell>
          <cell r="AN24">
            <v>1.5</v>
          </cell>
          <cell r="AO24">
            <v>30</v>
          </cell>
        </row>
        <row r="25">
          <cell r="A25" t="str">
            <v>RDDP-Receivable-Commercial Draft Discounting</v>
          </cell>
          <cell r="B25" t="e">
            <v>#REF!</v>
          </cell>
          <cell r="C25" t="e">
            <v>#REF!</v>
          </cell>
          <cell r="D25">
            <v>180</v>
          </cell>
          <cell r="E25">
            <v>180</v>
          </cell>
          <cell r="F25">
            <v>1.5</v>
          </cell>
          <cell r="G25">
            <v>30</v>
          </cell>
          <cell r="H25">
            <v>1.25</v>
          </cell>
          <cell r="I25">
            <v>35</v>
          </cell>
          <cell r="J25">
            <v>0.5</v>
          </cell>
          <cell r="K25">
            <v>40</v>
          </cell>
          <cell r="L25">
            <v>2.5</v>
          </cell>
          <cell r="M25">
            <v>25</v>
          </cell>
          <cell r="N25">
            <v>2</v>
          </cell>
          <cell r="O25">
            <v>30</v>
          </cell>
          <cell r="P25">
            <v>1</v>
          </cell>
          <cell r="Q25">
            <v>35</v>
          </cell>
          <cell r="R25">
            <v>3</v>
          </cell>
          <cell r="S25">
            <v>20</v>
          </cell>
          <cell r="T25">
            <v>2.5</v>
          </cell>
          <cell r="U25">
            <v>25</v>
          </cell>
          <cell r="V25">
            <v>1.5</v>
          </cell>
          <cell r="W25">
            <v>30</v>
          </cell>
          <cell r="X25">
            <v>1.5</v>
          </cell>
          <cell r="Y25">
            <v>30</v>
          </cell>
          <cell r="Z25">
            <v>1.25</v>
          </cell>
          <cell r="AA25">
            <v>35</v>
          </cell>
          <cell r="AB25">
            <v>0.5</v>
          </cell>
          <cell r="AC25">
            <v>40</v>
          </cell>
          <cell r="AD25">
            <v>2.5</v>
          </cell>
          <cell r="AE25">
            <v>25</v>
          </cell>
          <cell r="AF25">
            <v>2</v>
          </cell>
          <cell r="AG25">
            <v>30</v>
          </cell>
          <cell r="AH25">
            <v>1</v>
          </cell>
          <cell r="AI25">
            <v>35</v>
          </cell>
          <cell r="AJ25">
            <v>3</v>
          </cell>
          <cell r="AK25">
            <v>20</v>
          </cell>
          <cell r="AL25">
            <v>2.5</v>
          </cell>
          <cell r="AM25">
            <v>25</v>
          </cell>
          <cell r="AN25">
            <v>1.5</v>
          </cell>
          <cell r="AO25">
            <v>30</v>
          </cell>
        </row>
        <row r="26">
          <cell r="A26" t="str">
            <v>RDDP-Payable-Commercial Draft Discounting</v>
          </cell>
          <cell r="B26" t="e">
            <v>#REF!</v>
          </cell>
          <cell r="C26" t="e">
            <v>#REF!</v>
          </cell>
          <cell r="D26">
            <v>180</v>
          </cell>
          <cell r="E26">
            <v>180</v>
          </cell>
          <cell r="F26">
            <v>1.5</v>
          </cell>
          <cell r="G26">
            <v>30</v>
          </cell>
          <cell r="H26">
            <v>1.25</v>
          </cell>
          <cell r="I26">
            <v>35</v>
          </cell>
          <cell r="J26">
            <v>0.5</v>
          </cell>
          <cell r="K26">
            <v>40</v>
          </cell>
          <cell r="L26">
            <v>2.5</v>
          </cell>
          <cell r="M26">
            <v>25</v>
          </cell>
          <cell r="N26">
            <v>2</v>
          </cell>
          <cell r="O26">
            <v>30</v>
          </cell>
          <cell r="P26">
            <v>1</v>
          </cell>
          <cell r="Q26">
            <v>35</v>
          </cell>
          <cell r="R26">
            <v>3</v>
          </cell>
          <cell r="S26">
            <v>20</v>
          </cell>
          <cell r="T26">
            <v>2.5</v>
          </cell>
          <cell r="U26">
            <v>25</v>
          </cell>
          <cell r="V26">
            <v>1.5</v>
          </cell>
          <cell r="W26">
            <v>30</v>
          </cell>
          <cell r="X26">
            <v>1.5</v>
          </cell>
          <cell r="Y26">
            <v>30</v>
          </cell>
          <cell r="Z26">
            <v>1.25</v>
          </cell>
          <cell r="AA26">
            <v>35</v>
          </cell>
          <cell r="AB26">
            <v>0.5</v>
          </cell>
          <cell r="AC26">
            <v>40</v>
          </cell>
          <cell r="AD26">
            <v>2.5</v>
          </cell>
          <cell r="AE26">
            <v>25</v>
          </cell>
          <cell r="AF26">
            <v>2</v>
          </cell>
          <cell r="AG26">
            <v>30</v>
          </cell>
          <cell r="AH26">
            <v>1</v>
          </cell>
          <cell r="AI26">
            <v>35</v>
          </cell>
          <cell r="AJ26">
            <v>3</v>
          </cell>
          <cell r="AK26">
            <v>20</v>
          </cell>
          <cell r="AL26">
            <v>2.5</v>
          </cell>
          <cell r="AM26">
            <v>25</v>
          </cell>
          <cell r="AN26">
            <v>1.5</v>
          </cell>
          <cell r="AO26">
            <v>30</v>
          </cell>
        </row>
        <row r="27">
          <cell r="A27" t="str">
            <v>Packing Loans</v>
          </cell>
          <cell r="B27" t="e">
            <v>#REF!</v>
          </cell>
          <cell r="C27" t="e">
            <v>#REF!</v>
          </cell>
          <cell r="D27">
            <v>180</v>
          </cell>
          <cell r="E27">
            <v>180</v>
          </cell>
          <cell r="F27">
            <v>1.5</v>
          </cell>
          <cell r="G27">
            <v>30</v>
          </cell>
          <cell r="H27">
            <v>1.25</v>
          </cell>
          <cell r="I27">
            <v>35</v>
          </cell>
          <cell r="J27">
            <v>0.5</v>
          </cell>
          <cell r="K27">
            <v>40</v>
          </cell>
          <cell r="L27">
            <v>2.5</v>
          </cell>
          <cell r="M27">
            <v>25</v>
          </cell>
          <cell r="N27">
            <v>2</v>
          </cell>
          <cell r="O27">
            <v>30</v>
          </cell>
          <cell r="P27">
            <v>1</v>
          </cell>
          <cell r="Q27">
            <v>35</v>
          </cell>
          <cell r="R27">
            <v>3</v>
          </cell>
          <cell r="S27">
            <v>20</v>
          </cell>
          <cell r="T27">
            <v>2.5</v>
          </cell>
          <cell r="U27">
            <v>25</v>
          </cell>
          <cell r="V27">
            <v>1.5</v>
          </cell>
          <cell r="W27">
            <v>30</v>
          </cell>
          <cell r="X27">
            <v>1.5</v>
          </cell>
          <cell r="Y27">
            <v>30</v>
          </cell>
          <cell r="Z27">
            <v>1.25</v>
          </cell>
          <cell r="AA27">
            <v>35</v>
          </cell>
          <cell r="AB27">
            <v>0.5</v>
          </cell>
          <cell r="AC27">
            <v>40</v>
          </cell>
          <cell r="AD27">
            <v>2.5</v>
          </cell>
          <cell r="AE27">
            <v>25</v>
          </cell>
          <cell r="AF27">
            <v>2</v>
          </cell>
          <cell r="AG27">
            <v>30</v>
          </cell>
          <cell r="AH27">
            <v>1</v>
          </cell>
          <cell r="AI27">
            <v>35</v>
          </cell>
          <cell r="AJ27">
            <v>3</v>
          </cell>
          <cell r="AK27">
            <v>20</v>
          </cell>
          <cell r="AL27">
            <v>2.5</v>
          </cell>
          <cell r="AM27">
            <v>25</v>
          </cell>
          <cell r="AN27">
            <v>1.5</v>
          </cell>
          <cell r="AO27">
            <v>30</v>
          </cell>
        </row>
        <row r="28">
          <cell r="A28" t="str">
            <v>S/t Working Capital USD Loan</v>
          </cell>
          <cell r="B28" t="e">
            <v>#REF!</v>
          </cell>
          <cell r="C28" t="e">
            <v>#REF!</v>
          </cell>
          <cell r="D28">
            <v>360</v>
          </cell>
          <cell r="E28">
            <v>360</v>
          </cell>
          <cell r="F28">
            <v>1.5</v>
          </cell>
          <cell r="G28">
            <v>60</v>
          </cell>
          <cell r="H28">
            <v>1</v>
          </cell>
          <cell r="I28">
            <v>75</v>
          </cell>
          <cell r="J28">
            <v>0.5</v>
          </cell>
          <cell r="K28">
            <v>85</v>
          </cell>
          <cell r="L28">
            <v>2</v>
          </cell>
          <cell r="M28">
            <v>60</v>
          </cell>
          <cell r="N28">
            <v>1.5</v>
          </cell>
          <cell r="O28">
            <v>75</v>
          </cell>
          <cell r="P28">
            <v>1</v>
          </cell>
          <cell r="Q28">
            <v>85</v>
          </cell>
          <cell r="R28">
            <v>2.5</v>
          </cell>
          <cell r="S28">
            <v>60</v>
          </cell>
          <cell r="T28">
            <v>2</v>
          </cell>
          <cell r="U28">
            <v>75</v>
          </cell>
          <cell r="V28">
            <v>1.5</v>
          </cell>
          <cell r="W28">
            <v>85</v>
          </cell>
          <cell r="X28">
            <v>1.5</v>
          </cell>
          <cell r="Y28">
            <v>60</v>
          </cell>
          <cell r="Z28">
            <v>1</v>
          </cell>
          <cell r="AA28">
            <v>75</v>
          </cell>
          <cell r="AB28">
            <v>0.5</v>
          </cell>
          <cell r="AC28">
            <v>85</v>
          </cell>
          <cell r="AD28">
            <v>2</v>
          </cell>
          <cell r="AE28">
            <v>60</v>
          </cell>
          <cell r="AF28">
            <v>1.5</v>
          </cell>
          <cell r="AG28">
            <v>75</v>
          </cell>
          <cell r="AH28">
            <v>1</v>
          </cell>
          <cell r="AI28">
            <v>85</v>
          </cell>
          <cell r="AJ28">
            <v>2.5</v>
          </cell>
          <cell r="AK28">
            <v>60</v>
          </cell>
          <cell r="AL28">
            <v>2</v>
          </cell>
          <cell r="AM28">
            <v>75</v>
          </cell>
          <cell r="AN28">
            <v>1.5</v>
          </cell>
          <cell r="AO28">
            <v>85</v>
          </cell>
        </row>
        <row r="29">
          <cell r="A29" t="str">
            <v>S/t Working Capital RMB Loan</v>
          </cell>
          <cell r="B29" t="e">
            <v>#REF!</v>
          </cell>
          <cell r="C29" t="e">
            <v>#REF!</v>
          </cell>
          <cell r="D29">
            <v>360</v>
          </cell>
          <cell r="E29">
            <v>360</v>
          </cell>
          <cell r="F29">
            <v>1.5</v>
          </cell>
          <cell r="G29">
            <v>60</v>
          </cell>
          <cell r="H29">
            <v>1</v>
          </cell>
          <cell r="I29">
            <v>75</v>
          </cell>
          <cell r="J29">
            <v>0.5</v>
          </cell>
          <cell r="K29">
            <v>85</v>
          </cell>
          <cell r="L29">
            <v>2</v>
          </cell>
          <cell r="M29">
            <v>60</v>
          </cell>
          <cell r="N29">
            <v>1.5</v>
          </cell>
          <cell r="O29">
            <v>75</v>
          </cell>
          <cell r="P29">
            <v>1</v>
          </cell>
          <cell r="Q29">
            <v>85</v>
          </cell>
          <cell r="R29">
            <v>2.5</v>
          </cell>
          <cell r="S29">
            <v>60</v>
          </cell>
          <cell r="T29">
            <v>2</v>
          </cell>
          <cell r="U29">
            <v>75</v>
          </cell>
          <cell r="V29">
            <v>1.5</v>
          </cell>
          <cell r="W29">
            <v>85</v>
          </cell>
          <cell r="X29">
            <v>1.5</v>
          </cell>
          <cell r="Y29">
            <v>60</v>
          </cell>
          <cell r="Z29">
            <v>1</v>
          </cell>
          <cell r="AA29">
            <v>75</v>
          </cell>
          <cell r="AB29">
            <v>0.5</v>
          </cell>
          <cell r="AC29">
            <v>85</v>
          </cell>
          <cell r="AD29">
            <v>2</v>
          </cell>
          <cell r="AE29">
            <v>60</v>
          </cell>
          <cell r="AF29">
            <v>1.5</v>
          </cell>
          <cell r="AG29">
            <v>75</v>
          </cell>
          <cell r="AH29">
            <v>1</v>
          </cell>
          <cell r="AI29">
            <v>85</v>
          </cell>
          <cell r="AJ29">
            <v>2.5</v>
          </cell>
          <cell r="AK29">
            <v>60</v>
          </cell>
          <cell r="AL29">
            <v>2</v>
          </cell>
          <cell r="AM29">
            <v>75</v>
          </cell>
          <cell r="AN29">
            <v>1.5</v>
          </cell>
          <cell r="AO29">
            <v>85</v>
          </cell>
        </row>
        <row r="30">
          <cell r="A30" t="str">
            <v>Overdraft</v>
          </cell>
          <cell r="B30" t="e">
            <v>#REF!</v>
          </cell>
          <cell r="C30" t="str">
            <v>Demand</v>
          </cell>
          <cell r="D30" t="str">
            <v>On</v>
          </cell>
          <cell r="E30" t="str">
            <v>On</v>
          </cell>
          <cell r="F30">
            <v>1.5</v>
          </cell>
          <cell r="G30">
            <v>60</v>
          </cell>
          <cell r="H30">
            <v>1</v>
          </cell>
          <cell r="I30">
            <v>75</v>
          </cell>
          <cell r="J30">
            <v>0.5</v>
          </cell>
          <cell r="K30">
            <v>85</v>
          </cell>
          <cell r="L30">
            <v>2</v>
          </cell>
          <cell r="M30">
            <v>60</v>
          </cell>
          <cell r="N30">
            <v>1.5</v>
          </cell>
          <cell r="O30">
            <v>75</v>
          </cell>
          <cell r="P30">
            <v>1</v>
          </cell>
          <cell r="Q30">
            <v>85</v>
          </cell>
          <cell r="R30">
            <v>2.5</v>
          </cell>
          <cell r="S30">
            <v>60</v>
          </cell>
          <cell r="T30">
            <v>2</v>
          </cell>
          <cell r="U30">
            <v>75</v>
          </cell>
          <cell r="V30">
            <v>1.5</v>
          </cell>
          <cell r="W30">
            <v>85</v>
          </cell>
          <cell r="X30">
            <v>1.5</v>
          </cell>
          <cell r="Y30">
            <v>60</v>
          </cell>
          <cell r="Z30">
            <v>1</v>
          </cell>
          <cell r="AA30">
            <v>75</v>
          </cell>
          <cell r="AB30">
            <v>0.5</v>
          </cell>
          <cell r="AC30">
            <v>85</v>
          </cell>
          <cell r="AD30">
            <v>2</v>
          </cell>
          <cell r="AE30">
            <v>60</v>
          </cell>
          <cell r="AF30">
            <v>1.5</v>
          </cell>
          <cell r="AG30">
            <v>75</v>
          </cell>
          <cell r="AH30">
            <v>1</v>
          </cell>
          <cell r="AI30">
            <v>85</v>
          </cell>
          <cell r="AJ30">
            <v>2.5</v>
          </cell>
          <cell r="AK30">
            <v>60</v>
          </cell>
          <cell r="AL30">
            <v>2</v>
          </cell>
          <cell r="AM30">
            <v>75</v>
          </cell>
          <cell r="AN30">
            <v>1.5</v>
          </cell>
          <cell r="AO30">
            <v>85</v>
          </cell>
        </row>
        <row r="31">
          <cell r="A31" t="str">
            <v>Standby LC issuance</v>
          </cell>
          <cell r="B31" t="e">
            <v>#REF!</v>
          </cell>
          <cell r="C31" t="str">
            <v>Months</v>
          </cell>
          <cell r="D31">
            <v>12</v>
          </cell>
          <cell r="E31">
            <v>12</v>
          </cell>
          <cell r="F31">
            <v>1.5</v>
          </cell>
          <cell r="G31">
            <v>60</v>
          </cell>
          <cell r="H31">
            <v>1</v>
          </cell>
          <cell r="I31">
            <v>75</v>
          </cell>
          <cell r="J31">
            <v>0.5</v>
          </cell>
          <cell r="K31">
            <v>85</v>
          </cell>
          <cell r="L31">
            <v>2</v>
          </cell>
          <cell r="M31">
            <v>60</v>
          </cell>
          <cell r="N31">
            <v>1.5</v>
          </cell>
          <cell r="O31">
            <v>75</v>
          </cell>
          <cell r="P31">
            <v>1</v>
          </cell>
          <cell r="Q31">
            <v>85</v>
          </cell>
          <cell r="R31">
            <v>2.5</v>
          </cell>
          <cell r="S31">
            <v>60</v>
          </cell>
          <cell r="T31">
            <v>2</v>
          </cell>
          <cell r="U31">
            <v>75</v>
          </cell>
          <cell r="V31">
            <v>1.5</v>
          </cell>
          <cell r="W31">
            <v>85</v>
          </cell>
          <cell r="X31">
            <v>1.5</v>
          </cell>
          <cell r="Y31">
            <v>60</v>
          </cell>
          <cell r="Z31">
            <v>1</v>
          </cell>
          <cell r="AA31">
            <v>75</v>
          </cell>
          <cell r="AB31">
            <v>0.5</v>
          </cell>
          <cell r="AC31">
            <v>85</v>
          </cell>
          <cell r="AD31">
            <v>2</v>
          </cell>
          <cell r="AE31">
            <v>60</v>
          </cell>
          <cell r="AF31">
            <v>1.5</v>
          </cell>
          <cell r="AG31">
            <v>75</v>
          </cell>
          <cell r="AH31">
            <v>1</v>
          </cell>
          <cell r="AI31">
            <v>85</v>
          </cell>
          <cell r="AJ31">
            <v>2.5</v>
          </cell>
          <cell r="AK31">
            <v>60</v>
          </cell>
          <cell r="AL31">
            <v>2</v>
          </cell>
          <cell r="AM31">
            <v>75</v>
          </cell>
          <cell r="AN31">
            <v>1.5</v>
          </cell>
          <cell r="AO31">
            <v>85</v>
          </cell>
        </row>
        <row r="32">
          <cell r="A32" t="str">
            <v>Amortizing Term Loan</v>
          </cell>
          <cell r="B32" t="e">
            <v>#REF!</v>
          </cell>
          <cell r="C32" t="e">
            <v>#REF!</v>
          </cell>
          <cell r="D32">
            <v>36</v>
          </cell>
          <cell r="E32">
            <v>36</v>
          </cell>
          <cell r="F32">
            <v>1.5</v>
          </cell>
          <cell r="G32">
            <v>60</v>
          </cell>
          <cell r="H32">
            <v>1</v>
          </cell>
          <cell r="I32">
            <v>75</v>
          </cell>
          <cell r="J32">
            <v>0.5</v>
          </cell>
          <cell r="K32">
            <v>85</v>
          </cell>
          <cell r="L32">
            <v>2</v>
          </cell>
          <cell r="M32">
            <v>60</v>
          </cell>
          <cell r="N32">
            <v>1.5</v>
          </cell>
          <cell r="O32">
            <v>75</v>
          </cell>
          <cell r="P32">
            <v>1</v>
          </cell>
          <cell r="Q32">
            <v>85</v>
          </cell>
          <cell r="R32">
            <v>2.5</v>
          </cell>
          <cell r="S32">
            <v>60</v>
          </cell>
          <cell r="T32">
            <v>2</v>
          </cell>
          <cell r="U32">
            <v>75</v>
          </cell>
          <cell r="V32">
            <v>1.5</v>
          </cell>
          <cell r="W32">
            <v>85</v>
          </cell>
          <cell r="X32">
            <v>1.5</v>
          </cell>
          <cell r="Y32">
            <v>60</v>
          </cell>
          <cell r="Z32">
            <v>1</v>
          </cell>
          <cell r="AA32">
            <v>75</v>
          </cell>
          <cell r="AB32">
            <v>0.5</v>
          </cell>
          <cell r="AC32">
            <v>85</v>
          </cell>
          <cell r="AD32">
            <v>2</v>
          </cell>
          <cell r="AE32">
            <v>60</v>
          </cell>
          <cell r="AF32">
            <v>1.5</v>
          </cell>
          <cell r="AG32">
            <v>75</v>
          </cell>
          <cell r="AH32">
            <v>1</v>
          </cell>
          <cell r="AI32">
            <v>85</v>
          </cell>
          <cell r="AJ32">
            <v>2.5</v>
          </cell>
          <cell r="AK32">
            <v>60</v>
          </cell>
          <cell r="AL32">
            <v>2</v>
          </cell>
          <cell r="AM32">
            <v>75</v>
          </cell>
          <cell r="AN32">
            <v>1.5</v>
          </cell>
          <cell r="AO32">
            <v>85</v>
          </cell>
        </row>
        <row r="33">
          <cell r="A33" t="str">
            <v>Clean PSE</v>
          </cell>
          <cell r="B33" t="str">
            <v>PSE</v>
          </cell>
          <cell r="C33" t="str">
            <v>Months</v>
          </cell>
          <cell r="D33">
            <v>12</v>
          </cell>
          <cell r="E33">
            <v>12</v>
          </cell>
          <cell r="F33">
            <v>1.5</v>
          </cell>
          <cell r="G33">
            <v>0</v>
          </cell>
          <cell r="H33">
            <v>1</v>
          </cell>
          <cell r="I33">
            <v>0</v>
          </cell>
          <cell r="J33">
            <v>0.75</v>
          </cell>
          <cell r="K33">
            <v>0</v>
          </cell>
          <cell r="L33">
            <v>2.5</v>
          </cell>
          <cell r="M33">
            <v>0</v>
          </cell>
          <cell r="N33">
            <v>2</v>
          </cell>
          <cell r="O33">
            <v>0</v>
          </cell>
          <cell r="P33">
            <v>1.25</v>
          </cell>
          <cell r="Q33">
            <v>0</v>
          </cell>
          <cell r="R33">
            <v>3</v>
          </cell>
          <cell r="S33">
            <v>0</v>
          </cell>
          <cell r="T33">
            <v>2.25</v>
          </cell>
          <cell r="U33">
            <v>0</v>
          </cell>
          <cell r="V33">
            <v>1.5</v>
          </cell>
          <cell r="W33">
            <v>0</v>
          </cell>
          <cell r="X33">
            <v>1.5</v>
          </cell>
          <cell r="Y33">
            <v>0</v>
          </cell>
          <cell r="Z33">
            <v>1</v>
          </cell>
          <cell r="AA33">
            <v>0</v>
          </cell>
          <cell r="AB33">
            <v>0.75</v>
          </cell>
          <cell r="AC33">
            <v>0</v>
          </cell>
          <cell r="AD33">
            <v>2.5</v>
          </cell>
          <cell r="AE33">
            <v>0</v>
          </cell>
          <cell r="AF33">
            <v>2</v>
          </cell>
          <cell r="AG33">
            <v>0</v>
          </cell>
          <cell r="AH33">
            <v>1.25</v>
          </cell>
          <cell r="AI33">
            <v>0</v>
          </cell>
          <cell r="AJ33">
            <v>3</v>
          </cell>
          <cell r="AK33">
            <v>0</v>
          </cell>
          <cell r="AL33">
            <v>2.25</v>
          </cell>
          <cell r="AM33">
            <v>0</v>
          </cell>
          <cell r="AN33">
            <v>1.5</v>
          </cell>
          <cell r="AO33">
            <v>0</v>
          </cell>
        </row>
        <row r="34">
          <cell r="A34" t="str">
            <v>Cash Secured Sub-program</v>
          </cell>
          <cell r="B34" t="e">
            <v>#REF!</v>
          </cell>
          <cell r="C34" t="str">
            <v>Months</v>
          </cell>
          <cell r="D34">
            <v>12</v>
          </cell>
          <cell r="E34">
            <v>12</v>
          </cell>
          <cell r="F34">
            <v>0.5</v>
          </cell>
          <cell r="G34">
            <v>25</v>
          </cell>
          <cell r="H34">
            <v>0.5</v>
          </cell>
          <cell r="I34">
            <v>25</v>
          </cell>
          <cell r="J34">
            <v>0.5</v>
          </cell>
          <cell r="K34">
            <v>25</v>
          </cell>
          <cell r="L34">
            <v>1.5</v>
          </cell>
          <cell r="M34">
            <v>25</v>
          </cell>
          <cell r="N34">
            <v>1.5</v>
          </cell>
          <cell r="O34">
            <v>25</v>
          </cell>
          <cell r="P34">
            <v>1.5</v>
          </cell>
          <cell r="Q34">
            <v>25</v>
          </cell>
          <cell r="R34">
            <v>2.5</v>
          </cell>
          <cell r="S34">
            <v>25</v>
          </cell>
          <cell r="T34">
            <v>2.5</v>
          </cell>
          <cell r="U34">
            <v>25</v>
          </cell>
          <cell r="V34">
            <v>2.5</v>
          </cell>
          <cell r="W34">
            <v>25</v>
          </cell>
          <cell r="X34">
            <v>0.5</v>
          </cell>
          <cell r="Y34">
            <v>25</v>
          </cell>
          <cell r="Z34">
            <v>0.5</v>
          </cell>
          <cell r="AA34">
            <v>25</v>
          </cell>
          <cell r="AB34">
            <v>0.5</v>
          </cell>
          <cell r="AC34">
            <v>25</v>
          </cell>
          <cell r="AD34">
            <v>1.5</v>
          </cell>
          <cell r="AE34">
            <v>25</v>
          </cell>
          <cell r="AF34">
            <v>1.5</v>
          </cell>
          <cell r="AG34">
            <v>25</v>
          </cell>
          <cell r="AH34">
            <v>1.5</v>
          </cell>
          <cell r="AI34">
            <v>25</v>
          </cell>
          <cell r="AJ34">
            <v>2.5</v>
          </cell>
          <cell r="AK34">
            <v>25</v>
          </cell>
          <cell r="AL34">
            <v>2.5</v>
          </cell>
          <cell r="AM34">
            <v>25</v>
          </cell>
          <cell r="AN34">
            <v>2.5</v>
          </cell>
          <cell r="AO34">
            <v>25</v>
          </cell>
        </row>
        <row r="35">
          <cell r="A35" t="str">
            <v>Equipment Loan / Brand A</v>
          </cell>
          <cell r="B35" t="e">
            <v>#REF!</v>
          </cell>
          <cell r="C35" t="e">
            <v>#REF!</v>
          </cell>
          <cell r="D35">
            <v>24</v>
          </cell>
          <cell r="E35">
            <v>24</v>
          </cell>
          <cell r="F35">
            <v>0</v>
          </cell>
          <cell r="G35">
            <v>0</v>
          </cell>
          <cell r="H35">
            <v>0</v>
          </cell>
          <cell r="I35">
            <v>0</v>
          </cell>
          <cell r="J35">
            <v>0</v>
          </cell>
          <cell r="K35">
            <v>0</v>
          </cell>
          <cell r="L35">
            <v>2</v>
          </cell>
          <cell r="M35">
            <v>70</v>
          </cell>
          <cell r="N35">
            <v>2</v>
          </cell>
          <cell r="O35">
            <v>60</v>
          </cell>
          <cell r="P35">
            <v>1</v>
          </cell>
          <cell r="Q35">
            <v>100</v>
          </cell>
          <cell r="R35">
            <v>2.5</v>
          </cell>
          <cell r="S35">
            <v>70</v>
          </cell>
          <cell r="T35">
            <v>2.5</v>
          </cell>
          <cell r="U35">
            <v>60</v>
          </cell>
          <cell r="V35">
            <v>1.5</v>
          </cell>
          <cell r="W35">
            <v>0</v>
          </cell>
          <cell r="X35">
            <v>0</v>
          </cell>
          <cell r="Y35">
            <v>0</v>
          </cell>
          <cell r="Z35">
            <v>0</v>
          </cell>
          <cell r="AA35">
            <v>0</v>
          </cell>
          <cell r="AB35">
            <v>0</v>
          </cell>
          <cell r="AC35">
            <v>0</v>
          </cell>
          <cell r="AD35">
            <v>2</v>
          </cell>
          <cell r="AE35">
            <v>70</v>
          </cell>
          <cell r="AF35">
            <v>2</v>
          </cell>
          <cell r="AG35">
            <v>60</v>
          </cell>
          <cell r="AH35">
            <v>1</v>
          </cell>
          <cell r="AI35">
            <v>100</v>
          </cell>
          <cell r="AJ35">
            <v>2.5</v>
          </cell>
          <cell r="AK35">
            <v>70</v>
          </cell>
          <cell r="AL35">
            <v>2.5</v>
          </cell>
          <cell r="AM35">
            <v>60</v>
          </cell>
          <cell r="AN35">
            <v>1.5</v>
          </cell>
          <cell r="AO35">
            <v>0</v>
          </cell>
        </row>
        <row r="36">
          <cell r="A36" t="str">
            <v>Equipment Loan / Brand B</v>
          </cell>
          <cell r="B36" t="e">
            <v>#REF!</v>
          </cell>
          <cell r="C36" t="e">
            <v>#REF!</v>
          </cell>
          <cell r="D36">
            <v>24</v>
          </cell>
          <cell r="E36">
            <v>24</v>
          </cell>
          <cell r="F36">
            <v>0</v>
          </cell>
          <cell r="G36">
            <v>0</v>
          </cell>
          <cell r="H36">
            <v>0</v>
          </cell>
          <cell r="I36">
            <v>0</v>
          </cell>
          <cell r="J36">
            <v>0</v>
          </cell>
          <cell r="K36">
            <v>0</v>
          </cell>
          <cell r="L36">
            <v>2</v>
          </cell>
          <cell r="M36">
            <v>65</v>
          </cell>
          <cell r="N36">
            <v>2</v>
          </cell>
          <cell r="O36">
            <v>55</v>
          </cell>
          <cell r="P36">
            <v>1</v>
          </cell>
          <cell r="Q36">
            <v>100</v>
          </cell>
          <cell r="R36">
            <v>2.5</v>
          </cell>
          <cell r="S36">
            <v>65</v>
          </cell>
          <cell r="T36">
            <v>2.5</v>
          </cell>
          <cell r="U36">
            <v>55</v>
          </cell>
          <cell r="V36">
            <v>1.5</v>
          </cell>
          <cell r="W36">
            <v>0</v>
          </cell>
          <cell r="X36">
            <v>0</v>
          </cell>
          <cell r="Y36">
            <v>0</v>
          </cell>
          <cell r="Z36">
            <v>0</v>
          </cell>
          <cell r="AA36">
            <v>0</v>
          </cell>
          <cell r="AB36">
            <v>0</v>
          </cell>
          <cell r="AC36">
            <v>0</v>
          </cell>
          <cell r="AD36">
            <v>2</v>
          </cell>
          <cell r="AE36">
            <v>65</v>
          </cell>
          <cell r="AF36">
            <v>2</v>
          </cell>
          <cell r="AG36">
            <v>55</v>
          </cell>
          <cell r="AH36">
            <v>1</v>
          </cell>
          <cell r="AI36">
            <v>100</v>
          </cell>
          <cell r="AJ36">
            <v>2.5</v>
          </cell>
          <cell r="AK36">
            <v>65</v>
          </cell>
          <cell r="AL36">
            <v>2.5</v>
          </cell>
          <cell r="AM36">
            <v>55</v>
          </cell>
          <cell r="AN36">
            <v>1.5</v>
          </cell>
          <cell r="AO36">
            <v>0</v>
          </cell>
        </row>
        <row r="37">
          <cell r="A37" t="str">
            <v>Equipment Loan / Brand C</v>
          </cell>
          <cell r="B37" t="e">
            <v>#REF!</v>
          </cell>
          <cell r="C37" t="e">
            <v>#REF!</v>
          </cell>
          <cell r="D37">
            <v>24</v>
          </cell>
          <cell r="E37">
            <v>24</v>
          </cell>
          <cell r="F37">
            <v>0</v>
          </cell>
          <cell r="G37">
            <v>0</v>
          </cell>
          <cell r="H37">
            <v>0</v>
          </cell>
          <cell r="I37">
            <v>0</v>
          </cell>
          <cell r="J37">
            <v>0</v>
          </cell>
          <cell r="K37">
            <v>0</v>
          </cell>
          <cell r="L37">
            <v>2</v>
          </cell>
          <cell r="M37">
            <v>60</v>
          </cell>
          <cell r="N37">
            <v>2</v>
          </cell>
          <cell r="O37">
            <v>50</v>
          </cell>
          <cell r="P37">
            <v>1</v>
          </cell>
          <cell r="Q37">
            <v>100</v>
          </cell>
          <cell r="R37">
            <v>2.5</v>
          </cell>
          <cell r="S37">
            <v>60</v>
          </cell>
          <cell r="T37">
            <v>2.5</v>
          </cell>
          <cell r="U37">
            <v>50</v>
          </cell>
          <cell r="V37">
            <v>1.5</v>
          </cell>
          <cell r="W37">
            <v>0</v>
          </cell>
          <cell r="X37">
            <v>0</v>
          </cell>
          <cell r="Y37">
            <v>0</v>
          </cell>
          <cell r="Z37">
            <v>0</v>
          </cell>
          <cell r="AA37">
            <v>0</v>
          </cell>
          <cell r="AB37">
            <v>0</v>
          </cell>
          <cell r="AC37">
            <v>0</v>
          </cell>
          <cell r="AD37">
            <v>2</v>
          </cell>
          <cell r="AE37">
            <v>60</v>
          </cell>
          <cell r="AF37">
            <v>2</v>
          </cell>
          <cell r="AG37">
            <v>50</v>
          </cell>
          <cell r="AH37">
            <v>1</v>
          </cell>
          <cell r="AI37">
            <v>100</v>
          </cell>
          <cell r="AJ37">
            <v>2.5</v>
          </cell>
          <cell r="AK37">
            <v>60</v>
          </cell>
          <cell r="AL37">
            <v>2.5</v>
          </cell>
          <cell r="AM37">
            <v>50</v>
          </cell>
          <cell r="AN37">
            <v>1.5</v>
          </cell>
          <cell r="AO37">
            <v>0</v>
          </cell>
        </row>
        <row r="38">
          <cell r="A38"/>
          <cell r="B38"/>
          <cell r="C38"/>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row>
        <row r="39">
          <cell r="A39" t="str">
            <v>Max Credit Facility Limit</v>
          </cell>
          <cell r="B39"/>
          <cell r="C39"/>
          <cell r="D39"/>
          <cell r="E39"/>
          <cell r="F39">
            <v>3</v>
          </cell>
          <cell r="G39"/>
          <cell r="H39">
            <v>3</v>
          </cell>
          <cell r="I39"/>
          <cell r="J39">
            <v>3</v>
          </cell>
          <cell r="K39"/>
          <cell r="L39">
            <v>4</v>
          </cell>
          <cell r="M39"/>
          <cell r="N39">
            <v>4</v>
          </cell>
          <cell r="O39"/>
          <cell r="P39">
            <v>4</v>
          </cell>
          <cell r="Q39"/>
          <cell r="R39">
            <v>5</v>
          </cell>
          <cell r="S39"/>
          <cell r="T39">
            <v>5</v>
          </cell>
          <cell r="U39"/>
          <cell r="V39">
            <v>4</v>
          </cell>
          <cell r="W39"/>
          <cell r="X39">
            <v>3</v>
          </cell>
          <cell r="Y39"/>
          <cell r="Z39">
            <v>3</v>
          </cell>
          <cell r="AA39"/>
          <cell r="AB39">
            <v>3</v>
          </cell>
          <cell r="AC39"/>
          <cell r="AD39">
            <v>4</v>
          </cell>
          <cell r="AE39"/>
          <cell r="AF39">
            <v>4</v>
          </cell>
          <cell r="AG39"/>
          <cell r="AH39">
            <v>4</v>
          </cell>
          <cell r="AI39"/>
          <cell r="AJ39">
            <v>5</v>
          </cell>
          <cell r="AK39"/>
          <cell r="AL39">
            <v>5</v>
          </cell>
          <cell r="AM39"/>
          <cell r="AN39">
            <v>4</v>
          </cell>
          <cell r="AO39"/>
        </row>
        <row r="40">
          <cell r="A40" t="str">
            <v xml:space="preserve"> - Total CAT A</v>
          </cell>
          <cell r="B40"/>
          <cell r="C40"/>
          <cell r="D40"/>
          <cell r="E40"/>
          <cell r="F40">
            <v>3</v>
          </cell>
          <cell r="G40"/>
          <cell r="H40">
            <v>3</v>
          </cell>
          <cell r="I40"/>
          <cell r="J40">
            <v>3</v>
          </cell>
          <cell r="K40"/>
          <cell r="L40">
            <v>4</v>
          </cell>
          <cell r="M40"/>
          <cell r="N40">
            <v>4</v>
          </cell>
          <cell r="O40"/>
          <cell r="P40">
            <v>4</v>
          </cell>
          <cell r="Q40"/>
          <cell r="R40">
            <v>5</v>
          </cell>
          <cell r="S40"/>
          <cell r="T40">
            <v>5</v>
          </cell>
          <cell r="U40"/>
          <cell r="V40">
            <v>4</v>
          </cell>
          <cell r="W40"/>
          <cell r="X40">
            <v>3</v>
          </cell>
          <cell r="Y40"/>
          <cell r="Z40">
            <v>3</v>
          </cell>
          <cell r="AA40"/>
          <cell r="AB40">
            <v>3</v>
          </cell>
          <cell r="AC40"/>
          <cell r="AD40">
            <v>4</v>
          </cell>
          <cell r="AE40"/>
          <cell r="AF40">
            <v>4</v>
          </cell>
          <cell r="AG40"/>
          <cell r="AH40">
            <v>4</v>
          </cell>
          <cell r="AI40"/>
          <cell r="AJ40">
            <v>5</v>
          </cell>
          <cell r="AK40"/>
          <cell r="AL40">
            <v>5</v>
          </cell>
          <cell r="AM40"/>
          <cell r="AN40">
            <v>4</v>
          </cell>
          <cell r="AO40"/>
        </row>
        <row r="41">
          <cell r="A41" t="str">
            <v xml:space="preserve"> - Total CAT B - All</v>
          </cell>
          <cell r="B41"/>
          <cell r="C41"/>
          <cell r="D41"/>
          <cell r="E41"/>
          <cell r="F41">
            <v>2.5</v>
          </cell>
          <cell r="G41"/>
          <cell r="H41">
            <v>2</v>
          </cell>
          <cell r="I41"/>
          <cell r="J41">
            <v>1</v>
          </cell>
          <cell r="K41"/>
          <cell r="L41">
            <v>3</v>
          </cell>
          <cell r="M41"/>
          <cell r="N41">
            <v>2.5</v>
          </cell>
          <cell r="O41"/>
          <cell r="P41">
            <v>1.5</v>
          </cell>
          <cell r="Q41"/>
          <cell r="R41">
            <v>4</v>
          </cell>
          <cell r="S41"/>
          <cell r="T41">
            <v>3</v>
          </cell>
          <cell r="U41"/>
          <cell r="V41">
            <v>2</v>
          </cell>
          <cell r="W41"/>
          <cell r="X41">
            <v>2.5</v>
          </cell>
          <cell r="Y41"/>
          <cell r="Z41">
            <v>2</v>
          </cell>
          <cell r="AA41"/>
          <cell r="AB41">
            <v>1</v>
          </cell>
          <cell r="AC41"/>
          <cell r="AD41">
            <v>3</v>
          </cell>
          <cell r="AE41"/>
          <cell r="AF41">
            <v>2.5</v>
          </cell>
          <cell r="AG41"/>
          <cell r="AH41">
            <v>1.5</v>
          </cell>
          <cell r="AI41"/>
          <cell r="AJ41">
            <v>4</v>
          </cell>
          <cell r="AK41"/>
          <cell r="AL41">
            <v>3</v>
          </cell>
          <cell r="AM41"/>
          <cell r="AN41">
            <v>2</v>
          </cell>
          <cell r="AO41"/>
        </row>
        <row r="42">
          <cell r="A42" t="str">
            <v xml:space="preserve"> - Total CAT B - IR only</v>
          </cell>
          <cell r="B42"/>
          <cell r="C42"/>
          <cell r="D42"/>
          <cell r="E42"/>
          <cell r="F42">
            <v>2</v>
          </cell>
          <cell r="G42"/>
          <cell r="H42">
            <v>1.5</v>
          </cell>
          <cell r="I42"/>
          <cell r="J42">
            <v>1</v>
          </cell>
          <cell r="K42"/>
          <cell r="L42">
            <v>3</v>
          </cell>
          <cell r="M42"/>
          <cell r="N42">
            <v>2.5</v>
          </cell>
          <cell r="O42"/>
          <cell r="P42">
            <v>1.5</v>
          </cell>
          <cell r="Q42"/>
          <cell r="R42">
            <v>4</v>
          </cell>
          <cell r="S42"/>
          <cell r="T42">
            <v>3</v>
          </cell>
          <cell r="U42"/>
          <cell r="V42">
            <v>2</v>
          </cell>
          <cell r="W42"/>
          <cell r="X42">
            <v>2</v>
          </cell>
          <cell r="Y42"/>
          <cell r="Z42">
            <v>1.5</v>
          </cell>
          <cell r="AA42"/>
          <cell r="AB42">
            <v>1</v>
          </cell>
          <cell r="AC42"/>
          <cell r="AD42">
            <v>3</v>
          </cell>
          <cell r="AE42"/>
          <cell r="AF42">
            <v>2.5</v>
          </cell>
          <cell r="AG42"/>
          <cell r="AH42">
            <v>1.5</v>
          </cell>
          <cell r="AI42"/>
          <cell r="AJ42">
            <v>4</v>
          </cell>
          <cell r="AK42"/>
          <cell r="AL42">
            <v>3</v>
          </cell>
          <cell r="AM42"/>
          <cell r="AN42">
            <v>2</v>
          </cell>
          <cell r="AO42"/>
        </row>
        <row r="43">
          <cell r="A43" t="str">
            <v xml:space="preserve"> - Total CAT B - No IR</v>
          </cell>
          <cell r="B43"/>
          <cell r="C43"/>
          <cell r="D43"/>
          <cell r="E43"/>
          <cell r="F43">
            <v>1.5</v>
          </cell>
          <cell r="G43"/>
          <cell r="H43">
            <v>1.25</v>
          </cell>
          <cell r="I43"/>
          <cell r="J43">
            <v>1</v>
          </cell>
          <cell r="K43"/>
          <cell r="L43">
            <v>2.5</v>
          </cell>
          <cell r="M43"/>
          <cell r="N43">
            <v>2</v>
          </cell>
          <cell r="O43"/>
          <cell r="P43">
            <v>1.5</v>
          </cell>
          <cell r="Q43"/>
          <cell r="R43">
            <v>3</v>
          </cell>
          <cell r="S43"/>
          <cell r="T43">
            <v>2.5</v>
          </cell>
          <cell r="U43"/>
          <cell r="V43">
            <v>2</v>
          </cell>
          <cell r="W43"/>
          <cell r="X43">
            <v>1.5</v>
          </cell>
          <cell r="Y43"/>
          <cell r="Z43">
            <v>1.25</v>
          </cell>
          <cell r="AA43"/>
          <cell r="AB43">
            <v>1</v>
          </cell>
          <cell r="AC43"/>
          <cell r="AD43">
            <v>2.5</v>
          </cell>
          <cell r="AE43"/>
          <cell r="AF43">
            <v>2</v>
          </cell>
          <cell r="AG43"/>
          <cell r="AH43">
            <v>1.5</v>
          </cell>
          <cell r="AI43"/>
          <cell r="AJ43">
            <v>3</v>
          </cell>
          <cell r="AK43"/>
          <cell r="AL43">
            <v>2.5</v>
          </cell>
          <cell r="AM43"/>
          <cell r="AN43">
            <v>2</v>
          </cell>
          <cell r="AO43"/>
        </row>
        <row r="44">
          <cell r="A44" t="str">
            <v xml:space="preserve"> - Total CAT C</v>
          </cell>
          <cell r="B44"/>
          <cell r="C44"/>
          <cell r="D44"/>
          <cell r="E44"/>
          <cell r="F44">
            <v>1.5</v>
          </cell>
          <cell r="G44"/>
          <cell r="H44">
            <v>1</v>
          </cell>
          <cell r="I44"/>
          <cell r="J44">
            <v>0.5</v>
          </cell>
          <cell r="K44"/>
          <cell r="L44">
            <v>2</v>
          </cell>
          <cell r="M44"/>
          <cell r="N44">
            <v>1.5</v>
          </cell>
          <cell r="O44"/>
          <cell r="P44">
            <v>1</v>
          </cell>
          <cell r="Q44"/>
          <cell r="R44">
            <v>2.5</v>
          </cell>
          <cell r="S44"/>
          <cell r="T44">
            <v>2</v>
          </cell>
          <cell r="U44"/>
          <cell r="V44">
            <v>1.5</v>
          </cell>
          <cell r="W44"/>
          <cell r="X44">
            <v>1.5</v>
          </cell>
          <cell r="Y44"/>
          <cell r="Z44">
            <v>1</v>
          </cell>
          <cell r="AA44"/>
          <cell r="AB44">
            <v>0.5</v>
          </cell>
          <cell r="AC44"/>
          <cell r="AD44">
            <v>2</v>
          </cell>
          <cell r="AE44"/>
          <cell r="AF44">
            <v>1.5</v>
          </cell>
          <cell r="AG44"/>
          <cell r="AH44">
            <v>1</v>
          </cell>
          <cell r="AI44"/>
          <cell r="AJ44">
            <v>2.5</v>
          </cell>
          <cell r="AK44"/>
          <cell r="AL44">
            <v>2</v>
          </cell>
          <cell r="AM44"/>
          <cell r="AN44">
            <v>1.5</v>
          </cell>
          <cell r="AO44"/>
        </row>
        <row r="45">
          <cell r="A45" t="str">
            <v xml:space="preserve"> - Total PSE</v>
          </cell>
          <cell r="B45"/>
          <cell r="C45"/>
          <cell r="D45"/>
          <cell r="E45"/>
          <cell r="F45">
            <v>2</v>
          </cell>
          <cell r="G45"/>
          <cell r="H45">
            <v>1.5</v>
          </cell>
          <cell r="I45"/>
          <cell r="J45">
            <v>1.25</v>
          </cell>
          <cell r="K45"/>
          <cell r="L45">
            <v>4</v>
          </cell>
          <cell r="M45"/>
          <cell r="N45">
            <v>3.5</v>
          </cell>
          <cell r="O45"/>
          <cell r="P45">
            <v>2.75</v>
          </cell>
          <cell r="Q45"/>
          <cell r="R45">
            <v>5</v>
          </cell>
          <cell r="S45"/>
          <cell r="T45">
            <v>4.75</v>
          </cell>
          <cell r="U45"/>
          <cell r="V45">
            <v>4</v>
          </cell>
          <cell r="W45"/>
          <cell r="X45">
            <v>2</v>
          </cell>
          <cell r="Y45"/>
          <cell r="Z45">
            <v>1.5</v>
          </cell>
          <cell r="AA45"/>
          <cell r="AB45">
            <v>1.25</v>
          </cell>
          <cell r="AC45"/>
          <cell r="AD45">
            <v>4</v>
          </cell>
          <cell r="AE45"/>
          <cell r="AF45">
            <v>3.5</v>
          </cell>
          <cell r="AG45"/>
          <cell r="AH45">
            <v>2.75</v>
          </cell>
          <cell r="AI45"/>
          <cell r="AJ45">
            <v>5</v>
          </cell>
          <cell r="AK45"/>
          <cell r="AL45">
            <v>4.75</v>
          </cell>
          <cell r="AM45"/>
          <cell r="AN45">
            <v>4</v>
          </cell>
          <cell r="AO45"/>
        </row>
        <row r="46">
          <cell r="A46" t="str">
            <v xml:space="preserve"> - Total Equipment Loans</v>
          </cell>
          <cell r="B46"/>
          <cell r="C46"/>
          <cell r="D46"/>
          <cell r="E46"/>
          <cell r="F46">
            <v>0</v>
          </cell>
          <cell r="G46"/>
          <cell r="H46">
            <v>0</v>
          </cell>
          <cell r="I46"/>
          <cell r="J46">
            <v>0</v>
          </cell>
          <cell r="K46"/>
          <cell r="L46">
            <v>2</v>
          </cell>
          <cell r="M46"/>
          <cell r="N46">
            <v>2</v>
          </cell>
          <cell r="O46"/>
          <cell r="P46">
            <v>1</v>
          </cell>
          <cell r="Q46"/>
          <cell r="R46">
            <v>2.5</v>
          </cell>
          <cell r="S46"/>
          <cell r="T46">
            <v>2.5</v>
          </cell>
          <cell r="U46"/>
          <cell r="V46">
            <v>1.5</v>
          </cell>
          <cell r="W46"/>
          <cell r="X46">
            <v>0</v>
          </cell>
          <cell r="Y46"/>
          <cell r="Z46">
            <v>0</v>
          </cell>
          <cell r="AA46"/>
          <cell r="AB46">
            <v>0</v>
          </cell>
          <cell r="AC46"/>
          <cell r="AD46">
            <v>2</v>
          </cell>
          <cell r="AE46"/>
          <cell r="AF46">
            <v>2</v>
          </cell>
          <cell r="AG46"/>
          <cell r="AH46">
            <v>1</v>
          </cell>
          <cell r="AI46"/>
          <cell r="AJ46">
            <v>2.5</v>
          </cell>
          <cell r="AK46"/>
          <cell r="AL46">
            <v>2.5</v>
          </cell>
          <cell r="AM46"/>
          <cell r="AN46">
            <v>1.5</v>
          </cell>
          <cell r="AO46"/>
        </row>
        <row r="47">
          <cell r="A47" t="str">
            <v xml:space="preserve"> - Total RE Mortgage Loan</v>
          </cell>
          <cell r="B47"/>
          <cell r="C47"/>
          <cell r="D47"/>
          <cell r="E47"/>
          <cell r="F47">
            <v>3</v>
          </cell>
          <cell r="G47"/>
          <cell r="H47">
            <v>3</v>
          </cell>
          <cell r="I47"/>
          <cell r="J47">
            <v>3</v>
          </cell>
          <cell r="K47"/>
          <cell r="L47">
            <v>4</v>
          </cell>
          <cell r="M47"/>
          <cell r="N47">
            <v>4</v>
          </cell>
          <cell r="O47"/>
          <cell r="P47">
            <v>4</v>
          </cell>
          <cell r="Q47"/>
          <cell r="R47">
            <v>5</v>
          </cell>
          <cell r="S47"/>
          <cell r="T47">
            <v>5</v>
          </cell>
          <cell r="U47"/>
          <cell r="V47">
            <v>4</v>
          </cell>
          <cell r="W47"/>
          <cell r="X47">
            <v>3</v>
          </cell>
          <cell r="Y47"/>
          <cell r="Z47">
            <v>3</v>
          </cell>
          <cell r="AA47"/>
          <cell r="AB47">
            <v>3</v>
          </cell>
          <cell r="AC47"/>
          <cell r="AD47">
            <v>4</v>
          </cell>
          <cell r="AE47"/>
          <cell r="AF47">
            <v>4</v>
          </cell>
          <cell r="AG47"/>
          <cell r="AH47">
            <v>4</v>
          </cell>
          <cell r="AI47"/>
          <cell r="AJ47">
            <v>5</v>
          </cell>
          <cell r="AK47"/>
          <cell r="AL47">
            <v>5</v>
          </cell>
          <cell r="AM47"/>
          <cell r="AN47">
            <v>4</v>
          </cell>
          <cell r="AO47"/>
        </row>
        <row r="48">
          <cell r="A48" t="str">
            <v>MCFL</v>
          </cell>
          <cell r="B48"/>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row>
        <row r="49">
          <cell r="A49" t="str">
            <v>All</v>
          </cell>
          <cell r="B49"/>
          <cell r="C49"/>
          <cell r="D49"/>
          <cell r="E49"/>
          <cell r="F49">
            <v>4.5</v>
          </cell>
          <cell r="G49"/>
          <cell r="H49">
            <v>4</v>
          </cell>
          <cell r="I49"/>
          <cell r="J49">
            <v>3.5</v>
          </cell>
          <cell r="K49"/>
          <cell r="L49">
            <v>8</v>
          </cell>
          <cell r="M49"/>
          <cell r="N49">
            <v>7</v>
          </cell>
          <cell r="O49"/>
          <cell r="P49">
            <v>6</v>
          </cell>
          <cell r="Q49"/>
          <cell r="R49">
            <v>10</v>
          </cell>
          <cell r="S49"/>
          <cell r="T49">
            <v>10</v>
          </cell>
          <cell r="U49"/>
          <cell r="V49">
            <v>8</v>
          </cell>
          <cell r="W49"/>
          <cell r="X49">
            <v>4.5</v>
          </cell>
          <cell r="Y49"/>
          <cell r="Z49">
            <v>4</v>
          </cell>
          <cell r="AA49"/>
          <cell r="AB49">
            <v>3.5</v>
          </cell>
          <cell r="AC49"/>
          <cell r="AD49">
            <v>8</v>
          </cell>
          <cell r="AE49"/>
          <cell r="AF49">
            <v>7</v>
          </cell>
          <cell r="AG49"/>
          <cell r="AH49">
            <v>6</v>
          </cell>
          <cell r="AI49"/>
          <cell r="AJ49">
            <v>10</v>
          </cell>
          <cell r="AK49"/>
          <cell r="AL49">
            <v>10</v>
          </cell>
          <cell r="AM49"/>
          <cell r="AN49">
            <v>8</v>
          </cell>
          <cell r="AO49"/>
        </row>
        <row r="50">
          <cell r="A50" t="str">
            <v>Incl. PSE</v>
          </cell>
          <cell r="B50"/>
          <cell r="C50"/>
          <cell r="D50"/>
          <cell r="E50"/>
          <cell r="F50">
            <v>4</v>
          </cell>
          <cell r="G50"/>
          <cell r="H50">
            <v>3.5</v>
          </cell>
          <cell r="I50"/>
          <cell r="J50">
            <v>3.3</v>
          </cell>
          <cell r="K50"/>
          <cell r="L50">
            <v>5.5</v>
          </cell>
          <cell r="M50"/>
          <cell r="N50">
            <v>5</v>
          </cell>
          <cell r="O50"/>
          <cell r="P50">
            <v>4.8</v>
          </cell>
          <cell r="Q50"/>
          <cell r="R50">
            <v>7</v>
          </cell>
          <cell r="S50"/>
          <cell r="T50">
            <v>6.5</v>
          </cell>
          <cell r="U50"/>
          <cell r="V50">
            <v>5</v>
          </cell>
          <cell r="W50"/>
          <cell r="X50">
            <v>4</v>
          </cell>
          <cell r="Y50"/>
          <cell r="Z50">
            <v>3.5</v>
          </cell>
          <cell r="AA50"/>
          <cell r="AB50">
            <v>3.3</v>
          </cell>
          <cell r="AC50"/>
          <cell r="AD50">
            <v>5.5</v>
          </cell>
          <cell r="AE50"/>
          <cell r="AF50">
            <v>5</v>
          </cell>
          <cell r="AG50"/>
          <cell r="AH50">
            <v>4.8</v>
          </cell>
          <cell r="AI50"/>
          <cell r="AJ50">
            <v>7</v>
          </cell>
          <cell r="AK50"/>
          <cell r="AL50">
            <v>6.5</v>
          </cell>
          <cell r="AM50"/>
          <cell r="AN50">
            <v>5</v>
          </cell>
          <cell r="AO50"/>
        </row>
        <row r="51">
          <cell r="A51" t="str">
            <v>GBF&amp;EL</v>
          </cell>
          <cell r="B51"/>
          <cell r="C51"/>
          <cell r="D51"/>
          <cell r="E51"/>
          <cell r="F51">
            <v>3</v>
          </cell>
          <cell r="G51"/>
          <cell r="H51">
            <v>3</v>
          </cell>
          <cell r="I51"/>
          <cell r="J51">
            <v>3</v>
          </cell>
          <cell r="K51"/>
          <cell r="L51">
            <v>4</v>
          </cell>
          <cell r="M51"/>
          <cell r="N51">
            <v>4</v>
          </cell>
          <cell r="O51"/>
          <cell r="P51">
            <v>4</v>
          </cell>
          <cell r="Q51"/>
          <cell r="R51">
            <v>5</v>
          </cell>
          <cell r="S51"/>
          <cell r="T51">
            <v>5</v>
          </cell>
          <cell r="U51"/>
          <cell r="V51">
            <v>4</v>
          </cell>
          <cell r="W51"/>
          <cell r="X51">
            <v>3</v>
          </cell>
          <cell r="Y51"/>
          <cell r="Z51">
            <v>3</v>
          </cell>
          <cell r="AA51"/>
          <cell r="AB51">
            <v>3</v>
          </cell>
          <cell r="AC51"/>
          <cell r="AD51">
            <v>4</v>
          </cell>
          <cell r="AE51"/>
          <cell r="AF51">
            <v>4</v>
          </cell>
          <cell r="AG51"/>
          <cell r="AH51">
            <v>4</v>
          </cell>
          <cell r="AI51"/>
          <cell r="AJ51">
            <v>5</v>
          </cell>
          <cell r="AK51"/>
          <cell r="AL51">
            <v>5</v>
          </cell>
          <cell r="AM51"/>
          <cell r="AN51">
            <v>4</v>
          </cell>
          <cell r="AO51"/>
        </row>
        <row r="54">
          <cell r="B54">
            <v>10</v>
          </cell>
        </row>
        <row r="56">
          <cell r="B56">
            <v>30</v>
          </cell>
        </row>
        <row r="57">
          <cell r="B57">
            <v>40</v>
          </cell>
        </row>
      </sheetData>
      <sheetData sheetId="24">
        <row r="37">
          <cell r="L37" t="e">
            <v>#REF!</v>
          </cell>
        </row>
      </sheetData>
      <sheetData sheetId="25">
        <row r="4">
          <cell r="C4">
            <v>1</v>
          </cell>
        </row>
        <row r="5">
          <cell r="C5">
            <v>1</v>
          </cell>
          <cell r="E5">
            <v>3</v>
          </cell>
          <cell r="F5" t="str">
            <v>A</v>
          </cell>
          <cell r="H5">
            <v>1</v>
          </cell>
        </row>
        <row r="6">
          <cell r="E6">
            <v>2</v>
          </cell>
          <cell r="F6" t="str">
            <v>B</v>
          </cell>
          <cell r="H6" t="str">
            <v>1-</v>
          </cell>
        </row>
        <row r="7">
          <cell r="E7">
            <v>1</v>
          </cell>
          <cell r="F7" t="str">
            <v>C</v>
          </cell>
          <cell r="H7" t="str">
            <v>2+</v>
          </cell>
        </row>
        <row r="8">
          <cell r="B8" t="str">
            <v>Infinite</v>
          </cell>
          <cell r="E8">
            <v>0</v>
          </cell>
          <cell r="F8" t="str">
            <v>D</v>
          </cell>
          <cell r="H8">
            <v>2</v>
          </cell>
        </row>
        <row r="9">
          <cell r="H9" t="str">
            <v>2-</v>
          </cell>
        </row>
        <row r="10">
          <cell r="H10" t="str">
            <v>3+</v>
          </cell>
        </row>
        <row r="11">
          <cell r="B11" t="str">
            <v>Yes</v>
          </cell>
          <cell r="H11">
            <v>3</v>
          </cell>
        </row>
        <row r="12">
          <cell r="B12" t="str">
            <v>No</v>
          </cell>
          <cell r="H12" t="str">
            <v>3-</v>
          </cell>
        </row>
        <row r="13">
          <cell r="H13" t="str">
            <v>4+</v>
          </cell>
        </row>
        <row r="14">
          <cell r="H14">
            <v>4</v>
          </cell>
        </row>
        <row r="15">
          <cell r="H15" t="str">
            <v>4-</v>
          </cell>
        </row>
        <row r="16">
          <cell r="H16" t="str">
            <v>5+</v>
          </cell>
        </row>
        <row r="17">
          <cell r="H17">
            <v>5</v>
          </cell>
        </row>
        <row r="18">
          <cell r="H18" t="str">
            <v>5-</v>
          </cell>
        </row>
        <row r="19">
          <cell r="B19" t="str">
            <v>Other Generic Industries</v>
          </cell>
          <cell r="C19" t="str">
            <v>Mainland</v>
          </cell>
          <cell r="H19" t="str">
            <v>6+</v>
          </cell>
        </row>
        <row r="20">
          <cell r="B20" t="str">
            <v>Manufacturing</v>
          </cell>
          <cell r="C20" t="str">
            <v>Western</v>
          </cell>
          <cell r="H20">
            <v>6</v>
          </cell>
        </row>
        <row r="21">
          <cell r="B21" t="str">
            <v>Wholesale Trading/ Distribution</v>
          </cell>
          <cell r="C21" t="str">
            <v>Taiwan</v>
          </cell>
          <cell r="H21" t="str">
            <v>6-</v>
          </cell>
        </row>
        <row r="22">
          <cell r="H22" t="str">
            <v>7+</v>
          </cell>
        </row>
        <row r="23">
          <cell r="H23">
            <v>7</v>
          </cell>
        </row>
        <row r="24">
          <cell r="H24" t="str">
            <v>7-</v>
          </cell>
        </row>
        <row r="25">
          <cell r="H25" t="str">
            <v>8+</v>
          </cell>
        </row>
        <row r="26">
          <cell r="E26" t="str">
            <v>CNY</v>
          </cell>
          <cell r="F26">
            <v>6.4</v>
          </cell>
          <cell r="H26">
            <v>8</v>
          </cell>
        </row>
        <row r="27">
          <cell r="E27" t="str">
            <v>EUR</v>
          </cell>
          <cell r="F27">
            <v>0.73499999999999999</v>
          </cell>
          <cell r="H27" t="str">
            <v>8-</v>
          </cell>
        </row>
        <row r="28">
          <cell r="E28" t="str">
            <v>HKD</v>
          </cell>
          <cell r="F28">
            <v>7.75</v>
          </cell>
          <cell r="H28" t="str">
            <v>9+</v>
          </cell>
        </row>
        <row r="29">
          <cell r="E29" t="str">
            <v>JPY</v>
          </cell>
          <cell r="F29">
            <v>98.02</v>
          </cell>
          <cell r="H29">
            <v>9</v>
          </cell>
        </row>
        <row r="30">
          <cell r="E30" t="str">
            <v>KRW</v>
          </cell>
          <cell r="F30">
            <v>1238</v>
          </cell>
          <cell r="H30" t="str">
            <v>9-</v>
          </cell>
        </row>
        <row r="31">
          <cell r="E31" t="str">
            <v>SGD</v>
          </cell>
          <cell r="F31">
            <v>1.46</v>
          </cell>
          <cell r="H31" t="str">
            <v>10+</v>
          </cell>
        </row>
        <row r="32">
          <cell r="E32" t="str">
            <v>TWD</v>
          </cell>
          <cell r="F32">
            <v>32.9</v>
          </cell>
          <cell r="H32">
            <v>10</v>
          </cell>
        </row>
        <row r="33">
          <cell r="E33" t="str">
            <v>USD</v>
          </cell>
          <cell r="F33">
            <v>1</v>
          </cell>
        </row>
      </sheetData>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Balance Sheet"/>
      <sheetName val="CacheConv"/>
      <sheetName val="Calculated CF"/>
      <sheetName val="DSCR"/>
      <sheetName val="Hong Kong Summary"/>
      <sheetName val="RR_Pregrading"/>
      <sheetName val="RR_CAC"/>
      <sheetName val="CSC"/>
      <sheetName val="DSCR Tables"/>
      <sheetName val="RR_Ref_CSC"/>
      <sheetName val="RR_GBFCol"/>
      <sheetName val="RR_Cri_CAC"/>
      <sheetName val="ref_CAC"/>
      <sheetName val="TW Pre-Screening"/>
      <sheetName val="SME Level"/>
      <sheetName val="RO Classic Prog SME"/>
      <sheetName val="Romania Pre Screening"/>
      <sheetName val="RO Small Ticket SME Upto 0.1MM"/>
      <sheetName val="Customer Selection Criteria"/>
      <sheetName val="MCFL"/>
    </sheetNames>
    <sheetDataSet>
      <sheetData sheetId="0"/>
      <sheetData sheetId="1"/>
      <sheetData sheetId="2"/>
      <sheetData sheetId="3"/>
      <sheetData sheetId="4"/>
      <sheetData sheetId="5"/>
      <sheetData sheetId="6">
        <row r="28">
          <cell r="G28" t="str">
            <v>CNY</v>
          </cell>
          <cell r="K28" t="e">
            <v>#REF!</v>
          </cell>
        </row>
        <row r="29">
          <cell r="G29" t="e">
            <v>#REF!</v>
          </cell>
          <cell r="K29" t="e">
            <v>#REF!</v>
          </cell>
        </row>
        <row r="61">
          <cell r="C61" t="e">
            <v>#REF!</v>
          </cell>
        </row>
        <row r="63">
          <cell r="F63" t="e">
            <v>#REF!</v>
          </cell>
        </row>
        <row r="90">
          <cell r="L90" t="str">
            <v/>
          </cell>
        </row>
      </sheetData>
      <sheetData sheetId="7">
        <row r="25">
          <cell r="L25" t="str">
            <v/>
          </cell>
          <cell r="S25">
            <v>0.12253562499999998</v>
          </cell>
        </row>
        <row r="26">
          <cell r="L26" t="e">
            <v>#REF!</v>
          </cell>
          <cell r="W26" t="e">
            <v>#REF!</v>
          </cell>
        </row>
        <row r="27">
          <cell r="W27" t="str">
            <v/>
          </cell>
        </row>
        <row r="28">
          <cell r="L28" t="e">
            <v>#REF!</v>
          </cell>
          <cell r="W28" t="e">
            <v>#REF!</v>
          </cell>
        </row>
        <row r="31">
          <cell r="W31" t="e">
            <v>#REF!</v>
          </cell>
        </row>
        <row r="32">
          <cell r="J32" t="str">
            <v/>
          </cell>
        </row>
        <row r="36">
          <cell r="K36" t="e">
            <v>#REF!</v>
          </cell>
          <cell r="V36" t="e">
            <v>#REF!</v>
          </cell>
        </row>
        <row r="37">
          <cell r="K37" t="e">
            <v>#REF!</v>
          </cell>
          <cell r="V37" t="e">
            <v>#REF!</v>
          </cell>
        </row>
        <row r="38">
          <cell r="K38" t="e">
            <v>#REF!</v>
          </cell>
          <cell r="V38" t="e">
            <v>#REF!</v>
          </cell>
        </row>
        <row r="39">
          <cell r="K39" t="e">
            <v>#REF!</v>
          </cell>
          <cell r="V39" t="e">
            <v>#REF!</v>
          </cell>
        </row>
        <row r="40">
          <cell r="K40" t="e">
            <v>#REF!</v>
          </cell>
          <cell r="V40"/>
        </row>
        <row r="41">
          <cell r="K41" t="e">
            <v>#REF!</v>
          </cell>
          <cell r="V41" t="e">
            <v>#REF!</v>
          </cell>
        </row>
        <row r="42">
          <cell r="K42" t="e">
            <v>#REF!</v>
          </cell>
          <cell r="V42"/>
        </row>
        <row r="43">
          <cell r="K43" t="e">
            <v>#REF!</v>
          </cell>
          <cell r="V43"/>
        </row>
        <row r="44">
          <cell r="K44" t="e">
            <v>#REF!</v>
          </cell>
          <cell r="V44" t="e">
            <v>#REF!</v>
          </cell>
        </row>
        <row r="45">
          <cell r="K45" t="e">
            <v>#REF!</v>
          </cell>
          <cell r="V45" t="e">
            <v>#REF!</v>
          </cell>
        </row>
        <row r="46">
          <cell r="K46" t="e">
            <v>#REF!</v>
          </cell>
          <cell r="V46"/>
        </row>
        <row r="47">
          <cell r="K47" t="e">
            <v>#REF!</v>
          </cell>
          <cell r="V47" t="e">
            <v>#REF!</v>
          </cell>
        </row>
        <row r="48">
          <cell r="K48" t="e">
            <v>#REF!</v>
          </cell>
          <cell r="V48" t="e">
            <v>#REF!</v>
          </cell>
        </row>
        <row r="49">
          <cell r="K49" t="e">
            <v>#REF!</v>
          </cell>
          <cell r="V49" t="e">
            <v>#REF!</v>
          </cell>
        </row>
        <row r="50">
          <cell r="K50" t="e">
            <v>#REF!</v>
          </cell>
          <cell r="V50" t="e">
            <v>#REF!</v>
          </cell>
        </row>
        <row r="51">
          <cell r="K51" t="e">
            <v>#REF!</v>
          </cell>
          <cell r="V51" t="e">
            <v>#REF!</v>
          </cell>
        </row>
        <row r="52">
          <cell r="K52" t="e">
            <v>#REF!</v>
          </cell>
          <cell r="V52" t="e">
            <v>#REF!</v>
          </cell>
        </row>
        <row r="53">
          <cell r="K53" t="e">
            <v>#REF!</v>
          </cell>
          <cell r="V53" t="e">
            <v>#REF!</v>
          </cell>
        </row>
        <row r="54">
          <cell r="K54" t="e">
            <v>#REF!</v>
          </cell>
          <cell r="V54" t="e">
            <v>#REF!</v>
          </cell>
        </row>
        <row r="55">
          <cell r="K55" t="e">
            <v>#REF!</v>
          </cell>
          <cell r="V55"/>
        </row>
        <row r="56">
          <cell r="K56" t="e">
            <v>#REF!</v>
          </cell>
          <cell r="V56" t="e">
            <v>#REF!</v>
          </cell>
        </row>
        <row r="57">
          <cell r="K57" t="e">
            <v>#REF!</v>
          </cell>
          <cell r="V57" t="e">
            <v>#REF!</v>
          </cell>
        </row>
        <row r="58">
          <cell r="K58" t="e">
            <v>#REF!</v>
          </cell>
          <cell r="V58" t="e">
            <v>#REF!</v>
          </cell>
        </row>
        <row r="59">
          <cell r="K59" t="e">
            <v>#REF!</v>
          </cell>
          <cell r="V59" t="e">
            <v>#REF!</v>
          </cell>
        </row>
        <row r="60">
          <cell r="K60" t="e">
            <v>#REF!</v>
          </cell>
          <cell r="V60"/>
        </row>
        <row r="61">
          <cell r="K61" t="e">
            <v>#REF!</v>
          </cell>
          <cell r="V61" t="e">
            <v>#REF!</v>
          </cell>
        </row>
        <row r="62">
          <cell r="K62" t="e">
            <v>#REF!</v>
          </cell>
          <cell r="V62"/>
        </row>
        <row r="63">
          <cell r="V63"/>
        </row>
        <row r="64">
          <cell r="V64" t="e">
            <v>#REF!</v>
          </cell>
        </row>
        <row r="65">
          <cell r="V65" t="e">
            <v>#REF!</v>
          </cell>
        </row>
        <row r="66">
          <cell r="V66" t="e">
            <v>#REF!</v>
          </cell>
        </row>
        <row r="67">
          <cell r="M67" t="e">
            <v>#REF!</v>
          </cell>
        </row>
        <row r="79">
          <cell r="I79" t="e">
            <v>#REF!</v>
          </cell>
          <cell r="L79" t="e">
            <v>#REF!</v>
          </cell>
        </row>
      </sheetData>
      <sheetData sheetId="8"/>
      <sheetData sheetId="9"/>
      <sheetData sheetId="10">
        <row r="11">
          <cell r="C11" t="str">
            <v>On</v>
          </cell>
        </row>
        <row r="12">
          <cell r="B12" t="str">
            <v>No</v>
          </cell>
          <cell r="C12" t="str">
            <v>Off</v>
          </cell>
          <cell r="F12" t="str">
            <v>Jan</v>
          </cell>
        </row>
        <row r="13">
          <cell r="F13" t="str">
            <v>Feb</v>
          </cell>
        </row>
        <row r="14">
          <cell r="F14" t="str">
            <v>Mar</v>
          </cell>
        </row>
        <row r="15">
          <cell r="F15" t="str">
            <v>Apr</v>
          </cell>
        </row>
        <row r="16">
          <cell r="F16" t="str">
            <v>May</v>
          </cell>
        </row>
        <row r="17">
          <cell r="F17" t="str">
            <v>Jun</v>
          </cell>
        </row>
        <row r="18">
          <cell r="F18" t="str">
            <v>Jul</v>
          </cell>
        </row>
        <row r="19">
          <cell r="F19" t="str">
            <v>Aug</v>
          </cell>
        </row>
        <row r="20">
          <cell r="F20" t="str">
            <v>Sep</v>
          </cell>
        </row>
        <row r="21">
          <cell r="F21" t="str">
            <v>Oct</v>
          </cell>
        </row>
        <row r="22">
          <cell r="F22" t="str">
            <v>Nov</v>
          </cell>
        </row>
        <row r="23">
          <cell r="F23" t="str">
            <v>Dec</v>
          </cell>
        </row>
      </sheetData>
      <sheetData sheetId="11">
        <row r="4">
          <cell r="D4" t="e">
            <v>#REF!</v>
          </cell>
          <cell r="E4" t="e">
            <v>#REF!</v>
          </cell>
        </row>
        <row r="5">
          <cell r="D5" t="e">
            <v>#REF!</v>
          </cell>
          <cell r="E5" t="e">
            <v>#REF!</v>
          </cell>
        </row>
        <row r="6">
          <cell r="D6" t="e">
            <v>#REF!</v>
          </cell>
          <cell r="E6" t="e">
            <v>#REF!</v>
          </cell>
        </row>
        <row r="7">
          <cell r="D7" t="e">
            <v>#REF!</v>
          </cell>
          <cell r="E7" t="e">
            <v>#REF!</v>
          </cell>
        </row>
        <row r="8">
          <cell r="D8" t="e">
            <v>#REF!</v>
          </cell>
          <cell r="E8" t="e">
            <v>#REF!</v>
          </cell>
        </row>
        <row r="9">
          <cell r="D9" t="e">
            <v>#REF!</v>
          </cell>
          <cell r="E9" t="e">
            <v>#REF!</v>
          </cell>
        </row>
        <row r="10">
          <cell r="D10" t="e">
            <v>#REF!</v>
          </cell>
          <cell r="E10" t="e">
            <v>#REF!</v>
          </cell>
        </row>
        <row r="11">
          <cell r="D11" t="e">
            <v>#REF!</v>
          </cell>
          <cell r="E11" t="e">
            <v>#REF!</v>
          </cell>
        </row>
        <row r="12">
          <cell r="D12" t="e">
            <v>#REF!</v>
          </cell>
          <cell r="E12" t="e">
            <v>#REF!</v>
          </cell>
        </row>
        <row r="13">
          <cell r="D13" t="e">
            <v>#REF!</v>
          </cell>
          <cell r="E13" t="e">
            <v>#REF!</v>
          </cell>
        </row>
        <row r="14">
          <cell r="D14" t="e">
            <v>#REF!</v>
          </cell>
          <cell r="E14" t="e">
            <v>#REF!</v>
          </cell>
        </row>
        <row r="15">
          <cell r="D15" t="e">
            <v>#REF!</v>
          </cell>
          <cell r="E15" t="e">
            <v>#REF!</v>
          </cell>
        </row>
        <row r="16">
          <cell r="D16" t="e">
            <v>#REF!</v>
          </cell>
          <cell r="E16" t="e">
            <v>#REF!</v>
          </cell>
        </row>
        <row r="17">
          <cell r="D17" t="e">
            <v>#REF!</v>
          </cell>
          <cell r="E17" t="e">
            <v>#REF!</v>
          </cell>
        </row>
        <row r="18">
          <cell r="D18" t="e">
            <v>#REF!</v>
          </cell>
          <cell r="E18" t="e">
            <v>#REF!</v>
          </cell>
        </row>
        <row r="19">
          <cell r="D19" t="e">
            <v>#REF!</v>
          </cell>
          <cell r="E19" t="e">
            <v>#REF!</v>
          </cell>
        </row>
        <row r="20">
          <cell r="D20" t="e">
            <v>#REF!</v>
          </cell>
          <cell r="E20" t="e">
            <v>#REF!</v>
          </cell>
        </row>
        <row r="21">
          <cell r="D21" t="e">
            <v>#REF!</v>
          </cell>
          <cell r="E21" t="e">
            <v>#REF!</v>
          </cell>
        </row>
        <row r="22">
          <cell r="D22" t="e">
            <v>#REF!</v>
          </cell>
          <cell r="E22" t="e">
            <v>#REF!</v>
          </cell>
        </row>
        <row r="23">
          <cell r="D23" t="e">
            <v>#REF!</v>
          </cell>
          <cell r="E23" t="e">
            <v>#REF!</v>
          </cell>
        </row>
        <row r="24">
          <cell r="D24" t="e">
            <v>#REF!</v>
          </cell>
          <cell r="E24" t="e">
            <v>#REF!</v>
          </cell>
        </row>
        <row r="25">
          <cell r="D25" t="e">
            <v>#REF!</v>
          </cell>
          <cell r="E25" t="e">
            <v>#REF!</v>
          </cell>
        </row>
        <row r="26">
          <cell r="D26" t="e">
            <v>#REF!</v>
          </cell>
          <cell r="E26" t="e">
            <v>#REF!</v>
          </cell>
        </row>
        <row r="27">
          <cell r="D27" t="e">
            <v>#REF!</v>
          </cell>
          <cell r="E27" t="e">
            <v>#REF!</v>
          </cell>
        </row>
        <row r="28">
          <cell r="D28" t="e">
            <v>#REF!</v>
          </cell>
          <cell r="E28" t="e">
            <v>#REF!</v>
          </cell>
        </row>
        <row r="29">
          <cell r="D29" t="e">
            <v>#REF!</v>
          </cell>
          <cell r="E29" t="e">
            <v>#REF!</v>
          </cell>
        </row>
        <row r="30">
          <cell r="D30" t="e">
            <v>#REF!</v>
          </cell>
          <cell r="E30" t="e">
            <v>#REF!</v>
          </cell>
        </row>
        <row r="31">
          <cell r="D31" t="e">
            <v>#REF!</v>
          </cell>
          <cell r="E31" t="e">
            <v>#REF!</v>
          </cell>
        </row>
        <row r="32">
          <cell r="D32" t="e">
            <v>#REF!</v>
          </cell>
          <cell r="E32" t="e">
            <v>#REF!</v>
          </cell>
        </row>
        <row r="33">
          <cell r="D33" t="e">
            <v>#REF!</v>
          </cell>
          <cell r="E33" t="e">
            <v>#REF!</v>
          </cell>
        </row>
        <row r="34">
          <cell r="D34" t="e">
            <v>#REF!</v>
          </cell>
          <cell r="E34" t="e">
            <v>#REF!</v>
          </cell>
        </row>
      </sheetData>
      <sheetData sheetId="12"/>
      <sheetData sheetId="13"/>
      <sheetData sheetId="14"/>
      <sheetData sheetId="15"/>
      <sheetData sheetId="16"/>
      <sheetData sheetId="17"/>
      <sheetData sheetId="18"/>
      <sheetData sheetId="19"/>
      <sheetData sheetId="2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come Statement"/>
      <sheetName val="Balance Sheet"/>
      <sheetName val="Calculated CF"/>
      <sheetName val="Loan Repayment Schedule"/>
      <sheetName val="_coorLR"/>
      <sheetName val="_confLR"/>
      <sheetName val="PivotTable"/>
      <sheetName val="User Metric"/>
      <sheetName val="Bank Statement"/>
      <sheetName val="_coorBaS"/>
      <sheetName val="_confBaS"/>
      <sheetName val="Bill Statement"/>
      <sheetName val="_coorBiS"/>
      <sheetName val="_confBiS"/>
      <sheetName val="MCFL"/>
      <sheetName val="Customer Selection Criteria"/>
      <sheetName val="RO Small Ticket SME Upto 0.1MM"/>
      <sheetName val="Romania Pre Screening"/>
      <sheetName val="RO Classic Prog SME"/>
      <sheetName val="SME Level"/>
      <sheetName val="TW Pre-Screening"/>
      <sheetName val="ref_CAC"/>
      <sheetName val="RR_Cri_CAC"/>
      <sheetName val="RR_GBFCol"/>
      <sheetName val="RR_Ref_CSC"/>
      <sheetName val="DSCR Tables"/>
      <sheetName val="CSC"/>
      <sheetName val="RR_CAC"/>
      <sheetName val="RR_Pregrading"/>
      <sheetName val="Hong Kong Summary"/>
      <sheetName val="DSCR"/>
      <sheetName val="CacheConv"/>
      <sheetName val="NAICS"/>
      <sheetName val="SIC"/>
      <sheetName val="User Metric1"/>
      <sheetName val="Summary"/>
    </sheetNames>
    <sheetDataSet>
      <sheetData sheetId="0"/>
      <sheetData sheetId="1">
        <row r="2">
          <cell r="E2">
            <v>3499</v>
          </cell>
        </row>
        <row r="3">
          <cell r="E3">
            <v>332999</v>
          </cell>
        </row>
      </sheetData>
      <sheetData sheetId="2"/>
      <sheetData sheetId="3"/>
      <sheetData sheetId="4"/>
      <sheetData sheetId="5"/>
      <sheetData sheetId="6"/>
      <sheetData sheetId="7"/>
      <sheetData sheetId="8"/>
      <sheetData sheetId="9">
        <row r="43">
          <cell r="E43" t="str">
            <v>1000.00</v>
          </cell>
        </row>
        <row r="44">
          <cell r="A44"/>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4">
          <cell r="B4">
            <v>11</v>
          </cell>
          <cell r="C4" t="str">
            <v>Agriculture, Forestry, Fishing and HuntingT</v>
          </cell>
        </row>
        <row r="5">
          <cell r="B5">
            <v>111</v>
          </cell>
          <cell r="C5" t="str">
            <v xml:space="preserve">Crop ProductionT </v>
          </cell>
        </row>
        <row r="6">
          <cell r="B6">
            <v>1111</v>
          </cell>
          <cell r="C6" t="str">
            <v>Oilseed and Grain FarmingT</v>
          </cell>
        </row>
        <row r="7">
          <cell r="B7">
            <v>11111</v>
          </cell>
          <cell r="C7" t="str">
            <v>Soybean FarmingT</v>
          </cell>
        </row>
        <row r="8">
          <cell r="B8">
            <v>111110</v>
          </cell>
          <cell r="C8" t="str">
            <v>Soybean Farming</v>
          </cell>
        </row>
        <row r="9">
          <cell r="B9">
            <v>11112</v>
          </cell>
          <cell r="C9" t="str">
            <v xml:space="preserve">Oilseed (except Soybean) FarmingT </v>
          </cell>
        </row>
        <row r="10">
          <cell r="B10">
            <v>111120</v>
          </cell>
          <cell r="C10" t="str">
            <v xml:space="preserve">Oilseed (except Soybean) Farming </v>
          </cell>
        </row>
        <row r="11">
          <cell r="B11">
            <v>11113</v>
          </cell>
          <cell r="C11" t="str">
            <v>Dry Pea and Bean FarmingT</v>
          </cell>
        </row>
        <row r="12">
          <cell r="B12">
            <v>111130</v>
          </cell>
          <cell r="C12" t="str">
            <v xml:space="preserve">Dry Pea and Bean Farming </v>
          </cell>
        </row>
        <row r="13">
          <cell r="B13">
            <v>11114</v>
          </cell>
          <cell r="C13" t="str">
            <v>Wheat FarmingT</v>
          </cell>
        </row>
        <row r="14">
          <cell r="B14">
            <v>111140</v>
          </cell>
          <cell r="C14" t="str">
            <v>Wheat Farming</v>
          </cell>
        </row>
        <row r="15">
          <cell r="B15">
            <v>11115</v>
          </cell>
          <cell r="C15" t="str">
            <v>Corn FarmingT</v>
          </cell>
        </row>
        <row r="16">
          <cell r="B16">
            <v>111150</v>
          </cell>
          <cell r="C16" t="str">
            <v xml:space="preserve">Corn Farming </v>
          </cell>
        </row>
        <row r="17">
          <cell r="B17">
            <v>11116</v>
          </cell>
          <cell r="C17" t="str">
            <v>Rice FarmingT</v>
          </cell>
        </row>
        <row r="18">
          <cell r="B18">
            <v>111160</v>
          </cell>
          <cell r="C18" t="str">
            <v>Rice Farming</v>
          </cell>
        </row>
        <row r="19">
          <cell r="B19">
            <v>11119</v>
          </cell>
          <cell r="C19" t="str">
            <v>Other Grain FarmingT</v>
          </cell>
        </row>
        <row r="20">
          <cell r="B20">
            <v>111191</v>
          </cell>
          <cell r="C20" t="str">
            <v xml:space="preserve">Oilseed and Grain Combination Farming </v>
          </cell>
        </row>
        <row r="21">
          <cell r="B21">
            <v>111199</v>
          </cell>
          <cell r="C21" t="str">
            <v xml:space="preserve">All Other Grain Farming </v>
          </cell>
        </row>
        <row r="22">
          <cell r="B22">
            <v>1112</v>
          </cell>
          <cell r="C22" t="str">
            <v xml:space="preserve">Vegetable and Melon FarmingT </v>
          </cell>
        </row>
        <row r="23">
          <cell r="B23">
            <v>11121</v>
          </cell>
          <cell r="C23" t="str">
            <v>Vegetable and Melon FarmingT</v>
          </cell>
        </row>
        <row r="24">
          <cell r="B24">
            <v>111211</v>
          </cell>
          <cell r="C24" t="str">
            <v xml:space="preserve">Potato Farming </v>
          </cell>
        </row>
        <row r="25">
          <cell r="B25">
            <v>111219</v>
          </cell>
          <cell r="C25" t="str">
            <v xml:space="preserve">Other Vegetable (except Potato) and Melon Farming </v>
          </cell>
        </row>
        <row r="26">
          <cell r="B26">
            <v>1113</v>
          </cell>
          <cell r="C26" t="str">
            <v xml:space="preserve">Fruit and Tree Nut FarmingT </v>
          </cell>
        </row>
        <row r="27">
          <cell r="B27">
            <v>11131</v>
          </cell>
          <cell r="C27" t="str">
            <v>Orange GrovesT</v>
          </cell>
        </row>
        <row r="28">
          <cell r="B28">
            <v>111310</v>
          </cell>
          <cell r="C28" t="str">
            <v>Orange Groves</v>
          </cell>
        </row>
        <row r="29">
          <cell r="B29">
            <v>11132</v>
          </cell>
          <cell r="C29" t="str">
            <v xml:space="preserve">Citrus (except Orange) GrovesT </v>
          </cell>
        </row>
        <row r="30">
          <cell r="B30">
            <v>111320</v>
          </cell>
          <cell r="C30" t="str">
            <v xml:space="preserve">Citrus (except Orange) Groves </v>
          </cell>
        </row>
        <row r="31">
          <cell r="B31">
            <v>11133</v>
          </cell>
          <cell r="C31" t="str">
            <v>Noncitrus Fruit and Tree Nut FarmingT</v>
          </cell>
        </row>
        <row r="32">
          <cell r="B32">
            <v>111331</v>
          </cell>
          <cell r="C32" t="str">
            <v xml:space="preserve">Apple Orchards </v>
          </cell>
        </row>
        <row r="33">
          <cell r="B33">
            <v>111332</v>
          </cell>
          <cell r="C33" t="str">
            <v xml:space="preserve">Grape Vineyards </v>
          </cell>
        </row>
        <row r="34">
          <cell r="B34">
            <v>111333</v>
          </cell>
          <cell r="C34" t="str">
            <v xml:space="preserve">Strawberry Farming </v>
          </cell>
        </row>
        <row r="35">
          <cell r="B35">
            <v>111334</v>
          </cell>
          <cell r="C35" t="str">
            <v xml:space="preserve">Berry (except Strawberry) Farming </v>
          </cell>
        </row>
        <row r="36">
          <cell r="B36">
            <v>111335</v>
          </cell>
          <cell r="C36" t="str">
            <v xml:space="preserve">Tree Nut Farming </v>
          </cell>
        </row>
        <row r="37">
          <cell r="B37">
            <v>111336</v>
          </cell>
          <cell r="C37" t="str">
            <v xml:space="preserve">Fruit and Tree Nut Combination Farming </v>
          </cell>
        </row>
        <row r="38">
          <cell r="B38">
            <v>111339</v>
          </cell>
          <cell r="C38" t="str">
            <v xml:space="preserve">Other Noncitrus Fruit Farming </v>
          </cell>
        </row>
        <row r="39">
          <cell r="B39">
            <v>1114</v>
          </cell>
          <cell r="C39" t="str">
            <v xml:space="preserve">Greenhouse, Nursery, and Floriculture ProductionT </v>
          </cell>
        </row>
        <row r="40">
          <cell r="B40">
            <v>11141</v>
          </cell>
          <cell r="C40" t="str">
            <v>Food Crops Grown Under CoverT</v>
          </cell>
        </row>
        <row r="41">
          <cell r="B41">
            <v>111411</v>
          </cell>
          <cell r="C41" t="str">
            <v xml:space="preserve">Mushroom Production </v>
          </cell>
        </row>
        <row r="42">
          <cell r="B42">
            <v>111419</v>
          </cell>
          <cell r="C42" t="str">
            <v xml:space="preserve">Other Food Crops Grown Under Cover </v>
          </cell>
        </row>
        <row r="43">
          <cell r="B43">
            <v>11142</v>
          </cell>
          <cell r="C43" t="str">
            <v>Nursery and Floriculture ProductionT</v>
          </cell>
        </row>
        <row r="44">
          <cell r="B44">
            <v>111421</v>
          </cell>
          <cell r="C44" t="str">
            <v xml:space="preserve">Nursery and Tree Production </v>
          </cell>
        </row>
        <row r="45">
          <cell r="B45">
            <v>111422</v>
          </cell>
          <cell r="C45" t="str">
            <v xml:space="preserve">Floriculture Production </v>
          </cell>
        </row>
        <row r="46">
          <cell r="B46">
            <v>1119</v>
          </cell>
          <cell r="C46" t="str">
            <v xml:space="preserve">Other Crop FarmingT </v>
          </cell>
        </row>
        <row r="47">
          <cell r="B47">
            <v>11191</v>
          </cell>
          <cell r="C47" t="str">
            <v>Tobacco FarmingT</v>
          </cell>
        </row>
        <row r="48">
          <cell r="B48">
            <v>111910</v>
          </cell>
          <cell r="C48" t="str">
            <v>Tobacco Farming</v>
          </cell>
        </row>
        <row r="49">
          <cell r="B49">
            <v>11192</v>
          </cell>
          <cell r="C49" t="str">
            <v>Cotton FarmingT</v>
          </cell>
        </row>
        <row r="50">
          <cell r="B50">
            <v>111920</v>
          </cell>
          <cell r="C50" t="str">
            <v>Cotton Farming</v>
          </cell>
        </row>
        <row r="51">
          <cell r="B51">
            <v>11193</v>
          </cell>
          <cell r="C51" t="str">
            <v xml:space="preserve">Sugarcane FarmingT </v>
          </cell>
        </row>
        <row r="52">
          <cell r="B52">
            <v>111930</v>
          </cell>
          <cell r="C52" t="str">
            <v>Sugarcane Farming</v>
          </cell>
        </row>
        <row r="53">
          <cell r="B53">
            <v>11194</v>
          </cell>
          <cell r="C53" t="str">
            <v xml:space="preserve">Hay FarmingT </v>
          </cell>
        </row>
        <row r="54">
          <cell r="B54">
            <v>111940</v>
          </cell>
          <cell r="C54" t="str">
            <v xml:space="preserve">Hay Farming </v>
          </cell>
        </row>
        <row r="55">
          <cell r="B55">
            <v>11199</v>
          </cell>
          <cell r="C55" t="str">
            <v xml:space="preserve">All Other Crop FarmingT </v>
          </cell>
        </row>
        <row r="56">
          <cell r="B56">
            <v>111991</v>
          </cell>
          <cell r="C56" t="str">
            <v xml:space="preserve">Sugar Beet Farming </v>
          </cell>
        </row>
        <row r="57">
          <cell r="B57">
            <v>111992</v>
          </cell>
          <cell r="C57" t="str">
            <v xml:space="preserve">Peanut Farming </v>
          </cell>
        </row>
        <row r="58">
          <cell r="B58">
            <v>111998</v>
          </cell>
          <cell r="C58" t="str">
            <v xml:space="preserve">All Other Miscellaneous Crop Farming </v>
          </cell>
        </row>
        <row r="59">
          <cell r="B59">
            <v>112</v>
          </cell>
          <cell r="C59" t="str">
            <v xml:space="preserve">Animal Production and AquacultureT </v>
          </cell>
        </row>
        <row r="60">
          <cell r="B60">
            <v>1121</v>
          </cell>
          <cell r="C60" t="str">
            <v xml:space="preserve">Cattle Ranching and FarmingT </v>
          </cell>
        </row>
        <row r="61">
          <cell r="B61">
            <v>11211</v>
          </cell>
          <cell r="C61" t="str">
            <v xml:space="preserve">Beef Cattle Ranching and Farming, including FeedlotsT </v>
          </cell>
        </row>
        <row r="62">
          <cell r="B62">
            <v>112111</v>
          </cell>
          <cell r="C62" t="str">
            <v xml:space="preserve">Beef Cattle Ranching and Farming </v>
          </cell>
        </row>
        <row r="63">
          <cell r="B63">
            <v>112112</v>
          </cell>
          <cell r="C63" t="str">
            <v xml:space="preserve">Cattle Feedlots </v>
          </cell>
        </row>
        <row r="64">
          <cell r="B64">
            <v>11212</v>
          </cell>
          <cell r="C64" t="str">
            <v>Dairy Cattle and Milk ProductionT</v>
          </cell>
        </row>
        <row r="65">
          <cell r="B65">
            <v>112120</v>
          </cell>
          <cell r="C65" t="str">
            <v>Dairy Cattle and Milk Production</v>
          </cell>
        </row>
        <row r="66">
          <cell r="B66">
            <v>11213</v>
          </cell>
          <cell r="C66" t="str">
            <v xml:space="preserve">Dual-Purpose Cattle Ranching and FarmingT </v>
          </cell>
        </row>
        <row r="67">
          <cell r="B67">
            <v>112130</v>
          </cell>
          <cell r="C67" t="str">
            <v xml:space="preserve">Dual-Purpose Cattle Ranching and Farming </v>
          </cell>
        </row>
        <row r="68">
          <cell r="B68">
            <v>1122</v>
          </cell>
          <cell r="C68" t="str">
            <v xml:space="preserve">Hog and Pig FarmingT </v>
          </cell>
        </row>
        <row r="69">
          <cell r="B69">
            <v>11221</v>
          </cell>
          <cell r="C69" t="str">
            <v xml:space="preserve">Hog and Pig FarmingT </v>
          </cell>
        </row>
        <row r="70">
          <cell r="B70">
            <v>112210</v>
          </cell>
          <cell r="C70" t="str">
            <v xml:space="preserve">Hog and Pig Farming </v>
          </cell>
        </row>
        <row r="71">
          <cell r="B71">
            <v>1123</v>
          </cell>
          <cell r="C71" t="str">
            <v xml:space="preserve">Poultry and Egg ProductionT </v>
          </cell>
        </row>
        <row r="72">
          <cell r="B72">
            <v>11231</v>
          </cell>
          <cell r="C72" t="str">
            <v xml:space="preserve">Chicken Egg ProductionT </v>
          </cell>
        </row>
        <row r="73">
          <cell r="B73">
            <v>112310</v>
          </cell>
          <cell r="C73" t="str">
            <v xml:space="preserve">Chicken Egg Production </v>
          </cell>
        </row>
        <row r="74">
          <cell r="B74">
            <v>11232</v>
          </cell>
          <cell r="C74" t="str">
            <v xml:space="preserve">Broilers and Other Meat Type Chicken ProductionT </v>
          </cell>
        </row>
        <row r="75">
          <cell r="B75">
            <v>112320</v>
          </cell>
          <cell r="C75" t="str">
            <v xml:space="preserve">Broilers and Other Meat Type Chicken Production </v>
          </cell>
        </row>
        <row r="76">
          <cell r="B76">
            <v>11233</v>
          </cell>
          <cell r="C76" t="str">
            <v>Turkey ProductionT</v>
          </cell>
        </row>
        <row r="77">
          <cell r="B77">
            <v>112330</v>
          </cell>
          <cell r="C77" t="str">
            <v>Turkey Production</v>
          </cell>
        </row>
        <row r="78">
          <cell r="B78">
            <v>11234</v>
          </cell>
          <cell r="C78" t="str">
            <v xml:space="preserve">Poultry HatcheriesT </v>
          </cell>
        </row>
        <row r="79">
          <cell r="B79">
            <v>112340</v>
          </cell>
          <cell r="C79" t="str">
            <v>Poultry Hatcheries</v>
          </cell>
        </row>
        <row r="80">
          <cell r="B80">
            <v>11239</v>
          </cell>
          <cell r="C80" t="str">
            <v xml:space="preserve">Other Poultry ProductionT </v>
          </cell>
        </row>
        <row r="81">
          <cell r="B81">
            <v>112390</v>
          </cell>
          <cell r="C81" t="str">
            <v xml:space="preserve">Other Poultry Production </v>
          </cell>
        </row>
        <row r="82">
          <cell r="B82">
            <v>1124</v>
          </cell>
          <cell r="C82" t="str">
            <v xml:space="preserve">Sheep and Goat FarmingT </v>
          </cell>
        </row>
        <row r="83">
          <cell r="B83">
            <v>11241</v>
          </cell>
          <cell r="C83" t="str">
            <v xml:space="preserve">Sheep FarmingT </v>
          </cell>
        </row>
        <row r="84">
          <cell r="B84">
            <v>112410</v>
          </cell>
          <cell r="C84" t="str">
            <v>Sheep Farming</v>
          </cell>
        </row>
        <row r="85">
          <cell r="B85">
            <v>11242</v>
          </cell>
          <cell r="C85" t="str">
            <v>Goat FarmingT</v>
          </cell>
        </row>
        <row r="86">
          <cell r="B86">
            <v>112420</v>
          </cell>
          <cell r="C86" t="str">
            <v>Goat Farming</v>
          </cell>
        </row>
        <row r="87">
          <cell r="B87">
            <v>1125</v>
          </cell>
          <cell r="C87" t="str">
            <v xml:space="preserve">AquacultureT </v>
          </cell>
        </row>
        <row r="88">
          <cell r="B88">
            <v>11251</v>
          </cell>
          <cell r="C88" t="str">
            <v xml:space="preserve">AquacultureT </v>
          </cell>
        </row>
        <row r="89">
          <cell r="B89">
            <v>112511</v>
          </cell>
          <cell r="C89" t="str">
            <v xml:space="preserve">Finfish Farming and Fish Hatcheries </v>
          </cell>
        </row>
        <row r="90">
          <cell r="B90">
            <v>112512</v>
          </cell>
          <cell r="C90" t="str">
            <v xml:space="preserve">Shellfish Farming </v>
          </cell>
        </row>
        <row r="91">
          <cell r="B91">
            <v>112519</v>
          </cell>
          <cell r="C91" t="str">
            <v xml:space="preserve">Other Aquaculture </v>
          </cell>
        </row>
        <row r="92">
          <cell r="B92">
            <v>1129</v>
          </cell>
          <cell r="C92" t="str">
            <v xml:space="preserve">Other Animal ProductionT </v>
          </cell>
        </row>
        <row r="93">
          <cell r="B93">
            <v>11291</v>
          </cell>
          <cell r="C93" t="str">
            <v>ApicultureT</v>
          </cell>
        </row>
        <row r="94">
          <cell r="B94">
            <v>112910</v>
          </cell>
          <cell r="C94" t="str">
            <v>Apiculture</v>
          </cell>
        </row>
        <row r="95">
          <cell r="B95">
            <v>11292</v>
          </cell>
          <cell r="C95" t="str">
            <v xml:space="preserve">Horses and Other Equine ProductionT </v>
          </cell>
        </row>
        <row r="96">
          <cell r="B96">
            <v>112920</v>
          </cell>
          <cell r="C96" t="str">
            <v>Horses and Other Equine Production</v>
          </cell>
        </row>
        <row r="97">
          <cell r="B97">
            <v>11293</v>
          </cell>
          <cell r="C97" t="str">
            <v xml:space="preserve">Fur-Bearing Animal and Rabbit ProductionT </v>
          </cell>
        </row>
        <row r="98">
          <cell r="B98">
            <v>112930</v>
          </cell>
          <cell r="C98" t="str">
            <v>Fur-Bearing Animal and Rabbit Production</v>
          </cell>
        </row>
        <row r="99">
          <cell r="B99">
            <v>11299</v>
          </cell>
          <cell r="C99" t="str">
            <v xml:space="preserve">All Other Animal ProductionT </v>
          </cell>
        </row>
        <row r="100">
          <cell r="B100">
            <v>112990</v>
          </cell>
          <cell r="C100" t="str">
            <v xml:space="preserve">All Other Animal Production </v>
          </cell>
        </row>
        <row r="101">
          <cell r="B101">
            <v>113</v>
          </cell>
          <cell r="C101" t="str">
            <v xml:space="preserve">Forestry and LoggingT </v>
          </cell>
        </row>
        <row r="102">
          <cell r="B102">
            <v>1131</v>
          </cell>
          <cell r="C102" t="str">
            <v xml:space="preserve">Timber Tract OperationsT </v>
          </cell>
        </row>
        <row r="103">
          <cell r="B103">
            <v>11311</v>
          </cell>
          <cell r="C103" t="str">
            <v xml:space="preserve">Timber Tract OperationsT </v>
          </cell>
        </row>
        <row r="104">
          <cell r="B104">
            <v>113110</v>
          </cell>
          <cell r="C104" t="str">
            <v>Timber Tract Operations</v>
          </cell>
        </row>
        <row r="105">
          <cell r="B105">
            <v>1132</v>
          </cell>
          <cell r="C105" t="str">
            <v xml:space="preserve">Forest Nurseries and Gathering of Forest ProductsT </v>
          </cell>
        </row>
        <row r="106">
          <cell r="B106">
            <v>11321</v>
          </cell>
          <cell r="C106" t="str">
            <v xml:space="preserve">Forest Nurseries and Gathering of Forest ProductsT </v>
          </cell>
        </row>
        <row r="107">
          <cell r="B107">
            <v>113210</v>
          </cell>
          <cell r="C107" t="str">
            <v xml:space="preserve">Forest Nurseries and Gathering of Forest Products </v>
          </cell>
        </row>
        <row r="108">
          <cell r="B108">
            <v>1133</v>
          </cell>
          <cell r="C108" t="str">
            <v xml:space="preserve">LoggingT </v>
          </cell>
        </row>
        <row r="109">
          <cell r="B109">
            <v>11331</v>
          </cell>
          <cell r="C109" t="str">
            <v xml:space="preserve">LoggingT </v>
          </cell>
        </row>
        <row r="110">
          <cell r="B110">
            <v>113310</v>
          </cell>
          <cell r="C110" t="str">
            <v xml:space="preserve">Logging </v>
          </cell>
        </row>
        <row r="111">
          <cell r="B111">
            <v>114</v>
          </cell>
          <cell r="C111" t="str">
            <v xml:space="preserve">Fishing, Hunting and TrappingT </v>
          </cell>
        </row>
        <row r="112">
          <cell r="B112">
            <v>1141</v>
          </cell>
          <cell r="C112" t="str">
            <v xml:space="preserve">FishingT </v>
          </cell>
        </row>
        <row r="113">
          <cell r="B113">
            <v>11411</v>
          </cell>
          <cell r="C113" t="str">
            <v xml:space="preserve">FishingT </v>
          </cell>
        </row>
        <row r="114">
          <cell r="B114">
            <v>114111</v>
          </cell>
          <cell r="C114" t="str">
            <v xml:space="preserve">Finfish Fishing </v>
          </cell>
        </row>
        <row r="115">
          <cell r="B115">
            <v>114112</v>
          </cell>
          <cell r="C115" t="str">
            <v xml:space="preserve">Shellfish Fishing </v>
          </cell>
        </row>
        <row r="116">
          <cell r="B116">
            <v>114119</v>
          </cell>
          <cell r="C116" t="str">
            <v xml:space="preserve">Other Marine Fishing </v>
          </cell>
        </row>
        <row r="117">
          <cell r="B117">
            <v>1142</v>
          </cell>
          <cell r="C117" t="str">
            <v xml:space="preserve">Hunting and TrappingT </v>
          </cell>
        </row>
        <row r="118">
          <cell r="B118">
            <v>11421</v>
          </cell>
          <cell r="C118" t="str">
            <v xml:space="preserve">Hunting and TrappingT </v>
          </cell>
        </row>
        <row r="119">
          <cell r="B119">
            <v>114210</v>
          </cell>
          <cell r="C119" t="str">
            <v>Hunting and Trapping</v>
          </cell>
        </row>
        <row r="120">
          <cell r="B120">
            <v>115</v>
          </cell>
          <cell r="C120" t="str">
            <v xml:space="preserve">Support Activities for Agriculture and ForestryT </v>
          </cell>
        </row>
        <row r="121">
          <cell r="B121">
            <v>1151</v>
          </cell>
          <cell r="C121" t="str">
            <v xml:space="preserve">Support Activities for Crop ProductionT </v>
          </cell>
        </row>
        <row r="122">
          <cell r="B122">
            <v>11511</v>
          </cell>
          <cell r="C122" t="str">
            <v xml:space="preserve">Support Activities for Crop ProductionT </v>
          </cell>
        </row>
        <row r="123">
          <cell r="B123">
            <v>115111</v>
          </cell>
          <cell r="C123" t="str">
            <v xml:space="preserve">Cotton Ginning </v>
          </cell>
        </row>
        <row r="124">
          <cell r="B124">
            <v>115112</v>
          </cell>
          <cell r="C124" t="str">
            <v xml:space="preserve">Soil Preparation, Planting, and Cultivating </v>
          </cell>
        </row>
        <row r="125">
          <cell r="B125">
            <v>115113</v>
          </cell>
          <cell r="C125" t="str">
            <v xml:space="preserve">Crop Harvesting, Primarily by Machine </v>
          </cell>
        </row>
        <row r="126">
          <cell r="B126">
            <v>115114</v>
          </cell>
          <cell r="C126" t="str">
            <v xml:space="preserve">Postharvest Crop Activities (except Cotton Ginning) </v>
          </cell>
        </row>
        <row r="127">
          <cell r="B127">
            <v>115115</v>
          </cell>
          <cell r="C127" t="str">
            <v xml:space="preserve">Farm Labor Contractors and Crew Leaders </v>
          </cell>
        </row>
        <row r="128">
          <cell r="B128">
            <v>115116</v>
          </cell>
          <cell r="C128" t="str">
            <v xml:space="preserve">Farm Management Services </v>
          </cell>
        </row>
        <row r="129">
          <cell r="B129">
            <v>1152</v>
          </cell>
          <cell r="C129" t="str">
            <v xml:space="preserve">Support Activities for Animal ProductionT </v>
          </cell>
        </row>
        <row r="130">
          <cell r="B130">
            <v>11521</v>
          </cell>
          <cell r="C130" t="str">
            <v xml:space="preserve">Support Activities for Animal ProductionT </v>
          </cell>
        </row>
        <row r="131">
          <cell r="B131">
            <v>115210</v>
          </cell>
          <cell r="C131" t="str">
            <v>Support Activities for Animal Production</v>
          </cell>
        </row>
        <row r="132">
          <cell r="B132">
            <v>1153</v>
          </cell>
          <cell r="C132" t="str">
            <v xml:space="preserve">Support Activities for ForestryT </v>
          </cell>
        </row>
        <row r="133">
          <cell r="B133">
            <v>11531</v>
          </cell>
          <cell r="C133" t="str">
            <v xml:space="preserve">Support Activities for ForestryT </v>
          </cell>
        </row>
        <row r="134">
          <cell r="B134">
            <v>115310</v>
          </cell>
          <cell r="C134" t="str">
            <v>Support Activities for Forestry</v>
          </cell>
        </row>
        <row r="135">
          <cell r="B135"/>
          <cell r="C135"/>
        </row>
        <row r="136">
          <cell r="B136">
            <v>21</v>
          </cell>
          <cell r="C136" t="str">
            <v>Mining, Quarrying, and Oil and Gas ExtractionT</v>
          </cell>
        </row>
        <row r="137">
          <cell r="B137">
            <v>211</v>
          </cell>
          <cell r="C137" t="str">
            <v xml:space="preserve">Oil and Gas ExtractionT </v>
          </cell>
        </row>
        <row r="138">
          <cell r="B138">
            <v>2111</v>
          </cell>
          <cell r="C138" t="str">
            <v xml:space="preserve">Oil and Gas ExtractionT </v>
          </cell>
        </row>
        <row r="139">
          <cell r="B139">
            <v>21111</v>
          </cell>
          <cell r="C139" t="str">
            <v xml:space="preserve">Oil and Gas ExtractionT </v>
          </cell>
        </row>
        <row r="140">
          <cell r="B140">
            <v>211111</v>
          </cell>
          <cell r="C140" t="str">
            <v xml:space="preserve">Crude Petroleum and Natural Gas Extraction </v>
          </cell>
        </row>
        <row r="141">
          <cell r="B141">
            <v>211112</v>
          </cell>
          <cell r="C141" t="str">
            <v xml:space="preserve">Natural Gas Liquid Extraction </v>
          </cell>
        </row>
        <row r="142">
          <cell r="B142">
            <v>212</v>
          </cell>
          <cell r="C142" t="str">
            <v xml:space="preserve">Mining (except Oil and Gas)T </v>
          </cell>
        </row>
        <row r="143">
          <cell r="B143">
            <v>2121</v>
          </cell>
          <cell r="C143" t="str">
            <v xml:space="preserve">Coal MiningT </v>
          </cell>
        </row>
        <row r="144">
          <cell r="B144">
            <v>21211</v>
          </cell>
          <cell r="C144" t="str">
            <v xml:space="preserve">Coal MiningT </v>
          </cell>
        </row>
        <row r="145">
          <cell r="B145">
            <v>212111</v>
          </cell>
          <cell r="C145" t="str">
            <v xml:space="preserve">Bituminous Coal and Lignite Surface Mining </v>
          </cell>
        </row>
        <row r="146">
          <cell r="B146">
            <v>212112</v>
          </cell>
          <cell r="C146" t="str">
            <v xml:space="preserve">Bituminous Coal Underground Mining </v>
          </cell>
        </row>
        <row r="147">
          <cell r="B147">
            <v>212113</v>
          </cell>
          <cell r="C147" t="str">
            <v xml:space="preserve">Anthracite Mining </v>
          </cell>
        </row>
        <row r="148">
          <cell r="B148">
            <v>2122</v>
          </cell>
          <cell r="C148" t="str">
            <v xml:space="preserve">Metal Ore MiningT </v>
          </cell>
        </row>
        <row r="149">
          <cell r="B149">
            <v>21221</v>
          </cell>
          <cell r="C149" t="str">
            <v xml:space="preserve">Iron Ore MiningT </v>
          </cell>
        </row>
        <row r="150">
          <cell r="B150">
            <v>212210</v>
          </cell>
          <cell r="C150" t="str">
            <v>Iron Ore Mining</v>
          </cell>
        </row>
        <row r="151">
          <cell r="B151">
            <v>21222</v>
          </cell>
          <cell r="C151" t="str">
            <v xml:space="preserve">Gold Ore and Silver Ore MiningT </v>
          </cell>
        </row>
        <row r="152">
          <cell r="B152">
            <v>212221</v>
          </cell>
          <cell r="C152" t="str">
            <v xml:space="preserve">Gold Ore Mining </v>
          </cell>
        </row>
        <row r="153">
          <cell r="B153">
            <v>212222</v>
          </cell>
          <cell r="C153" t="str">
            <v xml:space="preserve">Silver Ore Mining </v>
          </cell>
        </row>
        <row r="154">
          <cell r="B154">
            <v>21223</v>
          </cell>
          <cell r="C154" t="str">
            <v xml:space="preserve">Copper, Nickel, Lead, and Zinc MiningT </v>
          </cell>
        </row>
        <row r="155">
          <cell r="B155">
            <v>212231</v>
          </cell>
          <cell r="C155" t="str">
            <v xml:space="preserve">Lead Ore and Zinc Ore Mining </v>
          </cell>
        </row>
        <row r="156">
          <cell r="B156">
            <v>212234</v>
          </cell>
          <cell r="C156" t="str">
            <v xml:space="preserve">Copper Ore and Nickel Ore Mining </v>
          </cell>
        </row>
        <row r="157">
          <cell r="B157">
            <v>21229</v>
          </cell>
          <cell r="C157" t="str">
            <v xml:space="preserve">Other Metal Ore MiningT </v>
          </cell>
        </row>
        <row r="158">
          <cell r="B158">
            <v>212291</v>
          </cell>
          <cell r="C158" t="str">
            <v xml:space="preserve">Uranium-Radium-Vanadium Ore Mining </v>
          </cell>
        </row>
        <row r="159">
          <cell r="B159">
            <v>212299</v>
          </cell>
          <cell r="C159" t="str">
            <v xml:space="preserve">All Other Metal Ore Mining </v>
          </cell>
        </row>
        <row r="160">
          <cell r="B160">
            <v>2123</v>
          </cell>
          <cell r="C160" t="str">
            <v xml:space="preserve">Nonmetallic Mineral Mining and QuarryingT </v>
          </cell>
        </row>
        <row r="161">
          <cell r="B161">
            <v>21231</v>
          </cell>
          <cell r="C161" t="str">
            <v xml:space="preserve">Stone Mining and QuarryingT </v>
          </cell>
        </row>
        <row r="162">
          <cell r="B162">
            <v>212311</v>
          </cell>
          <cell r="C162" t="str">
            <v xml:space="preserve">Dimension Stone Mining and Quarrying </v>
          </cell>
        </row>
        <row r="163">
          <cell r="B163">
            <v>212312</v>
          </cell>
          <cell r="C163" t="str">
            <v xml:space="preserve">Crushed and Broken Limestone Mining and Quarrying </v>
          </cell>
        </row>
        <row r="164">
          <cell r="B164">
            <v>212313</v>
          </cell>
          <cell r="C164" t="str">
            <v xml:space="preserve">Crushed and Broken Granite Mining and Quarrying </v>
          </cell>
        </row>
        <row r="165">
          <cell r="B165">
            <v>212319</v>
          </cell>
          <cell r="C165" t="str">
            <v xml:space="preserve">Other Crushed and Broken Stone Mining and Quarrying </v>
          </cell>
        </row>
        <row r="166">
          <cell r="B166">
            <v>21232</v>
          </cell>
          <cell r="C166" t="str">
            <v xml:space="preserve">Sand, Gravel, Clay, and Ceramic and Refractory Minerals Mining and QuarryingT </v>
          </cell>
        </row>
        <row r="167">
          <cell r="B167">
            <v>212321</v>
          </cell>
          <cell r="C167" t="str">
            <v xml:space="preserve">Construction Sand and Gravel Mining </v>
          </cell>
        </row>
        <row r="168">
          <cell r="B168">
            <v>212322</v>
          </cell>
          <cell r="C168" t="str">
            <v xml:space="preserve">Industrial Sand Mining </v>
          </cell>
        </row>
        <row r="169">
          <cell r="B169">
            <v>212324</v>
          </cell>
          <cell r="C169" t="str">
            <v xml:space="preserve">Kaolin and Ball Clay Mining </v>
          </cell>
        </row>
        <row r="170">
          <cell r="B170">
            <v>212325</v>
          </cell>
          <cell r="C170" t="str">
            <v xml:space="preserve">Clay and Ceramic and Refractory Minerals Mining </v>
          </cell>
        </row>
        <row r="171">
          <cell r="B171">
            <v>21239</v>
          </cell>
          <cell r="C171" t="str">
            <v xml:space="preserve">Other Nonmetallic Mineral Mining and QuarryingT </v>
          </cell>
        </row>
        <row r="172">
          <cell r="B172">
            <v>212391</v>
          </cell>
          <cell r="C172" t="str">
            <v xml:space="preserve">Potash, Soda, and Borate Mineral Mining </v>
          </cell>
        </row>
        <row r="173">
          <cell r="B173">
            <v>212392</v>
          </cell>
          <cell r="C173" t="str">
            <v xml:space="preserve">Phosphate Rock Mining </v>
          </cell>
        </row>
        <row r="174">
          <cell r="B174">
            <v>212393</v>
          </cell>
          <cell r="C174" t="str">
            <v xml:space="preserve">Other Chemical and Fertilizer Mineral Mining </v>
          </cell>
        </row>
        <row r="175">
          <cell r="B175">
            <v>212399</v>
          </cell>
          <cell r="C175" t="str">
            <v xml:space="preserve">All Other Nonmetallic Mineral Mining </v>
          </cell>
        </row>
        <row r="176">
          <cell r="B176">
            <v>213</v>
          </cell>
          <cell r="C176" t="str">
            <v xml:space="preserve">Support Activities for MiningT </v>
          </cell>
        </row>
        <row r="177">
          <cell r="B177">
            <v>2131</v>
          </cell>
          <cell r="C177" t="str">
            <v xml:space="preserve">Support Activities for MiningT </v>
          </cell>
        </row>
        <row r="178">
          <cell r="B178">
            <v>21311</v>
          </cell>
          <cell r="C178" t="str">
            <v xml:space="preserve">Support Activities for MiningT </v>
          </cell>
        </row>
        <row r="179">
          <cell r="B179">
            <v>213111</v>
          </cell>
          <cell r="C179" t="str">
            <v>Drilling Oil and Gas Wells</v>
          </cell>
        </row>
        <row r="180">
          <cell r="B180">
            <v>213112</v>
          </cell>
          <cell r="C180" t="str">
            <v xml:space="preserve">Support Activities for Oil and Gas Operations </v>
          </cell>
        </row>
        <row r="181">
          <cell r="B181">
            <v>213113</v>
          </cell>
          <cell r="C181" t="str">
            <v xml:space="preserve">Support Activities for Coal Mining </v>
          </cell>
        </row>
        <row r="182">
          <cell r="B182">
            <v>213114</v>
          </cell>
          <cell r="C182" t="str">
            <v xml:space="preserve">Support Activities for Metal Mining </v>
          </cell>
        </row>
        <row r="183">
          <cell r="B183">
            <v>213115</v>
          </cell>
          <cell r="C183" t="str">
            <v xml:space="preserve">Support Activities for Nonmetallic Minerals (except Fuels) Mining </v>
          </cell>
        </row>
        <row r="184">
          <cell r="B184"/>
          <cell r="C184"/>
        </row>
        <row r="185">
          <cell r="B185">
            <v>22</v>
          </cell>
          <cell r="C185" t="str">
            <v>UtilitiesT</v>
          </cell>
        </row>
        <row r="186">
          <cell r="B186">
            <v>221</v>
          </cell>
          <cell r="C186" t="str">
            <v xml:space="preserve">Utilities </v>
          </cell>
        </row>
        <row r="187">
          <cell r="B187">
            <v>2211</v>
          </cell>
          <cell r="C187" t="str">
            <v>Electric Power Generation, Transmission and Distribution</v>
          </cell>
        </row>
        <row r="188">
          <cell r="B188">
            <v>22111</v>
          </cell>
          <cell r="C188" t="str">
            <v xml:space="preserve">Electric Power Generation </v>
          </cell>
        </row>
        <row r="189">
          <cell r="B189">
            <v>221111</v>
          </cell>
          <cell r="C189" t="str">
            <v xml:space="preserve">Hydroelectric Power Generation </v>
          </cell>
        </row>
        <row r="190">
          <cell r="B190">
            <v>221112</v>
          </cell>
          <cell r="C190" t="str">
            <v xml:space="preserve">Fossil Fuel Electric Power Generation </v>
          </cell>
        </row>
        <row r="191">
          <cell r="B191">
            <v>221113</v>
          </cell>
          <cell r="C191" t="str">
            <v xml:space="preserve">Nuclear Electric Power Generation </v>
          </cell>
        </row>
        <row r="192">
          <cell r="B192">
            <v>221114</v>
          </cell>
          <cell r="C192" t="str">
            <v xml:space="preserve">Solar Electric Power Generation </v>
          </cell>
        </row>
        <row r="193">
          <cell r="B193">
            <v>221115</v>
          </cell>
          <cell r="C193" t="str">
            <v xml:space="preserve">Wind Electric Power Generation </v>
          </cell>
        </row>
        <row r="194">
          <cell r="B194">
            <v>221116</v>
          </cell>
          <cell r="C194" t="str">
            <v xml:space="preserve">Geothermal Electric Power Generation </v>
          </cell>
        </row>
        <row r="195">
          <cell r="B195">
            <v>221117</v>
          </cell>
          <cell r="C195" t="str">
            <v xml:space="preserve">Biomass Electric Power Generation </v>
          </cell>
        </row>
        <row r="196">
          <cell r="B196">
            <v>221118</v>
          </cell>
          <cell r="C196" t="str">
            <v xml:space="preserve">Other Electric Power Generation </v>
          </cell>
        </row>
        <row r="197">
          <cell r="B197">
            <v>22112</v>
          </cell>
          <cell r="C197" t="str">
            <v xml:space="preserve">Electric Power Transmission, Control, and Distribution </v>
          </cell>
        </row>
        <row r="198">
          <cell r="B198">
            <v>221121</v>
          </cell>
          <cell r="C198" t="str">
            <v xml:space="preserve">Electric Bulk Power Transmission and Control </v>
          </cell>
        </row>
        <row r="199">
          <cell r="B199">
            <v>221122</v>
          </cell>
          <cell r="C199" t="str">
            <v xml:space="preserve">Electric Power Distribution </v>
          </cell>
        </row>
        <row r="200">
          <cell r="B200">
            <v>2212</v>
          </cell>
          <cell r="C200" t="str">
            <v xml:space="preserve">Natural Gas Distribution </v>
          </cell>
        </row>
        <row r="201">
          <cell r="B201">
            <v>22121</v>
          </cell>
          <cell r="C201" t="str">
            <v xml:space="preserve">Natural Gas Distribution </v>
          </cell>
        </row>
        <row r="202">
          <cell r="B202">
            <v>221210</v>
          </cell>
          <cell r="C202" t="str">
            <v xml:space="preserve">Natural Gas Distribution </v>
          </cell>
        </row>
        <row r="203">
          <cell r="B203">
            <v>2213</v>
          </cell>
          <cell r="C203" t="str">
            <v xml:space="preserve">Water, Sewage and Other Systems </v>
          </cell>
        </row>
        <row r="204">
          <cell r="B204">
            <v>22131</v>
          </cell>
          <cell r="C204" t="str">
            <v xml:space="preserve">Water Supply and Irrigation Systems </v>
          </cell>
        </row>
        <row r="205">
          <cell r="B205">
            <v>221310</v>
          </cell>
          <cell r="C205" t="str">
            <v xml:space="preserve">Water Supply and Irrigation Systems </v>
          </cell>
        </row>
        <row r="206">
          <cell r="B206">
            <v>22132</v>
          </cell>
          <cell r="C206" t="str">
            <v xml:space="preserve">Sewage Treatment Facilities </v>
          </cell>
        </row>
        <row r="207">
          <cell r="B207">
            <v>221320</v>
          </cell>
          <cell r="C207" t="str">
            <v xml:space="preserve">Sewage Treatment Facilities </v>
          </cell>
        </row>
        <row r="208">
          <cell r="B208">
            <v>22133</v>
          </cell>
          <cell r="C208" t="str">
            <v xml:space="preserve">Steam and Air-Conditioning Supply </v>
          </cell>
        </row>
        <row r="209">
          <cell r="B209">
            <v>221330</v>
          </cell>
          <cell r="C209" t="str">
            <v xml:space="preserve">Steam and Air-Conditioning Supply </v>
          </cell>
        </row>
        <row r="210">
          <cell r="B210"/>
          <cell r="C210"/>
        </row>
        <row r="211">
          <cell r="B211">
            <v>23</v>
          </cell>
          <cell r="C211" t="str">
            <v>ConstructionT</v>
          </cell>
        </row>
        <row r="212">
          <cell r="B212">
            <v>236</v>
          </cell>
          <cell r="C212" t="str">
            <v xml:space="preserve">Construction of BuildingsT </v>
          </cell>
        </row>
        <row r="213">
          <cell r="B213">
            <v>2361</v>
          </cell>
          <cell r="C213" t="str">
            <v xml:space="preserve">Residential Building ConstructionT </v>
          </cell>
        </row>
        <row r="214">
          <cell r="B214">
            <v>23611</v>
          </cell>
          <cell r="C214" t="str">
            <v xml:space="preserve">Residential Building ConstructionT </v>
          </cell>
        </row>
        <row r="215">
          <cell r="B215">
            <v>236115</v>
          </cell>
          <cell r="C215" t="str">
            <v xml:space="preserve">New Single-Family Housing Construction (except For-Sale Builders) </v>
          </cell>
        </row>
        <row r="216">
          <cell r="B216">
            <v>236116</v>
          </cell>
          <cell r="C216" t="str">
            <v xml:space="preserve">New Multifamily Housing Construction (except For-Sale Builders) </v>
          </cell>
        </row>
        <row r="217">
          <cell r="B217">
            <v>236117</v>
          </cell>
          <cell r="C217" t="str">
            <v xml:space="preserve">New Housing For-Sale Builders </v>
          </cell>
        </row>
        <row r="218">
          <cell r="B218">
            <v>236118</v>
          </cell>
          <cell r="C218" t="str">
            <v xml:space="preserve">Residential Remodelers </v>
          </cell>
        </row>
        <row r="219">
          <cell r="B219">
            <v>2362</v>
          </cell>
          <cell r="C219" t="str">
            <v xml:space="preserve">Nonresidential Building ConstructionT </v>
          </cell>
        </row>
        <row r="220">
          <cell r="B220">
            <v>23621</v>
          </cell>
          <cell r="C220" t="str">
            <v xml:space="preserve">Industrial Building ConstructionT </v>
          </cell>
        </row>
        <row r="221">
          <cell r="B221">
            <v>236210</v>
          </cell>
          <cell r="C221" t="str">
            <v xml:space="preserve">Industrial Building Construction </v>
          </cell>
        </row>
        <row r="222">
          <cell r="B222">
            <v>23622</v>
          </cell>
          <cell r="C222" t="str">
            <v xml:space="preserve">Commercial and Institutional Building ConstructionT </v>
          </cell>
        </row>
        <row r="223">
          <cell r="B223">
            <v>236220</v>
          </cell>
          <cell r="C223" t="str">
            <v xml:space="preserve">Commercial and Institutional Building Construction </v>
          </cell>
        </row>
        <row r="224">
          <cell r="B224">
            <v>237</v>
          </cell>
          <cell r="C224" t="str">
            <v xml:space="preserve">Heavy and Civil Engineering ConstructionT </v>
          </cell>
        </row>
        <row r="225">
          <cell r="B225">
            <v>2371</v>
          </cell>
          <cell r="C225" t="str">
            <v>Utility System ConstructionT</v>
          </cell>
        </row>
        <row r="226">
          <cell r="B226">
            <v>23711</v>
          </cell>
          <cell r="C226" t="str">
            <v xml:space="preserve">Water and Sewer Line and Related Structures ConstructionT </v>
          </cell>
        </row>
        <row r="227">
          <cell r="B227">
            <v>237110</v>
          </cell>
          <cell r="C227" t="str">
            <v xml:space="preserve">Water and Sewer Line and Related Structures Construction </v>
          </cell>
        </row>
        <row r="228">
          <cell r="B228">
            <v>23712</v>
          </cell>
          <cell r="C228" t="str">
            <v xml:space="preserve">Oil and Gas Pipeline and Related Structures ConstructionT </v>
          </cell>
        </row>
        <row r="229">
          <cell r="B229">
            <v>237120</v>
          </cell>
          <cell r="C229" t="str">
            <v xml:space="preserve">Oil and Gas Pipeline and Related Structures Construction </v>
          </cell>
        </row>
        <row r="230">
          <cell r="B230">
            <v>23713</v>
          </cell>
          <cell r="C230" t="str">
            <v xml:space="preserve">Power and Communication Line and Related Structures ConstructionT </v>
          </cell>
        </row>
        <row r="231">
          <cell r="B231">
            <v>237130</v>
          </cell>
          <cell r="C231" t="str">
            <v xml:space="preserve">Power and Communication Line and Related Structures Construction </v>
          </cell>
        </row>
        <row r="232">
          <cell r="B232">
            <v>2372</v>
          </cell>
          <cell r="C232" t="str">
            <v xml:space="preserve">Land SubdivisionT </v>
          </cell>
        </row>
        <row r="233">
          <cell r="B233">
            <v>23721</v>
          </cell>
          <cell r="C233" t="str">
            <v xml:space="preserve">Land SubdivisionT </v>
          </cell>
        </row>
        <row r="234">
          <cell r="B234">
            <v>237210</v>
          </cell>
          <cell r="C234" t="str">
            <v xml:space="preserve">Land Subdivision </v>
          </cell>
        </row>
        <row r="235">
          <cell r="B235">
            <v>2373</v>
          </cell>
          <cell r="C235" t="str">
            <v xml:space="preserve">Highway, Street, and Bridge ConstructionT </v>
          </cell>
        </row>
        <row r="236">
          <cell r="B236">
            <v>23731</v>
          </cell>
          <cell r="C236" t="str">
            <v xml:space="preserve">Highway, Street, and Bridge ConstructionT </v>
          </cell>
        </row>
        <row r="237">
          <cell r="B237">
            <v>237310</v>
          </cell>
          <cell r="C237" t="str">
            <v xml:space="preserve">Highway, Street, and Bridge Construction </v>
          </cell>
        </row>
        <row r="238">
          <cell r="B238">
            <v>2379</v>
          </cell>
          <cell r="C238" t="str">
            <v xml:space="preserve">Other Heavy and Civil Engineering ConstructionT </v>
          </cell>
        </row>
        <row r="239">
          <cell r="B239">
            <v>23799</v>
          </cell>
          <cell r="C239" t="str">
            <v>Other Heavy and Civil Engineering ConstructionT</v>
          </cell>
        </row>
        <row r="240">
          <cell r="B240">
            <v>237990</v>
          </cell>
          <cell r="C240" t="str">
            <v xml:space="preserve">Other Heavy and Civil Engineering Construction </v>
          </cell>
        </row>
        <row r="241">
          <cell r="B241">
            <v>238</v>
          </cell>
          <cell r="C241" t="str">
            <v xml:space="preserve">Specialty Trade ContractorsT </v>
          </cell>
        </row>
        <row r="242">
          <cell r="B242">
            <v>2381</v>
          </cell>
          <cell r="C242" t="str">
            <v xml:space="preserve">Foundation, Structure, and Building Exterior ContractorsT </v>
          </cell>
        </row>
        <row r="243">
          <cell r="B243">
            <v>23811</v>
          </cell>
          <cell r="C243" t="str">
            <v xml:space="preserve">Poured Concrete Foundation and Structure Contractors </v>
          </cell>
        </row>
        <row r="244">
          <cell r="B244">
            <v>238110</v>
          </cell>
          <cell r="C244" t="str">
            <v xml:space="preserve">Poured Concrete Foundation and Structure Contractors </v>
          </cell>
        </row>
        <row r="245">
          <cell r="B245">
            <v>23812</v>
          </cell>
          <cell r="C245" t="str">
            <v xml:space="preserve">Structural Steel and Precast Concrete Contractors </v>
          </cell>
        </row>
        <row r="246">
          <cell r="B246">
            <v>238120</v>
          </cell>
          <cell r="C246" t="str">
            <v xml:space="preserve">Structural Steel and Precast Concrete Contractors </v>
          </cell>
        </row>
        <row r="247">
          <cell r="B247">
            <v>23813</v>
          </cell>
          <cell r="C247" t="str">
            <v xml:space="preserve">Framing Contractors </v>
          </cell>
        </row>
        <row r="248">
          <cell r="B248">
            <v>238130</v>
          </cell>
          <cell r="C248" t="str">
            <v xml:space="preserve">Framing Contractors </v>
          </cell>
        </row>
        <row r="249">
          <cell r="B249">
            <v>23814</v>
          </cell>
          <cell r="C249" t="str">
            <v xml:space="preserve">Masonry Contractors </v>
          </cell>
        </row>
        <row r="250">
          <cell r="B250">
            <v>238140</v>
          </cell>
          <cell r="C250" t="str">
            <v xml:space="preserve">Masonry Contractors </v>
          </cell>
        </row>
        <row r="251">
          <cell r="B251">
            <v>23815</v>
          </cell>
          <cell r="C251" t="str">
            <v xml:space="preserve">Glass and Glazing Contractors </v>
          </cell>
        </row>
        <row r="252">
          <cell r="B252">
            <v>238150</v>
          </cell>
          <cell r="C252" t="str">
            <v xml:space="preserve">Glass and Glazing Contractors </v>
          </cell>
        </row>
        <row r="253">
          <cell r="B253">
            <v>23816</v>
          </cell>
          <cell r="C253" t="str">
            <v xml:space="preserve">Roofing Contractors </v>
          </cell>
        </row>
        <row r="254">
          <cell r="B254">
            <v>238160</v>
          </cell>
          <cell r="C254" t="str">
            <v xml:space="preserve">Roofing Contractors </v>
          </cell>
        </row>
        <row r="255">
          <cell r="B255">
            <v>23817</v>
          </cell>
          <cell r="C255" t="str">
            <v xml:space="preserve">Siding Contractors </v>
          </cell>
        </row>
        <row r="256">
          <cell r="B256">
            <v>238170</v>
          </cell>
          <cell r="C256" t="str">
            <v xml:space="preserve">Siding Contractors </v>
          </cell>
        </row>
        <row r="257">
          <cell r="B257">
            <v>23819</v>
          </cell>
          <cell r="C257" t="str">
            <v xml:space="preserve">Other Foundation, Structure, and Building Exterior Contractors </v>
          </cell>
        </row>
        <row r="258">
          <cell r="B258">
            <v>238190</v>
          </cell>
          <cell r="C258" t="str">
            <v xml:space="preserve">Other Foundation, Structure, and Building Exterior Contractors </v>
          </cell>
        </row>
        <row r="259">
          <cell r="B259">
            <v>2382</v>
          </cell>
          <cell r="C259" t="str">
            <v xml:space="preserve">Building Equipment ContractorsT </v>
          </cell>
        </row>
        <row r="260">
          <cell r="B260">
            <v>23821</v>
          </cell>
          <cell r="C260" t="str">
            <v xml:space="preserve">Electrical Contractors and Other Wiring Installation ContractorsT </v>
          </cell>
        </row>
        <row r="261">
          <cell r="B261">
            <v>238210</v>
          </cell>
          <cell r="C261" t="str">
            <v>Electrical Contractors and Other Wiring Installation Contractors</v>
          </cell>
        </row>
        <row r="262">
          <cell r="B262">
            <v>23822</v>
          </cell>
          <cell r="C262" t="str">
            <v xml:space="preserve">Plumbing, Heating, and Air-Conditioning ContractorsT </v>
          </cell>
        </row>
        <row r="263">
          <cell r="B263">
            <v>238220</v>
          </cell>
          <cell r="C263" t="str">
            <v xml:space="preserve">Plumbing, Heating, and Air-Conditioning Contractors </v>
          </cell>
        </row>
        <row r="264">
          <cell r="B264">
            <v>23829</v>
          </cell>
          <cell r="C264" t="str">
            <v xml:space="preserve">Other Building Equipment ContractorsT </v>
          </cell>
        </row>
        <row r="265">
          <cell r="B265">
            <v>238290</v>
          </cell>
          <cell r="C265" t="str">
            <v xml:space="preserve">Other Building Equipment Contractors </v>
          </cell>
        </row>
        <row r="266">
          <cell r="B266">
            <v>2383</v>
          </cell>
          <cell r="C266" t="str">
            <v xml:space="preserve">Building Finishing ContractorsT </v>
          </cell>
        </row>
        <row r="267">
          <cell r="B267">
            <v>23831</v>
          </cell>
          <cell r="C267" t="str">
            <v xml:space="preserve">Drywall and Insulation ContractorsT </v>
          </cell>
        </row>
        <row r="268">
          <cell r="B268">
            <v>238310</v>
          </cell>
          <cell r="C268" t="str">
            <v xml:space="preserve">Drywall and Insulation Contractors </v>
          </cell>
        </row>
        <row r="269">
          <cell r="B269">
            <v>23832</v>
          </cell>
          <cell r="C269" t="str">
            <v xml:space="preserve">Painting and Wall Covering ContractorsT </v>
          </cell>
        </row>
        <row r="270">
          <cell r="B270">
            <v>238320</v>
          </cell>
          <cell r="C270" t="str">
            <v>Painting and Wall Covering Contractors</v>
          </cell>
        </row>
        <row r="271">
          <cell r="B271">
            <v>23833</v>
          </cell>
          <cell r="C271" t="str">
            <v xml:space="preserve">Flooring ContractorsT </v>
          </cell>
        </row>
        <row r="272">
          <cell r="B272">
            <v>238330</v>
          </cell>
          <cell r="C272" t="str">
            <v>Flooring Contractors</v>
          </cell>
        </row>
        <row r="273">
          <cell r="B273">
            <v>23834</v>
          </cell>
          <cell r="C273" t="str">
            <v>Tile and Terrazzo ContractorsT</v>
          </cell>
        </row>
        <row r="274">
          <cell r="B274">
            <v>238340</v>
          </cell>
          <cell r="C274" t="str">
            <v>Tile and Terrazzo Contractors</v>
          </cell>
        </row>
        <row r="275">
          <cell r="B275">
            <v>23835</v>
          </cell>
          <cell r="C275" t="str">
            <v xml:space="preserve">Finish Carpentry ContractorsT </v>
          </cell>
        </row>
        <row r="276">
          <cell r="B276">
            <v>238350</v>
          </cell>
          <cell r="C276" t="str">
            <v>Finish Carpentry Contractors</v>
          </cell>
        </row>
        <row r="277">
          <cell r="B277">
            <v>23839</v>
          </cell>
          <cell r="C277" t="str">
            <v xml:space="preserve">Other Building Finishing ContractorsT </v>
          </cell>
        </row>
        <row r="278">
          <cell r="B278">
            <v>238390</v>
          </cell>
          <cell r="C278" t="str">
            <v>Other Building Finishing Contractors</v>
          </cell>
        </row>
        <row r="279">
          <cell r="B279">
            <v>2389</v>
          </cell>
          <cell r="C279" t="str">
            <v xml:space="preserve">Other Specialty Trade ContractorsT </v>
          </cell>
        </row>
        <row r="280">
          <cell r="B280">
            <v>23891</v>
          </cell>
          <cell r="C280" t="str">
            <v xml:space="preserve">Site Preparation ContractorsT </v>
          </cell>
        </row>
        <row r="281">
          <cell r="B281">
            <v>238910</v>
          </cell>
          <cell r="C281" t="str">
            <v>Site Preparation Contractors</v>
          </cell>
        </row>
        <row r="282">
          <cell r="B282">
            <v>23899</v>
          </cell>
          <cell r="C282" t="str">
            <v xml:space="preserve">All Other Specialty Trade ContractorsT </v>
          </cell>
        </row>
        <row r="283">
          <cell r="B283">
            <v>238990</v>
          </cell>
          <cell r="C283" t="str">
            <v>All Other Specialty Trade Contractors</v>
          </cell>
        </row>
        <row r="284">
          <cell r="B284"/>
          <cell r="C284"/>
        </row>
        <row r="285">
          <cell r="B285" t="str">
            <v>31-33</v>
          </cell>
          <cell r="C285" t="str">
            <v>ManufacturingT</v>
          </cell>
        </row>
        <row r="286">
          <cell r="B286">
            <v>311</v>
          </cell>
          <cell r="C286" t="str">
            <v xml:space="preserve">Food ManufacturingT </v>
          </cell>
        </row>
        <row r="287">
          <cell r="B287">
            <v>3111</v>
          </cell>
          <cell r="C287" t="str">
            <v xml:space="preserve">Animal Food ManufacturingT </v>
          </cell>
        </row>
        <row r="288">
          <cell r="B288">
            <v>31111</v>
          </cell>
          <cell r="C288" t="str">
            <v xml:space="preserve">Animal Food ManufacturingT </v>
          </cell>
        </row>
        <row r="289">
          <cell r="B289">
            <v>311111</v>
          </cell>
          <cell r="C289" t="str">
            <v xml:space="preserve">Dog and Cat Food Manufacturing </v>
          </cell>
        </row>
        <row r="290">
          <cell r="B290">
            <v>311119</v>
          </cell>
          <cell r="C290" t="str">
            <v xml:space="preserve">Other Animal Food Manufacturing </v>
          </cell>
        </row>
        <row r="291">
          <cell r="B291">
            <v>3112</v>
          </cell>
          <cell r="C291" t="str">
            <v xml:space="preserve">Grain and Oilseed MillingT </v>
          </cell>
        </row>
        <row r="292">
          <cell r="B292">
            <v>31121</v>
          </cell>
          <cell r="C292" t="str">
            <v xml:space="preserve">Flour Milling and Malt ManufacturingT </v>
          </cell>
        </row>
        <row r="293">
          <cell r="B293">
            <v>311211</v>
          </cell>
          <cell r="C293" t="str">
            <v xml:space="preserve">Flour Milling </v>
          </cell>
        </row>
        <row r="294">
          <cell r="B294">
            <v>311212</v>
          </cell>
          <cell r="C294" t="str">
            <v xml:space="preserve">Rice Milling </v>
          </cell>
        </row>
        <row r="295">
          <cell r="B295">
            <v>311213</v>
          </cell>
          <cell r="C295" t="str">
            <v xml:space="preserve">Malt Manufacturing </v>
          </cell>
        </row>
        <row r="296">
          <cell r="B296">
            <v>31122</v>
          </cell>
          <cell r="C296" t="str">
            <v xml:space="preserve">Starch and Vegetable Fats and Oils ManufacturingT </v>
          </cell>
        </row>
        <row r="297">
          <cell r="B297">
            <v>311221</v>
          </cell>
          <cell r="C297" t="str">
            <v xml:space="preserve">Wet Corn Milling </v>
          </cell>
        </row>
        <row r="298">
          <cell r="B298">
            <v>311224</v>
          </cell>
          <cell r="C298" t="str">
            <v xml:space="preserve">Soybean and Other Oilseed Processing </v>
          </cell>
        </row>
        <row r="299">
          <cell r="B299">
            <v>311225</v>
          </cell>
          <cell r="C299" t="str">
            <v xml:space="preserve">Fats and Oils Refining and Blending </v>
          </cell>
        </row>
        <row r="300">
          <cell r="B300">
            <v>31123</v>
          </cell>
          <cell r="C300" t="str">
            <v xml:space="preserve">Breakfast Cereal ManufacturingT </v>
          </cell>
        </row>
        <row r="301">
          <cell r="B301">
            <v>311230</v>
          </cell>
          <cell r="C301" t="str">
            <v>Breakfast Cereal Manufacturing</v>
          </cell>
        </row>
        <row r="302">
          <cell r="B302">
            <v>3113</v>
          </cell>
          <cell r="C302" t="str">
            <v xml:space="preserve">Sugar and Confectionery Product ManufacturingT </v>
          </cell>
        </row>
        <row r="303">
          <cell r="B303">
            <v>31131</v>
          </cell>
          <cell r="C303" t="str">
            <v xml:space="preserve">Sugar ManufacturingT </v>
          </cell>
        </row>
        <row r="304">
          <cell r="B304">
            <v>311313</v>
          </cell>
          <cell r="C304" t="str">
            <v xml:space="preserve">Beet Sugar Manufacturing </v>
          </cell>
        </row>
        <row r="305">
          <cell r="B305">
            <v>311314</v>
          </cell>
          <cell r="C305" t="str">
            <v xml:space="preserve">Cane Sugar Manufacturing </v>
          </cell>
        </row>
        <row r="306">
          <cell r="B306">
            <v>31134</v>
          </cell>
          <cell r="C306" t="str">
            <v xml:space="preserve">Nonchocolate Confectionery ManufacturingT </v>
          </cell>
        </row>
        <row r="307">
          <cell r="B307">
            <v>311340</v>
          </cell>
          <cell r="C307" t="str">
            <v>Nonchocolate Confectionery Manufacturing</v>
          </cell>
        </row>
        <row r="308">
          <cell r="B308">
            <v>31135</v>
          </cell>
          <cell r="C308" t="str">
            <v xml:space="preserve">Chocolate and Confectionery ManufacturingT </v>
          </cell>
        </row>
        <row r="309">
          <cell r="B309">
            <v>311351</v>
          </cell>
          <cell r="C309" t="str">
            <v xml:space="preserve">Chocolate and Confectionery Manufacturing from Cacao Beans </v>
          </cell>
        </row>
        <row r="310">
          <cell r="B310">
            <v>311352</v>
          </cell>
          <cell r="C310" t="str">
            <v xml:space="preserve">Confectionery Manufacturing from Purchased Chocolate </v>
          </cell>
        </row>
        <row r="311">
          <cell r="B311">
            <v>3114</v>
          </cell>
          <cell r="C311" t="str">
            <v xml:space="preserve">Fruit and Vegetable Preserving and Specialty Food ManufacturingT </v>
          </cell>
        </row>
        <row r="312">
          <cell r="B312">
            <v>31141</v>
          </cell>
          <cell r="C312" t="str">
            <v xml:space="preserve">Frozen Food ManufacturingT </v>
          </cell>
        </row>
        <row r="313">
          <cell r="B313">
            <v>311411</v>
          </cell>
          <cell r="C313" t="str">
            <v xml:space="preserve">Frozen Fruit, Juice, and Vegetable Manufacturing </v>
          </cell>
        </row>
        <row r="314">
          <cell r="B314">
            <v>311412</v>
          </cell>
          <cell r="C314" t="str">
            <v xml:space="preserve">Frozen Specialty Food Manufacturing </v>
          </cell>
        </row>
        <row r="315">
          <cell r="B315">
            <v>31142</v>
          </cell>
          <cell r="C315" t="str">
            <v xml:space="preserve">Fruit and Vegetable Canning, Pickling, and DryingT </v>
          </cell>
        </row>
        <row r="316">
          <cell r="B316">
            <v>311421</v>
          </cell>
          <cell r="C316" t="str">
            <v xml:space="preserve">Fruit and Vegetable Canning </v>
          </cell>
        </row>
        <row r="317">
          <cell r="B317">
            <v>311422</v>
          </cell>
          <cell r="C317" t="str">
            <v xml:space="preserve">Specialty Canning </v>
          </cell>
        </row>
        <row r="318">
          <cell r="B318">
            <v>311423</v>
          </cell>
          <cell r="C318" t="str">
            <v xml:space="preserve">Dried and Dehydrated Food Manufacturing </v>
          </cell>
        </row>
        <row r="319">
          <cell r="B319">
            <v>3115</v>
          </cell>
          <cell r="C319" t="str">
            <v xml:space="preserve">Dairy Product ManufacturingT </v>
          </cell>
        </row>
        <row r="320">
          <cell r="B320">
            <v>31151</v>
          </cell>
          <cell r="C320" t="str">
            <v xml:space="preserve">Dairy Product (except Frozen) ManufacturingT </v>
          </cell>
        </row>
        <row r="321">
          <cell r="B321">
            <v>311511</v>
          </cell>
          <cell r="C321" t="str">
            <v xml:space="preserve">Fluid Milk Manufacturing </v>
          </cell>
        </row>
        <row r="322">
          <cell r="B322">
            <v>311512</v>
          </cell>
          <cell r="C322" t="str">
            <v xml:space="preserve">Creamery Butter Manufacturing </v>
          </cell>
        </row>
        <row r="323">
          <cell r="B323">
            <v>311513</v>
          </cell>
          <cell r="C323" t="str">
            <v xml:space="preserve">Cheese Manufacturing </v>
          </cell>
        </row>
        <row r="324">
          <cell r="B324">
            <v>311514</v>
          </cell>
          <cell r="C324" t="str">
            <v xml:space="preserve">Dry, Condensed, and Evaporated Dairy Product Manufacturing </v>
          </cell>
        </row>
        <row r="325">
          <cell r="B325">
            <v>31152</v>
          </cell>
          <cell r="C325" t="str">
            <v xml:space="preserve">Ice Cream and Frozen Dessert ManufacturingT </v>
          </cell>
        </row>
        <row r="326">
          <cell r="B326">
            <v>311520</v>
          </cell>
          <cell r="C326" t="str">
            <v>Ice Cream and Frozen Dessert Manufacturing</v>
          </cell>
        </row>
        <row r="327">
          <cell r="B327">
            <v>3116</v>
          </cell>
          <cell r="C327" t="str">
            <v xml:space="preserve">Animal Slaughtering and ProcessingT </v>
          </cell>
        </row>
        <row r="328">
          <cell r="B328">
            <v>31161</v>
          </cell>
          <cell r="C328" t="str">
            <v xml:space="preserve">Animal Slaughtering and ProcessingT </v>
          </cell>
        </row>
        <row r="329">
          <cell r="B329">
            <v>311611</v>
          </cell>
          <cell r="C329" t="str">
            <v xml:space="preserve">Animal (except Poultry) Slaughtering </v>
          </cell>
        </row>
        <row r="330">
          <cell r="B330">
            <v>311612</v>
          </cell>
          <cell r="C330" t="str">
            <v xml:space="preserve">Meat Processed from Carcasses </v>
          </cell>
        </row>
        <row r="331">
          <cell r="B331">
            <v>311613</v>
          </cell>
          <cell r="C331" t="str">
            <v xml:space="preserve">Rendering and Meat Byproduct Processing </v>
          </cell>
        </row>
        <row r="332">
          <cell r="B332">
            <v>311615</v>
          </cell>
          <cell r="C332" t="str">
            <v xml:space="preserve">Poultry Processing </v>
          </cell>
        </row>
        <row r="333">
          <cell r="B333">
            <v>3117</v>
          </cell>
          <cell r="C333" t="str">
            <v xml:space="preserve">Seafood Product Preparation and PackagingT </v>
          </cell>
        </row>
        <row r="334">
          <cell r="B334">
            <v>31171</v>
          </cell>
          <cell r="C334" t="str">
            <v xml:space="preserve">Seafood Product Preparation and PackagingT </v>
          </cell>
        </row>
        <row r="335">
          <cell r="B335">
            <v>311710</v>
          </cell>
          <cell r="C335" t="str">
            <v>Seafood Product Preparation and Packaging</v>
          </cell>
        </row>
        <row r="336">
          <cell r="B336">
            <v>3118</v>
          </cell>
          <cell r="C336" t="str">
            <v xml:space="preserve">Bakeries and Tortilla ManufacturingT </v>
          </cell>
        </row>
        <row r="337">
          <cell r="B337">
            <v>31181</v>
          </cell>
          <cell r="C337" t="str">
            <v xml:space="preserve">Bread and Bakery Product ManufacturingT </v>
          </cell>
        </row>
        <row r="338">
          <cell r="B338">
            <v>311811</v>
          </cell>
          <cell r="C338" t="str">
            <v xml:space="preserve">Retail Bakeries </v>
          </cell>
        </row>
        <row r="339">
          <cell r="B339">
            <v>311812</v>
          </cell>
          <cell r="C339" t="str">
            <v xml:space="preserve">Commercial Bakeries </v>
          </cell>
        </row>
        <row r="340">
          <cell r="B340">
            <v>311813</v>
          </cell>
          <cell r="C340" t="str">
            <v xml:space="preserve">Frozen Cakes, Pies, and Other Pastries Manufacturing </v>
          </cell>
        </row>
        <row r="341">
          <cell r="B341">
            <v>31182</v>
          </cell>
          <cell r="C341" t="str">
            <v xml:space="preserve">Cookie, Cracker, and Pasta ManufacturingT </v>
          </cell>
        </row>
        <row r="342">
          <cell r="B342">
            <v>311821</v>
          </cell>
          <cell r="C342" t="str">
            <v xml:space="preserve">Cookie and Cracker Manufacturing </v>
          </cell>
        </row>
        <row r="343">
          <cell r="B343">
            <v>311824</v>
          </cell>
          <cell r="C343" t="str">
            <v xml:space="preserve">Dry Pasta, Dough, and Flour Mixes Manufacturing from Purchased Flour </v>
          </cell>
        </row>
        <row r="344">
          <cell r="B344">
            <v>31183</v>
          </cell>
          <cell r="C344" t="str">
            <v xml:space="preserve">Tortilla ManufacturingT </v>
          </cell>
        </row>
        <row r="345">
          <cell r="B345">
            <v>311830</v>
          </cell>
          <cell r="C345" t="str">
            <v>Tortilla Manufacturing</v>
          </cell>
        </row>
        <row r="346">
          <cell r="B346">
            <v>3119</v>
          </cell>
          <cell r="C346" t="str">
            <v xml:space="preserve">Other Food ManufacturingT </v>
          </cell>
        </row>
        <row r="347">
          <cell r="B347">
            <v>31191</v>
          </cell>
          <cell r="C347" t="str">
            <v xml:space="preserve">Snack Food ManufacturingT </v>
          </cell>
        </row>
        <row r="348">
          <cell r="B348">
            <v>311911</v>
          </cell>
          <cell r="C348" t="str">
            <v xml:space="preserve">Roasted Nuts and Peanut Butter Manufacturing </v>
          </cell>
        </row>
        <row r="349">
          <cell r="B349">
            <v>311919</v>
          </cell>
          <cell r="C349" t="str">
            <v xml:space="preserve">Other Snack Food Manufacturing </v>
          </cell>
        </row>
        <row r="350">
          <cell r="B350">
            <v>31192</v>
          </cell>
          <cell r="C350" t="str">
            <v xml:space="preserve">Coffee and Tea ManufacturingT </v>
          </cell>
        </row>
        <row r="351">
          <cell r="B351">
            <v>311920</v>
          </cell>
          <cell r="C351" t="str">
            <v xml:space="preserve">Coffee and Tea Manufacturing </v>
          </cell>
        </row>
        <row r="352">
          <cell r="B352">
            <v>31193</v>
          </cell>
          <cell r="C352" t="str">
            <v xml:space="preserve">Flavoring Syrup and Concentrate ManufacturingT </v>
          </cell>
        </row>
        <row r="353">
          <cell r="B353">
            <v>311930</v>
          </cell>
          <cell r="C353" t="str">
            <v>Flavoring Syrup and Concentrate Manufacturing</v>
          </cell>
        </row>
        <row r="354">
          <cell r="B354">
            <v>31194</v>
          </cell>
          <cell r="C354" t="str">
            <v xml:space="preserve">Seasoning and Dressing ManufacturingT </v>
          </cell>
        </row>
        <row r="355">
          <cell r="B355">
            <v>311941</v>
          </cell>
          <cell r="C355" t="str">
            <v xml:space="preserve">Mayonnaise, Dressing, and Other Prepared Sauce Manufacturing </v>
          </cell>
        </row>
        <row r="356">
          <cell r="B356">
            <v>311942</v>
          </cell>
          <cell r="C356" t="str">
            <v xml:space="preserve">Spice and Extract Manufacturing </v>
          </cell>
        </row>
        <row r="357">
          <cell r="B357">
            <v>31199</v>
          </cell>
          <cell r="C357" t="str">
            <v xml:space="preserve">All Other Food ManufacturingT </v>
          </cell>
        </row>
        <row r="358">
          <cell r="B358">
            <v>311991</v>
          </cell>
          <cell r="C358" t="str">
            <v xml:space="preserve">Perishable Prepared Food Manufacturing </v>
          </cell>
        </row>
        <row r="359">
          <cell r="B359">
            <v>311999</v>
          </cell>
          <cell r="C359" t="str">
            <v xml:space="preserve">All Other Miscellaneous Food Manufacturing </v>
          </cell>
        </row>
        <row r="360">
          <cell r="B360">
            <v>312</v>
          </cell>
          <cell r="C360" t="str">
            <v xml:space="preserve">Beverage and Tobacco Product ManufacturingT </v>
          </cell>
        </row>
        <row r="361">
          <cell r="B361">
            <v>3121</v>
          </cell>
          <cell r="C361" t="str">
            <v xml:space="preserve">Beverage ManufacturingT </v>
          </cell>
        </row>
        <row r="362">
          <cell r="B362">
            <v>31211</v>
          </cell>
          <cell r="C362" t="str">
            <v xml:space="preserve">Soft Drink and Ice ManufacturingT </v>
          </cell>
        </row>
        <row r="363">
          <cell r="B363">
            <v>312111</v>
          </cell>
          <cell r="C363" t="str">
            <v xml:space="preserve">Soft Drink Manufacturing </v>
          </cell>
        </row>
        <row r="364">
          <cell r="B364">
            <v>312112</v>
          </cell>
          <cell r="C364" t="str">
            <v xml:space="preserve">Bottled Water Manufacturing </v>
          </cell>
        </row>
        <row r="365">
          <cell r="B365">
            <v>312113</v>
          </cell>
          <cell r="C365" t="str">
            <v xml:space="preserve">Ice Manufacturing </v>
          </cell>
        </row>
        <row r="366">
          <cell r="B366">
            <v>31212</v>
          </cell>
          <cell r="C366" t="str">
            <v xml:space="preserve">BreweriesT </v>
          </cell>
        </row>
        <row r="367">
          <cell r="B367">
            <v>312120</v>
          </cell>
          <cell r="C367" t="str">
            <v>Breweries</v>
          </cell>
        </row>
        <row r="368">
          <cell r="B368">
            <v>31213</v>
          </cell>
          <cell r="C368" t="str">
            <v xml:space="preserve">WineriesT </v>
          </cell>
        </row>
        <row r="369">
          <cell r="B369">
            <v>312130</v>
          </cell>
          <cell r="C369" t="str">
            <v xml:space="preserve">Wineries </v>
          </cell>
        </row>
        <row r="370">
          <cell r="B370">
            <v>31214</v>
          </cell>
          <cell r="C370" t="str">
            <v xml:space="preserve">DistilleriesT </v>
          </cell>
        </row>
        <row r="371">
          <cell r="B371">
            <v>312140</v>
          </cell>
          <cell r="C371" t="str">
            <v xml:space="preserve">Distilleries </v>
          </cell>
        </row>
        <row r="372">
          <cell r="B372">
            <v>3122</v>
          </cell>
          <cell r="C372" t="str">
            <v xml:space="preserve">Tobacco ManufacturingT </v>
          </cell>
        </row>
        <row r="373">
          <cell r="B373">
            <v>31223</v>
          </cell>
          <cell r="C373" t="str">
            <v>Tobacco Manufacturing</v>
          </cell>
        </row>
        <row r="374">
          <cell r="B374">
            <v>312230</v>
          </cell>
          <cell r="C374" t="str">
            <v xml:space="preserve">Tobacco Manufacturing </v>
          </cell>
        </row>
        <row r="375">
          <cell r="B375">
            <v>313</v>
          </cell>
          <cell r="C375" t="str">
            <v xml:space="preserve">Textile MillsT </v>
          </cell>
        </row>
        <row r="376">
          <cell r="B376">
            <v>3131</v>
          </cell>
          <cell r="C376" t="str">
            <v xml:space="preserve">Fiber, Yarn, and Thread MillsT </v>
          </cell>
        </row>
        <row r="377">
          <cell r="B377">
            <v>31311</v>
          </cell>
          <cell r="C377" t="str">
            <v xml:space="preserve">Fiber, Yarn, and Thread MillsT </v>
          </cell>
        </row>
        <row r="378">
          <cell r="B378">
            <v>313110</v>
          </cell>
          <cell r="C378" t="str">
            <v xml:space="preserve">Fiber, Yarn, and Thread Mills </v>
          </cell>
        </row>
        <row r="379">
          <cell r="B379">
            <v>3132</v>
          </cell>
          <cell r="C379" t="str">
            <v xml:space="preserve">Fabric MillsT </v>
          </cell>
        </row>
        <row r="380">
          <cell r="B380">
            <v>31321</v>
          </cell>
          <cell r="C380" t="str">
            <v xml:space="preserve">Broadwoven Fabric MillsT </v>
          </cell>
        </row>
        <row r="381">
          <cell r="B381">
            <v>313210</v>
          </cell>
          <cell r="C381" t="str">
            <v>Broadwoven Fabric Mills</v>
          </cell>
        </row>
        <row r="382">
          <cell r="B382">
            <v>31322</v>
          </cell>
          <cell r="C382" t="str">
            <v xml:space="preserve">Narrow Fabric Mills and Schiffli Machine EmbroideryT </v>
          </cell>
        </row>
        <row r="383">
          <cell r="B383">
            <v>313220</v>
          </cell>
          <cell r="C383" t="str">
            <v>Narrow Fabric Mills and Schiffli Machine Embroidery</v>
          </cell>
        </row>
        <row r="384">
          <cell r="B384">
            <v>31323</v>
          </cell>
          <cell r="C384" t="str">
            <v xml:space="preserve">Nonwoven Fabric MillsT </v>
          </cell>
        </row>
        <row r="385">
          <cell r="B385">
            <v>313230</v>
          </cell>
          <cell r="C385" t="str">
            <v>Nonwoven Fabric Mills</v>
          </cell>
        </row>
        <row r="386">
          <cell r="B386">
            <v>31324</v>
          </cell>
          <cell r="C386" t="str">
            <v xml:space="preserve">Knit Fabric MillsT </v>
          </cell>
        </row>
        <row r="387">
          <cell r="B387">
            <v>313240</v>
          </cell>
          <cell r="C387" t="str">
            <v>Knit Fabric Mills</v>
          </cell>
        </row>
        <row r="388">
          <cell r="B388">
            <v>3133</v>
          </cell>
          <cell r="C388" t="str">
            <v xml:space="preserve">Textile and Fabric Finishing and Fabric Coating MillsT </v>
          </cell>
        </row>
        <row r="389">
          <cell r="B389">
            <v>31331</v>
          </cell>
          <cell r="C389" t="str">
            <v>Textile and Fabric Finishing MillsT</v>
          </cell>
        </row>
        <row r="390">
          <cell r="B390">
            <v>313310</v>
          </cell>
          <cell r="C390" t="str">
            <v xml:space="preserve">Textile and Fabric Finishing Mills </v>
          </cell>
        </row>
        <row r="391">
          <cell r="B391">
            <v>31332</v>
          </cell>
          <cell r="C391" t="str">
            <v xml:space="preserve">Fabric Coating MillsT </v>
          </cell>
        </row>
        <row r="392">
          <cell r="B392">
            <v>313320</v>
          </cell>
          <cell r="C392" t="str">
            <v>Fabric Coating Mills</v>
          </cell>
        </row>
        <row r="393">
          <cell r="B393">
            <v>314</v>
          </cell>
          <cell r="C393" t="str">
            <v xml:space="preserve">Textile Product MillsT </v>
          </cell>
        </row>
        <row r="394">
          <cell r="B394">
            <v>3141</v>
          </cell>
          <cell r="C394" t="str">
            <v xml:space="preserve">Textile Furnishings MillsT </v>
          </cell>
        </row>
        <row r="395">
          <cell r="B395">
            <v>31411</v>
          </cell>
          <cell r="C395" t="str">
            <v xml:space="preserve">Carpet and Rug MillsT </v>
          </cell>
        </row>
        <row r="396">
          <cell r="B396">
            <v>314110</v>
          </cell>
          <cell r="C396" t="str">
            <v>Carpet and Rug Mills</v>
          </cell>
        </row>
        <row r="397">
          <cell r="B397">
            <v>31412</v>
          </cell>
          <cell r="C397" t="str">
            <v xml:space="preserve">Curtain and Linen MillsT </v>
          </cell>
        </row>
        <row r="398">
          <cell r="B398">
            <v>314120</v>
          </cell>
          <cell r="C398" t="str">
            <v>Curtain and Linen Mills</v>
          </cell>
        </row>
        <row r="399">
          <cell r="B399">
            <v>3149</v>
          </cell>
          <cell r="C399" t="str">
            <v xml:space="preserve">Other Textile Product MillsT </v>
          </cell>
        </row>
        <row r="400">
          <cell r="B400">
            <v>31491</v>
          </cell>
          <cell r="C400" t="str">
            <v xml:space="preserve">Textile Bag and Canvas MillsT </v>
          </cell>
        </row>
        <row r="401">
          <cell r="B401">
            <v>314910</v>
          </cell>
          <cell r="C401" t="str">
            <v xml:space="preserve">Textile Bag and Canvas Mills </v>
          </cell>
        </row>
        <row r="402">
          <cell r="B402">
            <v>31499</v>
          </cell>
          <cell r="C402" t="str">
            <v xml:space="preserve">All Other Textile Product MillsT </v>
          </cell>
        </row>
        <row r="403">
          <cell r="B403">
            <v>314994</v>
          </cell>
          <cell r="C403" t="str">
            <v xml:space="preserve">Rope, Cordage, Twine, Tire Cord, and Tire Fabric Mills </v>
          </cell>
        </row>
        <row r="404">
          <cell r="B404">
            <v>314999</v>
          </cell>
          <cell r="C404" t="str">
            <v xml:space="preserve">All Other Miscellaneous Textile Product Mills </v>
          </cell>
        </row>
        <row r="405">
          <cell r="B405">
            <v>315</v>
          </cell>
          <cell r="C405" t="str">
            <v xml:space="preserve">Apparel ManufacturingT </v>
          </cell>
        </row>
        <row r="406">
          <cell r="B406">
            <v>3151</v>
          </cell>
          <cell r="C406" t="str">
            <v xml:space="preserve">Apparel Knitting MillsT </v>
          </cell>
        </row>
        <row r="407">
          <cell r="B407">
            <v>31511</v>
          </cell>
          <cell r="C407" t="str">
            <v xml:space="preserve">Hosiery and Sock MillsT </v>
          </cell>
        </row>
        <row r="408">
          <cell r="B408">
            <v>315110</v>
          </cell>
          <cell r="C408" t="str">
            <v>Hosiery and Sock Mills</v>
          </cell>
        </row>
        <row r="409">
          <cell r="B409">
            <v>31519</v>
          </cell>
          <cell r="C409" t="str">
            <v xml:space="preserve">Other Apparel Knitting MillsT </v>
          </cell>
        </row>
        <row r="410">
          <cell r="B410">
            <v>315190</v>
          </cell>
          <cell r="C410" t="str">
            <v xml:space="preserve">Other Apparel Knitting Mills </v>
          </cell>
        </row>
        <row r="411">
          <cell r="B411">
            <v>3152</v>
          </cell>
          <cell r="C411" t="str">
            <v xml:space="preserve">Cut and Sew Apparel ManufacturingT </v>
          </cell>
        </row>
        <row r="412">
          <cell r="B412">
            <v>31521</v>
          </cell>
          <cell r="C412" t="str">
            <v xml:space="preserve">Cut and Sew Apparel Contractors </v>
          </cell>
        </row>
        <row r="413">
          <cell r="B413">
            <v>315210</v>
          </cell>
          <cell r="C413" t="str">
            <v xml:space="preserve">Cut and Sew Apparel Contractors </v>
          </cell>
        </row>
        <row r="414">
          <cell r="B414">
            <v>31522</v>
          </cell>
          <cell r="C414" t="str">
            <v xml:space="preserve">Men’s and Boys’ Cut and Sew Apparel Manufacturing </v>
          </cell>
        </row>
        <row r="415">
          <cell r="B415">
            <v>315220</v>
          </cell>
          <cell r="C415" t="str">
            <v xml:space="preserve">Men’s and Boys’ Cut and Sew Apparel Manufacturing </v>
          </cell>
        </row>
        <row r="416">
          <cell r="B416">
            <v>31524</v>
          </cell>
          <cell r="C416" t="str">
            <v>Women’s, Girls’, and Infants’ Cut and Sew Apparel Manufacturing</v>
          </cell>
        </row>
        <row r="417">
          <cell r="B417">
            <v>315240</v>
          </cell>
          <cell r="C417" t="str">
            <v xml:space="preserve">Women’s, Girls’, and Infants’ Cut and Sew Apparel Manufacturing </v>
          </cell>
        </row>
        <row r="418">
          <cell r="B418">
            <v>31528</v>
          </cell>
          <cell r="C418" t="str">
            <v xml:space="preserve">Other Cut and Sew Apparel Manufacturing </v>
          </cell>
        </row>
        <row r="419">
          <cell r="B419">
            <v>315280</v>
          </cell>
          <cell r="C419" t="str">
            <v xml:space="preserve">Other Cut and Sew Apparel Manufacturing </v>
          </cell>
        </row>
        <row r="420">
          <cell r="B420">
            <v>3159</v>
          </cell>
          <cell r="C420" t="str">
            <v xml:space="preserve">Apparel Accessories and Other Apparel ManufacturingT </v>
          </cell>
        </row>
        <row r="421">
          <cell r="B421">
            <v>31599</v>
          </cell>
          <cell r="C421" t="str">
            <v xml:space="preserve">Apparel Accessories and Other Apparel ManufacturingT </v>
          </cell>
        </row>
        <row r="422">
          <cell r="B422">
            <v>315990</v>
          </cell>
          <cell r="C422" t="str">
            <v xml:space="preserve">Apparel Accessories and Other Apparel Manufacturing </v>
          </cell>
        </row>
        <row r="423">
          <cell r="B423">
            <v>316</v>
          </cell>
          <cell r="C423" t="str">
            <v xml:space="preserve">Leather and Allied Product ManufacturingT </v>
          </cell>
        </row>
        <row r="424">
          <cell r="B424">
            <v>3161</v>
          </cell>
          <cell r="C424" t="str">
            <v xml:space="preserve">Leather and Hide Tanning and FinishingT </v>
          </cell>
        </row>
        <row r="425">
          <cell r="B425">
            <v>31611</v>
          </cell>
          <cell r="C425" t="str">
            <v xml:space="preserve">Leather and Hide Tanning and FinishingT </v>
          </cell>
        </row>
        <row r="426">
          <cell r="B426">
            <v>316110</v>
          </cell>
          <cell r="C426" t="str">
            <v>Leather and Hide Tanning and Finishing</v>
          </cell>
        </row>
        <row r="427">
          <cell r="B427">
            <v>3162</v>
          </cell>
          <cell r="C427" t="str">
            <v xml:space="preserve">Footwear ManufacturingT </v>
          </cell>
        </row>
        <row r="428">
          <cell r="B428">
            <v>31621</v>
          </cell>
          <cell r="C428" t="str">
            <v xml:space="preserve">Footwear ManufacturingT </v>
          </cell>
        </row>
        <row r="429">
          <cell r="B429">
            <v>316210</v>
          </cell>
          <cell r="C429" t="str">
            <v xml:space="preserve">Footwear Manufacturing </v>
          </cell>
        </row>
        <row r="430">
          <cell r="B430">
            <v>3169</v>
          </cell>
          <cell r="C430" t="str">
            <v xml:space="preserve">Other Leather and Allied Product ManufacturingT </v>
          </cell>
        </row>
        <row r="431">
          <cell r="B431">
            <v>31699</v>
          </cell>
          <cell r="C431" t="str">
            <v xml:space="preserve">Other Leather and Allied Product ManufacturingT </v>
          </cell>
        </row>
        <row r="432">
          <cell r="B432">
            <v>316992</v>
          </cell>
          <cell r="C432" t="str">
            <v xml:space="preserve">Women's Handbag and Purse Manufacturing </v>
          </cell>
        </row>
        <row r="433">
          <cell r="B433">
            <v>316998</v>
          </cell>
          <cell r="C433" t="str">
            <v xml:space="preserve">All Other Leather Good and Allied Product Manufacturing </v>
          </cell>
        </row>
        <row r="434">
          <cell r="B434">
            <v>321</v>
          </cell>
          <cell r="C434" t="str">
            <v xml:space="preserve">Wood Product ManufacturingT </v>
          </cell>
        </row>
        <row r="435">
          <cell r="B435">
            <v>3211</v>
          </cell>
          <cell r="C435" t="str">
            <v xml:space="preserve">Sawmills and Wood PreservationT </v>
          </cell>
        </row>
        <row r="436">
          <cell r="B436">
            <v>32111</v>
          </cell>
          <cell r="C436" t="str">
            <v xml:space="preserve">Sawmills and Wood PreservationT </v>
          </cell>
        </row>
        <row r="437">
          <cell r="B437">
            <v>321113</v>
          </cell>
          <cell r="C437" t="str">
            <v xml:space="preserve">Sawmills </v>
          </cell>
        </row>
        <row r="438">
          <cell r="B438">
            <v>321114</v>
          </cell>
          <cell r="C438" t="str">
            <v xml:space="preserve">Wood Preservation </v>
          </cell>
        </row>
        <row r="439">
          <cell r="B439">
            <v>3212</v>
          </cell>
          <cell r="C439" t="str">
            <v xml:space="preserve">Veneer, Plywood, and Engineered Wood Product ManufacturingT </v>
          </cell>
        </row>
        <row r="440">
          <cell r="B440">
            <v>32121</v>
          </cell>
          <cell r="C440" t="str">
            <v xml:space="preserve">Veneer, Plywood, and Engineered Wood Product ManufacturingT </v>
          </cell>
        </row>
        <row r="441">
          <cell r="B441">
            <v>321211</v>
          </cell>
          <cell r="C441" t="str">
            <v xml:space="preserve">Hardwood Veneer and Plywood Manufacturing </v>
          </cell>
        </row>
        <row r="442">
          <cell r="B442">
            <v>321212</v>
          </cell>
          <cell r="C442" t="str">
            <v xml:space="preserve">Softwood Veneer and Plywood Manufacturing </v>
          </cell>
        </row>
        <row r="443">
          <cell r="B443">
            <v>321213</v>
          </cell>
          <cell r="C443" t="str">
            <v xml:space="preserve">Engineered Wood Member (except Truss) Manufacturing </v>
          </cell>
        </row>
        <row r="444">
          <cell r="B444">
            <v>321214</v>
          </cell>
          <cell r="C444" t="str">
            <v xml:space="preserve">Truss Manufacturing </v>
          </cell>
        </row>
        <row r="445">
          <cell r="B445">
            <v>321219</v>
          </cell>
          <cell r="C445" t="str">
            <v xml:space="preserve">Reconstituted Wood Product Manufacturing </v>
          </cell>
        </row>
        <row r="446">
          <cell r="B446">
            <v>3219</v>
          </cell>
          <cell r="C446" t="str">
            <v xml:space="preserve">Other Wood Product ManufacturingT </v>
          </cell>
        </row>
        <row r="447">
          <cell r="B447">
            <v>32191</v>
          </cell>
          <cell r="C447" t="str">
            <v xml:space="preserve">MillworkT </v>
          </cell>
        </row>
        <row r="448">
          <cell r="B448">
            <v>321911</v>
          </cell>
          <cell r="C448" t="str">
            <v xml:space="preserve">Wood Window and Door Manufacturing </v>
          </cell>
        </row>
        <row r="449">
          <cell r="B449">
            <v>321912</v>
          </cell>
          <cell r="C449" t="str">
            <v xml:space="preserve">Cut Stock, Resawing Lumber, and Planing </v>
          </cell>
        </row>
        <row r="450">
          <cell r="B450">
            <v>321918</v>
          </cell>
          <cell r="C450" t="str">
            <v xml:space="preserve">Other Millwork (including Flooring) </v>
          </cell>
        </row>
        <row r="451">
          <cell r="B451">
            <v>32192</v>
          </cell>
          <cell r="C451" t="str">
            <v xml:space="preserve">Wood Container and Pallet ManufacturingT </v>
          </cell>
        </row>
        <row r="452">
          <cell r="B452">
            <v>321920</v>
          </cell>
          <cell r="C452" t="str">
            <v>Wood Container and Pallet Manufacturing</v>
          </cell>
        </row>
        <row r="453">
          <cell r="B453">
            <v>32199</v>
          </cell>
          <cell r="C453" t="str">
            <v xml:space="preserve">All Other Wood Product ManufacturingT </v>
          </cell>
        </row>
        <row r="454">
          <cell r="B454">
            <v>321991</v>
          </cell>
          <cell r="C454" t="str">
            <v xml:space="preserve">Manufactured Home (Mobile Home) Manufacturing </v>
          </cell>
        </row>
        <row r="455">
          <cell r="B455">
            <v>321992</v>
          </cell>
          <cell r="C455" t="str">
            <v xml:space="preserve">Prefabricated Wood Building Manufacturing </v>
          </cell>
        </row>
        <row r="456">
          <cell r="B456">
            <v>321999</v>
          </cell>
          <cell r="C456" t="str">
            <v xml:space="preserve">All Other Miscellaneous Wood Product Manufacturing </v>
          </cell>
        </row>
        <row r="457">
          <cell r="B457">
            <v>322</v>
          </cell>
          <cell r="C457" t="str">
            <v xml:space="preserve">Paper ManufacturingT </v>
          </cell>
        </row>
        <row r="458">
          <cell r="B458">
            <v>3221</v>
          </cell>
          <cell r="C458" t="str">
            <v xml:space="preserve">Pulp, Paper, and Paperboard MillsT </v>
          </cell>
        </row>
        <row r="459">
          <cell r="B459">
            <v>32211</v>
          </cell>
          <cell r="C459" t="str">
            <v xml:space="preserve">Pulp MillsT </v>
          </cell>
        </row>
        <row r="460">
          <cell r="B460">
            <v>322110</v>
          </cell>
          <cell r="C460" t="str">
            <v xml:space="preserve">Pulp Mills </v>
          </cell>
        </row>
        <row r="461">
          <cell r="B461">
            <v>32212</v>
          </cell>
          <cell r="C461" t="str">
            <v xml:space="preserve">Paper MillsT </v>
          </cell>
        </row>
        <row r="462">
          <cell r="B462">
            <v>322121</v>
          </cell>
          <cell r="C462" t="str">
            <v xml:space="preserve">Paper (except Newsprint) Mills </v>
          </cell>
        </row>
        <row r="463">
          <cell r="B463">
            <v>322122</v>
          </cell>
          <cell r="C463" t="str">
            <v xml:space="preserve">Newsprint Mills </v>
          </cell>
        </row>
        <row r="464">
          <cell r="B464">
            <v>32213</v>
          </cell>
          <cell r="C464" t="str">
            <v xml:space="preserve">Paperboard MillsT </v>
          </cell>
        </row>
        <row r="465">
          <cell r="B465">
            <v>322130</v>
          </cell>
          <cell r="C465" t="str">
            <v xml:space="preserve">Paperboard Mills </v>
          </cell>
        </row>
        <row r="466">
          <cell r="B466">
            <v>3222</v>
          </cell>
          <cell r="C466" t="str">
            <v xml:space="preserve">Converted Paper Product ManufacturingT </v>
          </cell>
        </row>
        <row r="467">
          <cell r="B467">
            <v>32221</v>
          </cell>
          <cell r="C467" t="str">
            <v xml:space="preserve">Paperboard Container ManufacturingT </v>
          </cell>
        </row>
        <row r="468">
          <cell r="B468">
            <v>322211</v>
          </cell>
          <cell r="C468" t="str">
            <v xml:space="preserve">Corrugated and Solid Fiber Box Manufacturing </v>
          </cell>
        </row>
        <row r="469">
          <cell r="B469">
            <v>322212</v>
          </cell>
          <cell r="C469" t="str">
            <v xml:space="preserve">Folding Paperboard Box Manufacturing </v>
          </cell>
        </row>
        <row r="470">
          <cell r="B470">
            <v>322219</v>
          </cell>
          <cell r="C470" t="str">
            <v xml:space="preserve">Other Paperboard Container Manufacturing </v>
          </cell>
        </row>
        <row r="471">
          <cell r="B471">
            <v>32222</v>
          </cell>
          <cell r="C471" t="str">
            <v xml:space="preserve">Paper Bag and Coated and Treated Paper ManufacturingT </v>
          </cell>
        </row>
        <row r="472">
          <cell r="B472">
            <v>322220</v>
          </cell>
          <cell r="C472" t="str">
            <v>Paper Bag and Coated and Treated Paper Manufacturing</v>
          </cell>
        </row>
        <row r="473">
          <cell r="B473">
            <v>32223</v>
          </cell>
          <cell r="C473" t="str">
            <v xml:space="preserve">Stationery Product ManufacturingT </v>
          </cell>
        </row>
        <row r="474">
          <cell r="B474">
            <v>322230</v>
          </cell>
          <cell r="C474" t="str">
            <v>Stationery Product Manufacturing</v>
          </cell>
        </row>
        <row r="475">
          <cell r="B475">
            <v>32229</v>
          </cell>
          <cell r="C475" t="str">
            <v xml:space="preserve">Other Converted Paper Product ManufacturingT </v>
          </cell>
        </row>
        <row r="476">
          <cell r="B476">
            <v>322291</v>
          </cell>
          <cell r="C476" t="str">
            <v xml:space="preserve">Sanitary Paper Product Manufacturing </v>
          </cell>
        </row>
        <row r="477">
          <cell r="B477">
            <v>322299</v>
          </cell>
          <cell r="C477" t="str">
            <v xml:space="preserve">All Other Converted Paper Product Manufacturing </v>
          </cell>
        </row>
        <row r="478">
          <cell r="B478">
            <v>323</v>
          </cell>
          <cell r="C478" t="str">
            <v xml:space="preserve">Printing and Related Support ActivitiesT </v>
          </cell>
        </row>
        <row r="479">
          <cell r="B479">
            <v>3231</v>
          </cell>
          <cell r="C479" t="str">
            <v xml:space="preserve">Printing and Related Support ActivitiesT </v>
          </cell>
        </row>
        <row r="480">
          <cell r="B480">
            <v>32311</v>
          </cell>
          <cell r="C480" t="str">
            <v xml:space="preserve">PrintingT </v>
          </cell>
        </row>
        <row r="481">
          <cell r="B481">
            <v>323111</v>
          </cell>
          <cell r="C481" t="str">
            <v xml:space="preserve">Commercial Printing (except Screen and Books) </v>
          </cell>
        </row>
        <row r="482">
          <cell r="B482">
            <v>323113</v>
          </cell>
          <cell r="C482" t="str">
            <v xml:space="preserve">Commercial Screen Printing </v>
          </cell>
        </row>
        <row r="483">
          <cell r="B483">
            <v>323117</v>
          </cell>
          <cell r="C483" t="str">
            <v xml:space="preserve">Books Printing </v>
          </cell>
        </row>
        <row r="484">
          <cell r="B484">
            <v>32312</v>
          </cell>
          <cell r="C484" t="str">
            <v xml:space="preserve">Support Activities for PrintingT </v>
          </cell>
        </row>
        <row r="485">
          <cell r="B485">
            <v>323120</v>
          </cell>
          <cell r="C485" t="str">
            <v>Support Activities for Printing</v>
          </cell>
        </row>
        <row r="486">
          <cell r="B486">
            <v>324</v>
          </cell>
          <cell r="C486" t="str">
            <v xml:space="preserve">Petroleum and Coal Products ManufacturingT </v>
          </cell>
        </row>
        <row r="487">
          <cell r="B487">
            <v>3241</v>
          </cell>
          <cell r="C487" t="str">
            <v xml:space="preserve">Petroleum and Coal Products ManufacturingT </v>
          </cell>
        </row>
        <row r="488">
          <cell r="B488">
            <v>32411</v>
          </cell>
          <cell r="C488" t="str">
            <v xml:space="preserve">Petroleum RefineriesT </v>
          </cell>
        </row>
        <row r="489">
          <cell r="B489">
            <v>324110</v>
          </cell>
          <cell r="C489" t="str">
            <v>Petroleum Refineries</v>
          </cell>
        </row>
        <row r="490">
          <cell r="B490">
            <v>32412</v>
          </cell>
          <cell r="C490" t="str">
            <v xml:space="preserve">Asphalt Paving, Roofing, and Saturated Materials ManufacturingT </v>
          </cell>
        </row>
        <row r="491">
          <cell r="B491">
            <v>324121</v>
          </cell>
          <cell r="C491" t="str">
            <v xml:space="preserve">Asphalt Paving Mixture and Block Manufacturing </v>
          </cell>
        </row>
        <row r="492">
          <cell r="B492">
            <v>324122</v>
          </cell>
          <cell r="C492" t="str">
            <v xml:space="preserve">Asphalt Shingle and Coating Materials Manufacturing </v>
          </cell>
        </row>
        <row r="493">
          <cell r="B493">
            <v>32419</v>
          </cell>
          <cell r="C493" t="str">
            <v xml:space="preserve">Other Petroleum and Coal Products ManufacturingT </v>
          </cell>
        </row>
        <row r="494">
          <cell r="B494">
            <v>324191</v>
          </cell>
          <cell r="C494" t="str">
            <v xml:space="preserve">Petroleum Lubricating Oil and Grease Manufacturing </v>
          </cell>
        </row>
        <row r="495">
          <cell r="B495">
            <v>324199</v>
          </cell>
          <cell r="C495" t="str">
            <v xml:space="preserve">All Other Petroleum and Coal Products Manufacturing </v>
          </cell>
        </row>
        <row r="496">
          <cell r="B496">
            <v>325</v>
          </cell>
          <cell r="C496" t="str">
            <v xml:space="preserve">Chemical ManufacturingT </v>
          </cell>
        </row>
        <row r="497">
          <cell r="B497">
            <v>3251</v>
          </cell>
          <cell r="C497" t="str">
            <v xml:space="preserve">Basic Chemical ManufacturingT </v>
          </cell>
        </row>
        <row r="498">
          <cell r="B498">
            <v>32511</v>
          </cell>
          <cell r="C498" t="str">
            <v xml:space="preserve">Petrochemical ManufacturingT </v>
          </cell>
        </row>
        <row r="499">
          <cell r="B499">
            <v>325110</v>
          </cell>
          <cell r="C499" t="str">
            <v>Petrochemical Manufacturing</v>
          </cell>
        </row>
        <row r="500">
          <cell r="B500">
            <v>32512</v>
          </cell>
          <cell r="C500" t="str">
            <v xml:space="preserve">Industrial Gas ManufacturingT </v>
          </cell>
        </row>
        <row r="501">
          <cell r="B501">
            <v>325120</v>
          </cell>
          <cell r="C501" t="str">
            <v>Industrial Gas Manufacturing</v>
          </cell>
        </row>
        <row r="502">
          <cell r="B502">
            <v>32513</v>
          </cell>
          <cell r="C502" t="str">
            <v xml:space="preserve">Synthetic Dye and Pigment ManufacturingT </v>
          </cell>
        </row>
        <row r="503">
          <cell r="B503">
            <v>325130</v>
          </cell>
          <cell r="C503" t="str">
            <v>Synthetic Dye and Pigment Manufacturing</v>
          </cell>
        </row>
        <row r="504">
          <cell r="B504">
            <v>32518</v>
          </cell>
          <cell r="C504" t="str">
            <v xml:space="preserve">Other Basic Inorganic Chemical ManufacturingT </v>
          </cell>
        </row>
        <row r="505">
          <cell r="B505">
            <v>325180</v>
          </cell>
          <cell r="C505" t="str">
            <v xml:space="preserve">Other Basic Inorganic Chemical Manufacturing </v>
          </cell>
        </row>
        <row r="506">
          <cell r="B506">
            <v>32519</v>
          </cell>
          <cell r="C506" t="str">
            <v xml:space="preserve">Other Basic Organic Chemical ManufacturingT </v>
          </cell>
        </row>
        <row r="507">
          <cell r="B507">
            <v>325193</v>
          </cell>
          <cell r="C507" t="str">
            <v xml:space="preserve">Ethyl Alcohol Manufacturing </v>
          </cell>
        </row>
        <row r="508">
          <cell r="B508">
            <v>325194</v>
          </cell>
          <cell r="C508" t="str">
            <v xml:space="preserve">Cyclic Crude, Intermediate, and Gum and Wood Chemical Manufacturing </v>
          </cell>
        </row>
        <row r="509">
          <cell r="B509">
            <v>325199</v>
          </cell>
          <cell r="C509" t="str">
            <v xml:space="preserve">All Other Basic Organic Chemical Manufacturing </v>
          </cell>
        </row>
        <row r="510">
          <cell r="B510">
            <v>3252</v>
          </cell>
          <cell r="C510" t="str">
            <v xml:space="preserve">Resin, Synthetic Rubber, and Artificial Synthetic Fibers and Filaments ManufacturingT </v>
          </cell>
        </row>
        <row r="511">
          <cell r="B511">
            <v>32521</v>
          </cell>
          <cell r="C511" t="str">
            <v xml:space="preserve">Resin and Synthetic Rubber ManufacturingT </v>
          </cell>
        </row>
        <row r="512">
          <cell r="B512">
            <v>325211</v>
          </cell>
          <cell r="C512" t="str">
            <v xml:space="preserve">Plastics Material and Resin Manufacturing </v>
          </cell>
        </row>
        <row r="513">
          <cell r="B513">
            <v>325212</v>
          </cell>
          <cell r="C513" t="str">
            <v xml:space="preserve">Synthetic Rubber Manufacturing </v>
          </cell>
        </row>
        <row r="514">
          <cell r="B514">
            <v>32522</v>
          </cell>
          <cell r="C514" t="str">
            <v xml:space="preserve">Artificial and Synthetic Fibers and Filaments ManufacturingT </v>
          </cell>
        </row>
        <row r="515">
          <cell r="B515">
            <v>325220</v>
          </cell>
          <cell r="C515" t="str">
            <v>Artificial and Synthetic Fibers and Filaments Manufacturing</v>
          </cell>
        </row>
        <row r="516">
          <cell r="B516">
            <v>3253</v>
          </cell>
          <cell r="C516" t="str">
            <v xml:space="preserve">Pesticide, Fertilizer, and Other Agricultural Chemical ManufacturingT </v>
          </cell>
        </row>
        <row r="517">
          <cell r="B517">
            <v>32531</v>
          </cell>
          <cell r="C517" t="str">
            <v xml:space="preserve">Fertilizer ManufacturingT </v>
          </cell>
        </row>
        <row r="518">
          <cell r="B518">
            <v>325311</v>
          </cell>
          <cell r="C518" t="str">
            <v xml:space="preserve">Nitrogenous Fertilizer Manufacturing </v>
          </cell>
        </row>
        <row r="519">
          <cell r="B519">
            <v>325312</v>
          </cell>
          <cell r="C519" t="str">
            <v xml:space="preserve">Phosphatic Fertilizer Manufacturing </v>
          </cell>
        </row>
        <row r="520">
          <cell r="B520">
            <v>325314</v>
          </cell>
          <cell r="C520" t="str">
            <v xml:space="preserve">Fertilizer (Mixing Only) Manufacturing </v>
          </cell>
        </row>
        <row r="521">
          <cell r="B521">
            <v>32532</v>
          </cell>
          <cell r="C521" t="str">
            <v xml:space="preserve">Pesticide and Other Agricultural Chemical ManufacturingT </v>
          </cell>
        </row>
        <row r="522">
          <cell r="B522">
            <v>325320</v>
          </cell>
          <cell r="C522" t="str">
            <v>Pesticide and Other Agricultural Chemical Manufacturing</v>
          </cell>
        </row>
        <row r="523">
          <cell r="B523">
            <v>3254</v>
          </cell>
          <cell r="C523" t="str">
            <v xml:space="preserve">Pharmaceutical and Medicine ManufacturingT </v>
          </cell>
        </row>
        <row r="524">
          <cell r="B524">
            <v>32541</v>
          </cell>
          <cell r="C524" t="str">
            <v xml:space="preserve">Pharmaceutical and Medicine ManufacturingT </v>
          </cell>
        </row>
        <row r="525">
          <cell r="B525">
            <v>325411</v>
          </cell>
          <cell r="C525" t="str">
            <v xml:space="preserve">Medicinal and Botanical Manufacturing </v>
          </cell>
        </row>
        <row r="526">
          <cell r="B526">
            <v>325412</v>
          </cell>
          <cell r="C526" t="str">
            <v xml:space="preserve">Pharmaceutical Preparation Manufacturing </v>
          </cell>
        </row>
        <row r="527">
          <cell r="B527">
            <v>325413</v>
          </cell>
          <cell r="C527" t="str">
            <v xml:space="preserve">In-Vitro Diagnostic Substance Manufacturing </v>
          </cell>
        </row>
        <row r="528">
          <cell r="B528">
            <v>325414</v>
          </cell>
          <cell r="C528" t="str">
            <v xml:space="preserve">Biological Product (except Diagnostic) Manufacturing </v>
          </cell>
        </row>
        <row r="529">
          <cell r="B529">
            <v>3255</v>
          </cell>
          <cell r="C529" t="str">
            <v xml:space="preserve">Paint, Coating, and Adhesive ManufacturingT </v>
          </cell>
        </row>
        <row r="530">
          <cell r="B530">
            <v>32551</v>
          </cell>
          <cell r="C530" t="str">
            <v xml:space="preserve">Paint and Coating ManufacturingT </v>
          </cell>
        </row>
        <row r="531">
          <cell r="B531">
            <v>325510</v>
          </cell>
          <cell r="C531" t="str">
            <v>Paint and Coating Manufacturing</v>
          </cell>
        </row>
        <row r="532">
          <cell r="B532">
            <v>32552</v>
          </cell>
          <cell r="C532" t="str">
            <v xml:space="preserve">Adhesive ManufacturingT </v>
          </cell>
        </row>
        <row r="533">
          <cell r="B533">
            <v>325520</v>
          </cell>
          <cell r="C533" t="str">
            <v>Adhesive Manufacturing</v>
          </cell>
        </row>
        <row r="534">
          <cell r="B534">
            <v>3256</v>
          </cell>
          <cell r="C534" t="str">
            <v xml:space="preserve">Soap, Cleaning Compound, and Toilet Preparation ManufacturingT </v>
          </cell>
        </row>
        <row r="535">
          <cell r="B535">
            <v>32561</v>
          </cell>
          <cell r="C535" t="str">
            <v xml:space="preserve">Soap and Cleaning Compound ManufacturingT </v>
          </cell>
        </row>
        <row r="536">
          <cell r="B536">
            <v>325611</v>
          </cell>
          <cell r="C536" t="str">
            <v xml:space="preserve">Soap and Other Detergent Manufacturing </v>
          </cell>
        </row>
        <row r="537">
          <cell r="B537">
            <v>325612</v>
          </cell>
          <cell r="C537" t="str">
            <v xml:space="preserve">Polish and Other Sanitation Good Manufacturing </v>
          </cell>
        </row>
        <row r="538">
          <cell r="B538">
            <v>325613</v>
          </cell>
          <cell r="C538" t="str">
            <v xml:space="preserve">Surface Active Agent Manufacturing </v>
          </cell>
        </row>
        <row r="539">
          <cell r="B539">
            <v>32562</v>
          </cell>
          <cell r="C539" t="str">
            <v xml:space="preserve">Toilet Preparation ManufacturingT </v>
          </cell>
        </row>
        <row r="540">
          <cell r="B540">
            <v>325620</v>
          </cell>
          <cell r="C540" t="str">
            <v>Toilet Preparation Manufacturing</v>
          </cell>
        </row>
        <row r="541">
          <cell r="B541">
            <v>3259</v>
          </cell>
          <cell r="C541" t="str">
            <v xml:space="preserve">Other Chemical Product and Preparation ManufacturingT </v>
          </cell>
        </row>
        <row r="542">
          <cell r="B542">
            <v>32591</v>
          </cell>
          <cell r="C542" t="str">
            <v xml:space="preserve">Printing Ink ManufacturingT </v>
          </cell>
        </row>
        <row r="543">
          <cell r="B543">
            <v>325910</v>
          </cell>
          <cell r="C543" t="str">
            <v>Printing Ink Manufacturing</v>
          </cell>
        </row>
        <row r="544">
          <cell r="B544">
            <v>32592</v>
          </cell>
          <cell r="C544" t="str">
            <v xml:space="preserve">Explosives ManufacturingT </v>
          </cell>
        </row>
        <row r="545">
          <cell r="B545">
            <v>325920</v>
          </cell>
          <cell r="C545" t="str">
            <v>Explosives Manufacturing</v>
          </cell>
        </row>
        <row r="546">
          <cell r="B546">
            <v>32599</v>
          </cell>
          <cell r="C546" t="str">
            <v xml:space="preserve">All Other Chemical Product and Preparation ManufacturingT </v>
          </cell>
        </row>
        <row r="547">
          <cell r="B547">
            <v>325991</v>
          </cell>
          <cell r="C547" t="str">
            <v xml:space="preserve">Custom Compounding of Purchased Resins </v>
          </cell>
        </row>
        <row r="548">
          <cell r="B548">
            <v>325992</v>
          </cell>
          <cell r="C548" t="str">
            <v xml:space="preserve">Photographic Film, Paper, Plate, and Chemical Manufacturing </v>
          </cell>
        </row>
        <row r="549">
          <cell r="B549">
            <v>325998</v>
          </cell>
          <cell r="C549" t="str">
            <v xml:space="preserve">All Other Miscellaneous Chemical Product and Preparation Manufacturing </v>
          </cell>
        </row>
        <row r="550">
          <cell r="B550">
            <v>326</v>
          </cell>
          <cell r="C550" t="str">
            <v xml:space="preserve">Plastics and Rubber Products ManufacturingT </v>
          </cell>
        </row>
        <row r="551">
          <cell r="B551">
            <v>3261</v>
          </cell>
          <cell r="C551" t="str">
            <v xml:space="preserve">Plastics Product ManufacturingT </v>
          </cell>
        </row>
        <row r="552">
          <cell r="B552">
            <v>32611</v>
          </cell>
          <cell r="C552" t="str">
            <v xml:space="preserve">Plastics Packaging Materials and Unlaminated Film and Sheet ManufacturingT </v>
          </cell>
        </row>
        <row r="553">
          <cell r="B553">
            <v>326111</v>
          </cell>
          <cell r="C553" t="str">
            <v xml:space="preserve">Plastics Bag and Pouch Manufacturing </v>
          </cell>
        </row>
        <row r="554">
          <cell r="B554">
            <v>326112</v>
          </cell>
          <cell r="C554" t="str">
            <v xml:space="preserve">Plastics Packaging Film and Sheet (including Laminated) Manufacturing </v>
          </cell>
        </row>
        <row r="555">
          <cell r="B555">
            <v>326113</v>
          </cell>
          <cell r="C555" t="str">
            <v xml:space="preserve">Unlaminated Plastics Film and Sheet (except Packaging) Manufacturing </v>
          </cell>
        </row>
        <row r="556">
          <cell r="B556">
            <v>32612</v>
          </cell>
          <cell r="C556" t="str">
            <v xml:space="preserve">Plastics Pipe, Pipe Fitting, and Unlaminated Profile Shape ManufacturingT </v>
          </cell>
        </row>
        <row r="557">
          <cell r="B557">
            <v>326121</v>
          </cell>
          <cell r="C557" t="str">
            <v xml:space="preserve">Unlaminated Plastics Profile Shape Manufacturing </v>
          </cell>
        </row>
        <row r="558">
          <cell r="B558">
            <v>326122</v>
          </cell>
          <cell r="C558" t="str">
            <v xml:space="preserve">Plastics Pipe and Pipe Fitting Manufacturing </v>
          </cell>
        </row>
        <row r="559">
          <cell r="B559">
            <v>32613</v>
          </cell>
          <cell r="C559" t="str">
            <v xml:space="preserve">Laminated Plastics Plate, Sheet (except Packaging), and Shape ManufacturingT </v>
          </cell>
        </row>
        <row r="560">
          <cell r="B560">
            <v>326130</v>
          </cell>
          <cell r="C560" t="str">
            <v>Laminated Plastics Plate, Sheet (except Packaging), and Shape Manufacturing</v>
          </cell>
        </row>
        <row r="561">
          <cell r="B561">
            <v>32614</v>
          </cell>
          <cell r="C561" t="str">
            <v xml:space="preserve">Polystyrene Foam Product ManufacturingT </v>
          </cell>
        </row>
        <row r="562">
          <cell r="B562">
            <v>326140</v>
          </cell>
          <cell r="C562" t="str">
            <v>Polystyrene Foam Product Manufacturing</v>
          </cell>
        </row>
        <row r="563">
          <cell r="B563">
            <v>32615</v>
          </cell>
          <cell r="C563" t="str">
            <v xml:space="preserve">Urethane and Other Foam Product (except Polystyrene) ManufacturingT </v>
          </cell>
        </row>
        <row r="564">
          <cell r="B564">
            <v>326150</v>
          </cell>
          <cell r="C564" t="str">
            <v>Urethane and Other Foam Product (except Polystyrene) Manufacturing</v>
          </cell>
        </row>
        <row r="565">
          <cell r="B565">
            <v>32616</v>
          </cell>
          <cell r="C565" t="str">
            <v xml:space="preserve">Plastics Bottle ManufacturingT </v>
          </cell>
        </row>
        <row r="566">
          <cell r="B566">
            <v>326160</v>
          </cell>
          <cell r="C566" t="str">
            <v>Plastics Bottle Manufacturing</v>
          </cell>
        </row>
        <row r="567">
          <cell r="B567">
            <v>32619</v>
          </cell>
          <cell r="C567" t="str">
            <v xml:space="preserve">Other Plastics Product ManufacturingT </v>
          </cell>
        </row>
        <row r="568">
          <cell r="B568">
            <v>326191</v>
          </cell>
          <cell r="C568" t="str">
            <v xml:space="preserve">Plastics Plumbing Fixture Manufacturing </v>
          </cell>
        </row>
        <row r="569">
          <cell r="B569">
            <v>326199</v>
          </cell>
          <cell r="C569" t="str">
            <v xml:space="preserve">All Other Plastics Product Manufacturing </v>
          </cell>
        </row>
        <row r="570">
          <cell r="B570">
            <v>3262</v>
          </cell>
          <cell r="C570" t="str">
            <v xml:space="preserve">Rubber Product ManufacturingT </v>
          </cell>
        </row>
        <row r="571">
          <cell r="B571">
            <v>32621</v>
          </cell>
          <cell r="C571" t="str">
            <v xml:space="preserve">Tire ManufacturingT </v>
          </cell>
        </row>
        <row r="572">
          <cell r="B572">
            <v>326211</v>
          </cell>
          <cell r="C572" t="str">
            <v xml:space="preserve">Tire Manufacturing (except Retreading) </v>
          </cell>
        </row>
        <row r="573">
          <cell r="B573">
            <v>326212</v>
          </cell>
          <cell r="C573" t="str">
            <v xml:space="preserve">Tire Retreading </v>
          </cell>
        </row>
        <row r="574">
          <cell r="B574">
            <v>32622</v>
          </cell>
          <cell r="C574" t="str">
            <v xml:space="preserve">Rubber and Plastics Hoses and Belting ManufacturingT </v>
          </cell>
        </row>
        <row r="575">
          <cell r="B575">
            <v>326220</v>
          </cell>
          <cell r="C575" t="str">
            <v>Rubber and Plastics Hoses and Belting Manufacturing</v>
          </cell>
        </row>
        <row r="576">
          <cell r="B576">
            <v>32629</v>
          </cell>
          <cell r="C576" t="str">
            <v xml:space="preserve">Other Rubber Product ManufacturingT </v>
          </cell>
        </row>
        <row r="577">
          <cell r="B577">
            <v>326291</v>
          </cell>
          <cell r="C577" t="str">
            <v xml:space="preserve">Rubber Product Manufacturing for Mechanical Use </v>
          </cell>
        </row>
        <row r="578">
          <cell r="B578">
            <v>326299</v>
          </cell>
          <cell r="C578" t="str">
            <v xml:space="preserve">All Other Rubber Product Manufacturing </v>
          </cell>
        </row>
        <row r="579">
          <cell r="B579">
            <v>327</v>
          </cell>
          <cell r="C579" t="str">
            <v xml:space="preserve">Nonmetallic Mineral Product ManufacturingT </v>
          </cell>
        </row>
        <row r="580">
          <cell r="B580">
            <v>3271</v>
          </cell>
          <cell r="C580" t="str">
            <v xml:space="preserve">Clay Product and Refractory ManufacturingT </v>
          </cell>
        </row>
        <row r="581">
          <cell r="B581">
            <v>32711</v>
          </cell>
          <cell r="C581" t="str">
            <v xml:space="preserve">Pottery, Ceramics, and Plumbing Fixture ManufacturingT </v>
          </cell>
        </row>
        <row r="582">
          <cell r="B582">
            <v>327110</v>
          </cell>
          <cell r="C582" t="str">
            <v xml:space="preserve">Pottery, Ceramics, and Plumbing Fixture Manufacturing </v>
          </cell>
        </row>
        <row r="583">
          <cell r="B583">
            <v>32712</v>
          </cell>
          <cell r="C583" t="str">
            <v xml:space="preserve">Clay Building Material and Refractories ManufacturingT </v>
          </cell>
        </row>
        <row r="584">
          <cell r="B584">
            <v>327120</v>
          </cell>
          <cell r="C584" t="str">
            <v xml:space="preserve">Clay Building Material and Refractories Manufacturing </v>
          </cell>
        </row>
        <row r="585">
          <cell r="B585">
            <v>3272</v>
          </cell>
          <cell r="C585" t="str">
            <v xml:space="preserve">Glass and Glass Product ManufacturingT </v>
          </cell>
        </row>
        <row r="586">
          <cell r="B586">
            <v>32721</v>
          </cell>
          <cell r="C586" t="str">
            <v xml:space="preserve">Glass and Glass Product ManufacturingT </v>
          </cell>
        </row>
        <row r="587">
          <cell r="B587">
            <v>327211</v>
          </cell>
          <cell r="C587" t="str">
            <v xml:space="preserve">Flat Glass Manufacturing </v>
          </cell>
        </row>
        <row r="588">
          <cell r="B588">
            <v>327212</v>
          </cell>
          <cell r="C588" t="str">
            <v xml:space="preserve">Other Pressed and Blown Glass and Glassware Manufacturing </v>
          </cell>
        </row>
        <row r="589">
          <cell r="B589">
            <v>327213</v>
          </cell>
          <cell r="C589" t="str">
            <v xml:space="preserve">Glass Container Manufacturing </v>
          </cell>
        </row>
        <row r="590">
          <cell r="B590">
            <v>327215</v>
          </cell>
          <cell r="C590" t="str">
            <v xml:space="preserve">Glass Product Manufacturing Made of Purchased Glass </v>
          </cell>
        </row>
        <row r="591">
          <cell r="B591">
            <v>3273</v>
          </cell>
          <cell r="C591" t="str">
            <v xml:space="preserve">Cement and Concrete Product ManufacturingT </v>
          </cell>
        </row>
        <row r="592">
          <cell r="B592">
            <v>32731</v>
          </cell>
          <cell r="C592" t="str">
            <v xml:space="preserve">Cement ManufacturingT </v>
          </cell>
        </row>
        <row r="593">
          <cell r="B593">
            <v>327310</v>
          </cell>
          <cell r="C593" t="str">
            <v>Cement Manufacturing</v>
          </cell>
        </row>
        <row r="594">
          <cell r="B594">
            <v>32732</v>
          </cell>
          <cell r="C594" t="str">
            <v xml:space="preserve">Ready-Mix Concrete ManufacturingT </v>
          </cell>
        </row>
        <row r="595">
          <cell r="B595">
            <v>327320</v>
          </cell>
          <cell r="C595" t="str">
            <v>Ready-Mix Concrete Manufacturing</v>
          </cell>
        </row>
        <row r="596">
          <cell r="B596">
            <v>32733</v>
          </cell>
          <cell r="C596" t="str">
            <v xml:space="preserve">Concrete Pipe, Brick, and Block ManufacturingT </v>
          </cell>
        </row>
        <row r="597">
          <cell r="B597">
            <v>327331</v>
          </cell>
          <cell r="C597" t="str">
            <v xml:space="preserve">Concrete Block and Brick Manufacturing </v>
          </cell>
        </row>
        <row r="598">
          <cell r="B598">
            <v>327332</v>
          </cell>
          <cell r="C598" t="str">
            <v xml:space="preserve">Concrete Pipe Manufacturing </v>
          </cell>
        </row>
        <row r="599">
          <cell r="B599">
            <v>32739</v>
          </cell>
          <cell r="C599" t="str">
            <v xml:space="preserve">Other Concrete Product ManufacturingT </v>
          </cell>
        </row>
        <row r="600">
          <cell r="B600">
            <v>327390</v>
          </cell>
          <cell r="C600" t="str">
            <v xml:space="preserve">Other Concrete Product Manufacturing </v>
          </cell>
        </row>
        <row r="601">
          <cell r="B601">
            <v>3274</v>
          </cell>
          <cell r="C601" t="str">
            <v xml:space="preserve">Lime and Gypsum Product ManufacturingT </v>
          </cell>
        </row>
        <row r="602">
          <cell r="B602">
            <v>32741</v>
          </cell>
          <cell r="C602" t="str">
            <v xml:space="preserve">Lime ManufacturingT </v>
          </cell>
        </row>
        <row r="603">
          <cell r="B603">
            <v>327410</v>
          </cell>
          <cell r="C603" t="str">
            <v>Lime Manufacturing</v>
          </cell>
        </row>
        <row r="604">
          <cell r="B604">
            <v>32742</v>
          </cell>
          <cell r="C604" t="str">
            <v xml:space="preserve">Gypsum Product ManufacturingT </v>
          </cell>
        </row>
        <row r="605">
          <cell r="B605">
            <v>327420</v>
          </cell>
          <cell r="C605" t="str">
            <v>Gypsum Product Manufacturing</v>
          </cell>
        </row>
        <row r="606">
          <cell r="B606">
            <v>3279</v>
          </cell>
          <cell r="C606" t="str">
            <v xml:space="preserve">Other Nonmetallic Mineral Product ManufacturingT </v>
          </cell>
        </row>
        <row r="607">
          <cell r="B607">
            <v>32791</v>
          </cell>
          <cell r="C607" t="str">
            <v xml:space="preserve">Abrasive Product ManufacturingT </v>
          </cell>
        </row>
        <row r="608">
          <cell r="B608">
            <v>327910</v>
          </cell>
          <cell r="C608" t="str">
            <v>Abrasive Product Manufacturing</v>
          </cell>
        </row>
        <row r="609">
          <cell r="B609">
            <v>32799</v>
          </cell>
          <cell r="C609" t="str">
            <v xml:space="preserve">All Other Nonmetallic Mineral Product ManufacturingT </v>
          </cell>
        </row>
        <row r="610">
          <cell r="B610">
            <v>327991</v>
          </cell>
          <cell r="C610" t="str">
            <v xml:space="preserve">Cut Stone and Stone Product Manufacturing </v>
          </cell>
        </row>
        <row r="611">
          <cell r="B611">
            <v>327992</v>
          </cell>
          <cell r="C611" t="str">
            <v xml:space="preserve">Ground or Treated Mineral and Earth Manufacturing </v>
          </cell>
        </row>
        <row r="612">
          <cell r="B612">
            <v>327993</v>
          </cell>
          <cell r="C612" t="str">
            <v xml:space="preserve">Mineral Wool Manufacturing </v>
          </cell>
        </row>
        <row r="613">
          <cell r="B613">
            <v>327999</v>
          </cell>
          <cell r="C613" t="str">
            <v xml:space="preserve">All Other Miscellaneous Nonmetallic Mineral Product Manufacturing </v>
          </cell>
        </row>
        <row r="614">
          <cell r="B614">
            <v>331</v>
          </cell>
          <cell r="C614" t="str">
            <v xml:space="preserve">Primary Metal ManufacturingT </v>
          </cell>
        </row>
        <row r="615">
          <cell r="B615">
            <v>3311</v>
          </cell>
          <cell r="C615" t="str">
            <v xml:space="preserve">Iron and Steel Mills and Ferroalloy ManufacturingT </v>
          </cell>
        </row>
        <row r="616">
          <cell r="B616">
            <v>33111</v>
          </cell>
          <cell r="C616" t="str">
            <v xml:space="preserve">Iron and Steel Mills and Ferroalloy ManufacturingT </v>
          </cell>
        </row>
        <row r="617">
          <cell r="B617">
            <v>331110</v>
          </cell>
          <cell r="C617" t="str">
            <v xml:space="preserve">Iron and Steel Mills and Ferroalloy Manufacturing </v>
          </cell>
        </row>
        <row r="618">
          <cell r="B618">
            <v>3312</v>
          </cell>
          <cell r="C618" t="str">
            <v xml:space="preserve">Steel Product Manufacturing from Purchased SteelT </v>
          </cell>
        </row>
        <row r="619">
          <cell r="B619">
            <v>33121</v>
          </cell>
          <cell r="C619" t="str">
            <v xml:space="preserve">Iron and Steel Pipe and Tube Manufacturing from Purchased SteelT </v>
          </cell>
        </row>
        <row r="620">
          <cell r="B620">
            <v>331210</v>
          </cell>
          <cell r="C620" t="str">
            <v>Iron and Steel Pipe and Tube Manufacturing from Purchased Steel</v>
          </cell>
        </row>
        <row r="621">
          <cell r="B621">
            <v>33122</v>
          </cell>
          <cell r="C621" t="str">
            <v xml:space="preserve">Rolling and Drawing of Purchased SteelT </v>
          </cell>
        </row>
        <row r="622">
          <cell r="B622">
            <v>331221</v>
          </cell>
          <cell r="C622" t="str">
            <v xml:space="preserve">Rolled Steel Shape Manufacturing </v>
          </cell>
        </row>
        <row r="623">
          <cell r="B623">
            <v>331222</v>
          </cell>
          <cell r="C623" t="str">
            <v xml:space="preserve">Steel Wire Drawing </v>
          </cell>
        </row>
        <row r="624">
          <cell r="B624">
            <v>3313</v>
          </cell>
          <cell r="C624" t="str">
            <v xml:space="preserve">Alumina and Aluminum Production and ProcessingT </v>
          </cell>
        </row>
        <row r="625">
          <cell r="B625">
            <v>33131</v>
          </cell>
          <cell r="C625" t="str">
            <v xml:space="preserve">Alumina and Aluminum Production and ProcessingT </v>
          </cell>
        </row>
        <row r="626">
          <cell r="B626">
            <v>331313</v>
          </cell>
          <cell r="C626" t="str">
            <v xml:space="preserve">Alumina Refining and Primary Aluminum Production </v>
          </cell>
        </row>
        <row r="627">
          <cell r="B627">
            <v>331314</v>
          </cell>
          <cell r="C627" t="str">
            <v xml:space="preserve">Secondary Smelting and Alloying of Aluminum </v>
          </cell>
        </row>
        <row r="628">
          <cell r="B628">
            <v>331315</v>
          </cell>
          <cell r="C628" t="str">
            <v xml:space="preserve">Aluminum Sheet, Plate, and Foil Manufacturing </v>
          </cell>
        </row>
        <row r="629">
          <cell r="B629">
            <v>331318</v>
          </cell>
          <cell r="C629" t="str">
            <v xml:space="preserve">Other Aluminum Rolling, Drawing, and Extruding </v>
          </cell>
        </row>
        <row r="630">
          <cell r="B630">
            <v>3314</v>
          </cell>
          <cell r="C630" t="str">
            <v xml:space="preserve">Nonferrous Metal (except Aluminum) Production and ProcessingT </v>
          </cell>
        </row>
        <row r="631">
          <cell r="B631">
            <v>33141</v>
          </cell>
          <cell r="C631" t="str">
            <v xml:space="preserve">Nonferrous Metal (except Aluminum) Smelting and RefiningT </v>
          </cell>
        </row>
        <row r="632">
          <cell r="B632">
            <v>331410</v>
          </cell>
          <cell r="C632" t="str">
            <v xml:space="preserve">Nonferrous Metal (except Aluminum) Smelting and Refining </v>
          </cell>
        </row>
        <row r="633">
          <cell r="B633">
            <v>33142</v>
          </cell>
          <cell r="C633" t="str">
            <v xml:space="preserve">Copper Rolling, Drawing, Extruding, and AlloyingT </v>
          </cell>
        </row>
        <row r="634">
          <cell r="B634">
            <v>331420</v>
          </cell>
          <cell r="C634" t="str">
            <v>Copper Rolling, Drawing, Extruding, and Alloying</v>
          </cell>
        </row>
        <row r="635">
          <cell r="B635">
            <v>33149</v>
          </cell>
          <cell r="C635" t="str">
            <v xml:space="preserve">Nonferrous Metal (except Copper and Aluminum) Rolling, Drawing, Extruding, and AlloyingT </v>
          </cell>
        </row>
        <row r="636">
          <cell r="B636">
            <v>331491</v>
          </cell>
          <cell r="C636" t="str">
            <v xml:space="preserve">Nonferrous Metal (except Copper and Aluminum) Rolling, Drawing, and Extruding </v>
          </cell>
        </row>
        <row r="637">
          <cell r="B637">
            <v>331492</v>
          </cell>
          <cell r="C637" t="str">
            <v xml:space="preserve">Secondary Smelting, Refining, and Alloying of Nonferrous Metal (except Copper and Aluminum) </v>
          </cell>
        </row>
        <row r="638">
          <cell r="B638">
            <v>3315</v>
          </cell>
          <cell r="C638" t="str">
            <v xml:space="preserve">FoundriesT </v>
          </cell>
        </row>
        <row r="639">
          <cell r="B639">
            <v>33151</v>
          </cell>
          <cell r="C639" t="str">
            <v xml:space="preserve">Ferrous Metal FoundriesT </v>
          </cell>
        </row>
        <row r="640">
          <cell r="B640">
            <v>331511</v>
          </cell>
          <cell r="C640" t="str">
            <v xml:space="preserve">Iron Foundries </v>
          </cell>
        </row>
        <row r="641">
          <cell r="B641">
            <v>331512</v>
          </cell>
          <cell r="C641" t="str">
            <v xml:space="preserve">Steel Investment Foundries </v>
          </cell>
        </row>
        <row r="642">
          <cell r="B642">
            <v>331513</v>
          </cell>
          <cell r="C642" t="str">
            <v xml:space="preserve">Steel Foundries (except Investment) </v>
          </cell>
        </row>
        <row r="643">
          <cell r="B643">
            <v>33152</v>
          </cell>
          <cell r="C643" t="str">
            <v xml:space="preserve">Nonferrous Metal FoundriesT </v>
          </cell>
        </row>
        <row r="644">
          <cell r="B644">
            <v>331523</v>
          </cell>
          <cell r="C644" t="str">
            <v xml:space="preserve">Nonferrous Metal Die-Casting Foundries </v>
          </cell>
        </row>
        <row r="645">
          <cell r="B645">
            <v>331524</v>
          </cell>
          <cell r="C645" t="str">
            <v xml:space="preserve">Aluminum Foundries (except Die-Casting) </v>
          </cell>
        </row>
        <row r="646">
          <cell r="B646">
            <v>331529</v>
          </cell>
          <cell r="C646" t="str">
            <v xml:space="preserve">Other Nonferrous Metal Foundries (except Die-Casting) </v>
          </cell>
        </row>
        <row r="647">
          <cell r="B647">
            <v>332</v>
          </cell>
          <cell r="C647" t="str">
            <v xml:space="preserve">Fabricated Metal Product ManufacturingT </v>
          </cell>
        </row>
        <row r="648">
          <cell r="B648">
            <v>3321</v>
          </cell>
          <cell r="C648" t="str">
            <v xml:space="preserve">Forging and StampingT </v>
          </cell>
        </row>
        <row r="649">
          <cell r="B649">
            <v>33211</v>
          </cell>
          <cell r="C649" t="str">
            <v xml:space="preserve">Forging and StampingT </v>
          </cell>
        </row>
        <row r="650">
          <cell r="B650">
            <v>332111</v>
          </cell>
          <cell r="C650" t="str">
            <v xml:space="preserve">Iron and Steel Forging </v>
          </cell>
        </row>
        <row r="651">
          <cell r="B651">
            <v>332112</v>
          </cell>
          <cell r="C651" t="str">
            <v xml:space="preserve">Nonferrous Forging </v>
          </cell>
        </row>
        <row r="652">
          <cell r="B652">
            <v>332114</v>
          </cell>
          <cell r="C652" t="str">
            <v xml:space="preserve">Custom Roll Forming </v>
          </cell>
        </row>
        <row r="653">
          <cell r="B653">
            <v>332117</v>
          </cell>
          <cell r="C653" t="str">
            <v xml:space="preserve">Powder Metallurgy Part Manufacturing </v>
          </cell>
        </row>
        <row r="654">
          <cell r="B654">
            <v>332119</v>
          </cell>
          <cell r="C654" t="str">
            <v xml:space="preserve">Metal Crown, Closure, and Other Metal Stamping (except Automotive) </v>
          </cell>
        </row>
        <row r="655">
          <cell r="B655">
            <v>3322</v>
          </cell>
          <cell r="C655" t="str">
            <v xml:space="preserve">Cutlery and Handtool ManufacturingT </v>
          </cell>
        </row>
        <row r="656">
          <cell r="B656">
            <v>33221</v>
          </cell>
          <cell r="C656" t="str">
            <v xml:space="preserve">Cutlery and Handtool ManufacturingT </v>
          </cell>
        </row>
        <row r="657">
          <cell r="B657">
            <v>332215</v>
          </cell>
          <cell r="C657" t="str">
            <v xml:space="preserve">Metal Kitchen Cookware, Utensil, Cutlery, and Flatware (except Precious) Manufacturing </v>
          </cell>
        </row>
        <row r="658">
          <cell r="B658">
            <v>332216</v>
          </cell>
          <cell r="C658" t="str">
            <v xml:space="preserve">Saw Blade and Handtool Manufacturing </v>
          </cell>
        </row>
        <row r="659">
          <cell r="B659">
            <v>3323</v>
          </cell>
          <cell r="C659" t="str">
            <v xml:space="preserve">Architectural and Structural Metals ManufacturingT </v>
          </cell>
        </row>
        <row r="660">
          <cell r="B660">
            <v>33231</v>
          </cell>
          <cell r="C660" t="str">
            <v xml:space="preserve">Plate Work and Fabricated Structural Product ManufacturingT </v>
          </cell>
        </row>
        <row r="661">
          <cell r="B661">
            <v>332311</v>
          </cell>
          <cell r="C661" t="str">
            <v xml:space="preserve">Prefabricated Metal Building and Component Manufacturing </v>
          </cell>
        </row>
        <row r="662">
          <cell r="B662">
            <v>332312</v>
          </cell>
          <cell r="C662" t="str">
            <v xml:space="preserve">Fabricated Structural Metal Manufacturing </v>
          </cell>
        </row>
        <row r="663">
          <cell r="B663">
            <v>332313</v>
          </cell>
          <cell r="C663" t="str">
            <v xml:space="preserve">Plate Work Manufacturing </v>
          </cell>
        </row>
        <row r="664">
          <cell r="B664">
            <v>33232</v>
          </cell>
          <cell r="C664" t="str">
            <v xml:space="preserve">Ornamental and Architectural Metal Products ManufacturingT </v>
          </cell>
        </row>
        <row r="665">
          <cell r="B665">
            <v>332321</v>
          </cell>
          <cell r="C665" t="str">
            <v xml:space="preserve">Metal Window and Door Manufacturing </v>
          </cell>
        </row>
        <row r="666">
          <cell r="B666">
            <v>332322</v>
          </cell>
          <cell r="C666" t="str">
            <v xml:space="preserve">Sheet Metal Work Manufacturing </v>
          </cell>
        </row>
        <row r="667">
          <cell r="B667">
            <v>332323</v>
          </cell>
          <cell r="C667" t="str">
            <v xml:space="preserve">Ornamental and Architectural Metal Work Manufacturing </v>
          </cell>
        </row>
        <row r="668">
          <cell r="B668">
            <v>3324</v>
          </cell>
          <cell r="C668" t="str">
            <v xml:space="preserve">Boiler, Tank, and Shipping Container ManufacturingT </v>
          </cell>
        </row>
        <row r="669">
          <cell r="B669">
            <v>33241</v>
          </cell>
          <cell r="C669" t="str">
            <v xml:space="preserve">Power Boiler and Heat Exchanger ManufacturingT </v>
          </cell>
        </row>
        <row r="670">
          <cell r="B670">
            <v>332410</v>
          </cell>
          <cell r="C670" t="str">
            <v>Power Boiler and Heat Exchanger Manufacturing</v>
          </cell>
        </row>
        <row r="671">
          <cell r="B671">
            <v>33242</v>
          </cell>
          <cell r="C671" t="str">
            <v xml:space="preserve">Metal Tank (Heavy Gauge) ManufacturingT </v>
          </cell>
        </row>
        <row r="672">
          <cell r="B672">
            <v>332420</v>
          </cell>
          <cell r="C672" t="str">
            <v>Metal Tank (Heavy Gauge) Manufacturing</v>
          </cell>
        </row>
        <row r="673">
          <cell r="B673">
            <v>33243</v>
          </cell>
          <cell r="C673" t="str">
            <v xml:space="preserve">Metal Can, Box, and Other Metal Container (Light Gauge) ManufacturingT </v>
          </cell>
        </row>
        <row r="674">
          <cell r="B674">
            <v>332431</v>
          </cell>
          <cell r="C674" t="str">
            <v xml:space="preserve">Metal Can Manufacturing </v>
          </cell>
        </row>
        <row r="675">
          <cell r="B675">
            <v>332439</v>
          </cell>
          <cell r="C675" t="str">
            <v xml:space="preserve">Other Metal Container Manufacturing </v>
          </cell>
        </row>
        <row r="676">
          <cell r="B676">
            <v>3325</v>
          </cell>
          <cell r="C676" t="str">
            <v xml:space="preserve">Hardware ManufacturingT </v>
          </cell>
        </row>
        <row r="677">
          <cell r="B677">
            <v>33251</v>
          </cell>
          <cell r="C677" t="str">
            <v xml:space="preserve">Hardware ManufacturingT </v>
          </cell>
        </row>
        <row r="678">
          <cell r="B678">
            <v>332510</v>
          </cell>
          <cell r="C678" t="str">
            <v>Hardware Manufacturing</v>
          </cell>
        </row>
        <row r="679">
          <cell r="B679">
            <v>3326</v>
          </cell>
          <cell r="C679" t="str">
            <v xml:space="preserve">Spring and Wire Product ManufacturingT </v>
          </cell>
        </row>
        <row r="680">
          <cell r="B680">
            <v>33261</v>
          </cell>
          <cell r="C680" t="str">
            <v xml:space="preserve">Spring and Wire Product ManufacturingT </v>
          </cell>
        </row>
        <row r="681">
          <cell r="B681">
            <v>332613</v>
          </cell>
          <cell r="C681" t="str">
            <v xml:space="preserve">Spring Manufacturing </v>
          </cell>
        </row>
        <row r="682">
          <cell r="B682">
            <v>332618</v>
          </cell>
          <cell r="C682" t="str">
            <v xml:space="preserve">Other Fabricated Wire Product Manufacturing </v>
          </cell>
        </row>
        <row r="683">
          <cell r="B683">
            <v>3327</v>
          </cell>
          <cell r="C683" t="str">
            <v xml:space="preserve">Machine Shops; Turned Product; and Screw, Nut, and Bolt ManufacturingT </v>
          </cell>
        </row>
        <row r="684">
          <cell r="B684">
            <v>33271</v>
          </cell>
          <cell r="C684" t="str">
            <v xml:space="preserve">Machine ShopsT </v>
          </cell>
        </row>
        <row r="685">
          <cell r="B685">
            <v>332710</v>
          </cell>
          <cell r="C685" t="str">
            <v>Machine Shops</v>
          </cell>
        </row>
        <row r="686">
          <cell r="B686">
            <v>33272</v>
          </cell>
          <cell r="C686" t="str">
            <v xml:space="preserve">Turned Product and Screw, Nut, and Bolt ManufacturingT </v>
          </cell>
        </row>
        <row r="687">
          <cell r="B687">
            <v>332721</v>
          </cell>
          <cell r="C687" t="str">
            <v xml:space="preserve">Precision Turned Product Manufacturing </v>
          </cell>
        </row>
        <row r="688">
          <cell r="B688">
            <v>332722</v>
          </cell>
          <cell r="C688" t="str">
            <v xml:space="preserve">Bolt, Nut, Screw, Rivet, and Washer Manufacturing </v>
          </cell>
        </row>
        <row r="689">
          <cell r="B689">
            <v>3328</v>
          </cell>
          <cell r="C689" t="str">
            <v xml:space="preserve">Coating, Engraving, Heat Treating, and Allied ActivitiesT </v>
          </cell>
        </row>
        <row r="690">
          <cell r="B690">
            <v>33281</v>
          </cell>
          <cell r="C690" t="str">
            <v xml:space="preserve">Coating, Engraving, Heat Treating, and Allied ActivitiesT </v>
          </cell>
        </row>
        <row r="691">
          <cell r="B691">
            <v>332811</v>
          </cell>
          <cell r="C691" t="str">
            <v xml:space="preserve">Metal Heat Treating </v>
          </cell>
        </row>
        <row r="692">
          <cell r="B692">
            <v>332812</v>
          </cell>
          <cell r="C692" t="str">
            <v xml:space="preserve">Metal Coating, Engraving (except Jewelry and Silverware), and Allied Services to Manufacturers </v>
          </cell>
        </row>
        <row r="693">
          <cell r="B693">
            <v>332813</v>
          </cell>
          <cell r="C693" t="str">
            <v xml:space="preserve">Electroplating, Plating, Polishing, Anodizing, and Coloring </v>
          </cell>
        </row>
        <row r="694">
          <cell r="B694">
            <v>3329</v>
          </cell>
          <cell r="C694" t="str">
            <v xml:space="preserve">Other Fabricated Metal Product ManufacturingT </v>
          </cell>
        </row>
        <row r="695">
          <cell r="B695">
            <v>33291</v>
          </cell>
          <cell r="C695" t="str">
            <v xml:space="preserve">Metal Valve ManufacturingT </v>
          </cell>
        </row>
        <row r="696">
          <cell r="B696">
            <v>332911</v>
          </cell>
          <cell r="C696" t="str">
            <v xml:space="preserve">Industrial Valve Manufacturing </v>
          </cell>
        </row>
        <row r="697">
          <cell r="B697">
            <v>332912</v>
          </cell>
          <cell r="C697" t="str">
            <v xml:space="preserve">Fluid Power Valve and Hose Fitting Manufacturing </v>
          </cell>
        </row>
        <row r="698">
          <cell r="B698">
            <v>332913</v>
          </cell>
          <cell r="C698" t="str">
            <v xml:space="preserve">Plumbing Fixture Fitting and Trim Manufacturing </v>
          </cell>
        </row>
        <row r="699">
          <cell r="B699">
            <v>332919</v>
          </cell>
          <cell r="C699" t="str">
            <v xml:space="preserve">Other Metal Valve and Pipe Fitting Manufacturing </v>
          </cell>
        </row>
        <row r="700">
          <cell r="B700">
            <v>33299</v>
          </cell>
          <cell r="C700" t="str">
            <v xml:space="preserve">All Other Fabricated Metal Product ManufacturingT </v>
          </cell>
        </row>
        <row r="701">
          <cell r="B701">
            <v>332991</v>
          </cell>
          <cell r="C701" t="str">
            <v>Ball and Roller Bearing Manufacturing</v>
          </cell>
        </row>
        <row r="702">
          <cell r="B702">
            <v>332992</v>
          </cell>
          <cell r="C702" t="str">
            <v xml:space="preserve">Small Arms Ammunition Manufacturing </v>
          </cell>
        </row>
        <row r="703">
          <cell r="B703">
            <v>332993</v>
          </cell>
          <cell r="C703" t="str">
            <v xml:space="preserve">Ammunition (except Small Arms) Manufacturing </v>
          </cell>
        </row>
        <row r="704">
          <cell r="B704">
            <v>332994</v>
          </cell>
          <cell r="C704" t="str">
            <v xml:space="preserve">Small Arms, Ordnance, and Ordnance Accessories Manufacturing </v>
          </cell>
        </row>
        <row r="705">
          <cell r="B705">
            <v>332996</v>
          </cell>
          <cell r="C705" t="str">
            <v xml:space="preserve">Fabricated Pipe and Pipe Fitting Manufacturing </v>
          </cell>
        </row>
        <row r="706">
          <cell r="B706">
            <v>332999</v>
          </cell>
          <cell r="C706" t="str">
            <v xml:space="preserve">All Other Miscellaneous Fabricated Metal Product Manufacturing </v>
          </cell>
        </row>
        <row r="707">
          <cell r="B707">
            <v>333</v>
          </cell>
          <cell r="C707" t="str">
            <v xml:space="preserve">Machinery ManufacturingT </v>
          </cell>
        </row>
        <row r="708">
          <cell r="B708">
            <v>3331</v>
          </cell>
          <cell r="C708" t="str">
            <v xml:space="preserve">Agriculture, Construction, and Mining Machinery ManufacturingT </v>
          </cell>
        </row>
        <row r="709">
          <cell r="B709">
            <v>33311</v>
          </cell>
          <cell r="C709" t="str">
            <v xml:space="preserve">Agricultural Implement ManufacturingT </v>
          </cell>
        </row>
        <row r="710">
          <cell r="B710">
            <v>333111</v>
          </cell>
          <cell r="C710" t="str">
            <v xml:space="preserve">Farm Machinery and Equipment Manufacturing </v>
          </cell>
        </row>
        <row r="711">
          <cell r="B711">
            <v>333112</v>
          </cell>
          <cell r="C711" t="str">
            <v xml:space="preserve">Lawn and Garden Tractor and Home Lawn and Garden Equipment Manufacturing </v>
          </cell>
        </row>
        <row r="712">
          <cell r="B712">
            <v>33312</v>
          </cell>
          <cell r="C712" t="str">
            <v xml:space="preserve">Construction Machinery ManufacturingT </v>
          </cell>
        </row>
        <row r="713">
          <cell r="B713">
            <v>333120</v>
          </cell>
          <cell r="C713" t="str">
            <v>Construction Machinery Manufacturing</v>
          </cell>
        </row>
        <row r="714">
          <cell r="B714">
            <v>33313</v>
          </cell>
          <cell r="C714" t="str">
            <v xml:space="preserve">Mining and Oil and Gas Field Machinery ManufacturingT </v>
          </cell>
        </row>
        <row r="715">
          <cell r="B715">
            <v>333131</v>
          </cell>
          <cell r="C715" t="str">
            <v xml:space="preserve">Mining Machinery and Equipment Manufacturing </v>
          </cell>
        </row>
        <row r="716">
          <cell r="B716">
            <v>333132</v>
          </cell>
          <cell r="C716" t="str">
            <v xml:space="preserve">Oil and Gas Field Machinery and Equipment Manufacturing </v>
          </cell>
        </row>
        <row r="717">
          <cell r="B717">
            <v>3332</v>
          </cell>
          <cell r="C717" t="str">
            <v xml:space="preserve">Industrial Machinery ManufacturingT </v>
          </cell>
        </row>
        <row r="718">
          <cell r="B718">
            <v>33324</v>
          </cell>
          <cell r="C718" t="str">
            <v xml:space="preserve">Industrial Machinery ManufacturingT </v>
          </cell>
        </row>
        <row r="719">
          <cell r="B719">
            <v>333241</v>
          </cell>
          <cell r="C719" t="str">
            <v xml:space="preserve">Food Product Machinery Manufacturing </v>
          </cell>
        </row>
        <row r="720">
          <cell r="B720">
            <v>333242</v>
          </cell>
          <cell r="C720" t="str">
            <v xml:space="preserve">Semiconductor Machinery Manufacturing </v>
          </cell>
        </row>
        <row r="721">
          <cell r="B721">
            <v>333243</v>
          </cell>
          <cell r="C721" t="str">
            <v xml:space="preserve">Sawmill, Woodworking, and Paper Machinery Manufacturing </v>
          </cell>
        </row>
        <row r="722">
          <cell r="B722">
            <v>333244</v>
          </cell>
          <cell r="C722" t="str">
            <v xml:space="preserve">Printing Machinery and Equipment Manufacturing </v>
          </cell>
        </row>
        <row r="723">
          <cell r="B723">
            <v>333249</v>
          </cell>
          <cell r="C723" t="str">
            <v xml:space="preserve">Other Industrial Machinery Manufacturing </v>
          </cell>
        </row>
        <row r="724">
          <cell r="B724">
            <v>3333</v>
          </cell>
          <cell r="C724" t="str">
            <v xml:space="preserve">Commercial and Service Industry Machinery ManufacturingT </v>
          </cell>
        </row>
        <row r="725">
          <cell r="B725">
            <v>33331</v>
          </cell>
          <cell r="C725" t="str">
            <v xml:space="preserve">Commercial and Service Industry Machinery ManufacturingT </v>
          </cell>
        </row>
        <row r="726">
          <cell r="B726">
            <v>333314</v>
          </cell>
          <cell r="C726" t="str">
            <v xml:space="preserve">Optical Instrument and Lens Manufacturing </v>
          </cell>
        </row>
        <row r="727">
          <cell r="B727">
            <v>333316</v>
          </cell>
          <cell r="C727" t="str">
            <v xml:space="preserve">Photographic and Photocopying Equipment Manufacturing </v>
          </cell>
        </row>
        <row r="728">
          <cell r="B728">
            <v>333318</v>
          </cell>
          <cell r="C728" t="str">
            <v xml:space="preserve">Other Commercial and Service Industry Machinery Manufacturing </v>
          </cell>
        </row>
        <row r="729">
          <cell r="B729">
            <v>3334</v>
          </cell>
          <cell r="C729" t="str">
            <v xml:space="preserve">Ventilation, Heating, Air-Conditioning, and Commercial Refrigeration Equipment ManufacturingT </v>
          </cell>
        </row>
        <row r="730">
          <cell r="B730">
            <v>33341</v>
          </cell>
          <cell r="C730" t="str">
            <v xml:space="preserve">Ventilation, Heating, Air-Conditioning, and Commercial Refrigeration Equipment ManufacturingT </v>
          </cell>
        </row>
        <row r="731">
          <cell r="B731">
            <v>333413</v>
          </cell>
          <cell r="C731" t="str">
            <v xml:space="preserve">Industrial and Commercial Fan and Blower and Air Purification Equipment Manufacturing </v>
          </cell>
        </row>
        <row r="732">
          <cell r="B732">
            <v>333414</v>
          </cell>
          <cell r="C732" t="str">
            <v xml:space="preserve">Heating Equipment (except Warm Air Furnaces) Manufacturing </v>
          </cell>
        </row>
        <row r="733">
          <cell r="B733">
            <v>333415</v>
          </cell>
          <cell r="C733" t="str">
            <v xml:space="preserve">Air-Conditioning and Warm Air Heating Equipment and Commercial and Industrial Refrigeration Equipment Manufacturing </v>
          </cell>
        </row>
        <row r="734">
          <cell r="B734">
            <v>3335</v>
          </cell>
          <cell r="C734" t="str">
            <v xml:space="preserve">Metalworking Machinery ManufacturingT </v>
          </cell>
        </row>
        <row r="735">
          <cell r="B735">
            <v>33351</v>
          </cell>
          <cell r="C735" t="str">
            <v xml:space="preserve">Metalworking Machinery ManufacturingT </v>
          </cell>
        </row>
        <row r="736">
          <cell r="B736">
            <v>333511</v>
          </cell>
          <cell r="C736" t="str">
            <v xml:space="preserve">Industrial Mold Manufacturing </v>
          </cell>
        </row>
        <row r="737">
          <cell r="B737">
            <v>333514</v>
          </cell>
          <cell r="C737" t="str">
            <v xml:space="preserve">Special Die and Tool, Die Set, Jig, and Fixture Manufacturing </v>
          </cell>
        </row>
        <row r="738">
          <cell r="B738">
            <v>333515</v>
          </cell>
          <cell r="C738" t="str">
            <v xml:space="preserve">Cutting Tool and Machine Tool Accessory Manufacturing </v>
          </cell>
        </row>
        <row r="739">
          <cell r="B739">
            <v>333517</v>
          </cell>
          <cell r="C739" t="str">
            <v xml:space="preserve">Machine Tool Manufacturing </v>
          </cell>
        </row>
        <row r="740">
          <cell r="B740">
            <v>333519</v>
          </cell>
          <cell r="C740" t="str">
            <v xml:space="preserve">Rolling Mill and Other Metalworking Machinery Manufacturing </v>
          </cell>
        </row>
        <row r="741">
          <cell r="B741">
            <v>3336</v>
          </cell>
          <cell r="C741" t="str">
            <v xml:space="preserve">Engine, Turbine, and Power Transmission Equipment ManufacturingT </v>
          </cell>
        </row>
        <row r="742">
          <cell r="B742">
            <v>33361</v>
          </cell>
          <cell r="C742" t="str">
            <v xml:space="preserve">Engine, Turbine, and Power Transmission Equipment ManufacturingT </v>
          </cell>
        </row>
        <row r="743">
          <cell r="B743">
            <v>333611</v>
          </cell>
          <cell r="C743" t="str">
            <v xml:space="preserve">Turbine and Turbine Generator Set Units Manufacturing </v>
          </cell>
        </row>
        <row r="744">
          <cell r="B744">
            <v>333612</v>
          </cell>
          <cell r="C744" t="str">
            <v xml:space="preserve">Speed Changer, Industrial High-Speed Drive, and Gear Manufacturing </v>
          </cell>
        </row>
        <row r="745">
          <cell r="B745">
            <v>333613</v>
          </cell>
          <cell r="C745" t="str">
            <v xml:space="preserve">Mechanical Power Transmission Equipment Manufacturing </v>
          </cell>
        </row>
        <row r="746">
          <cell r="B746">
            <v>333618</v>
          </cell>
          <cell r="C746" t="str">
            <v xml:space="preserve">Other Engine Equipment Manufacturing </v>
          </cell>
        </row>
        <row r="747">
          <cell r="B747">
            <v>3339</v>
          </cell>
          <cell r="C747" t="str">
            <v xml:space="preserve">Other General Purpose Machinery ManufacturingT </v>
          </cell>
        </row>
        <row r="748">
          <cell r="B748">
            <v>33391</v>
          </cell>
          <cell r="C748" t="str">
            <v xml:space="preserve">Pump and Compressor ManufacturingT </v>
          </cell>
        </row>
        <row r="749">
          <cell r="B749">
            <v>333911</v>
          </cell>
          <cell r="C749" t="str">
            <v xml:space="preserve">Pump and Pumping Equipment Manufacturing </v>
          </cell>
        </row>
        <row r="750">
          <cell r="B750">
            <v>333912</v>
          </cell>
          <cell r="C750" t="str">
            <v xml:space="preserve">Air and Gas Compressor Manufacturing </v>
          </cell>
        </row>
        <row r="751">
          <cell r="B751">
            <v>333913</v>
          </cell>
          <cell r="C751" t="str">
            <v xml:space="preserve">Measuring and Dispensing Pump Manufacturing </v>
          </cell>
        </row>
        <row r="752">
          <cell r="B752">
            <v>33392</v>
          </cell>
          <cell r="C752" t="str">
            <v xml:space="preserve">Material Handling Equipment ManufacturingT </v>
          </cell>
        </row>
        <row r="753">
          <cell r="B753">
            <v>333921</v>
          </cell>
          <cell r="C753" t="str">
            <v xml:space="preserve">Elevator and Moving Stairway Manufacturing </v>
          </cell>
        </row>
        <row r="754">
          <cell r="B754">
            <v>333922</v>
          </cell>
          <cell r="C754" t="str">
            <v xml:space="preserve">Conveyor and Conveying Equipment Manufacturing </v>
          </cell>
        </row>
        <row r="755">
          <cell r="B755">
            <v>333923</v>
          </cell>
          <cell r="C755" t="str">
            <v xml:space="preserve">Overhead Traveling Crane, Hoist, and Monorail System Manufacturing </v>
          </cell>
        </row>
        <row r="756">
          <cell r="B756">
            <v>333924</v>
          </cell>
          <cell r="C756" t="str">
            <v xml:space="preserve">Industrial Truck, Tractor, Trailer, and Stacker Machinery Manufacturing </v>
          </cell>
        </row>
        <row r="757">
          <cell r="B757">
            <v>33399</v>
          </cell>
          <cell r="C757" t="str">
            <v xml:space="preserve">All Other General Purpose Machinery ManufacturingT </v>
          </cell>
        </row>
        <row r="758">
          <cell r="B758">
            <v>333991</v>
          </cell>
          <cell r="C758" t="str">
            <v xml:space="preserve">Power-Driven Handtool Manufacturing </v>
          </cell>
        </row>
        <row r="759">
          <cell r="B759">
            <v>333992</v>
          </cell>
          <cell r="C759" t="str">
            <v xml:space="preserve">Welding and Soldering Equipment Manufacturing </v>
          </cell>
        </row>
        <row r="760">
          <cell r="B760">
            <v>333993</v>
          </cell>
          <cell r="C760" t="str">
            <v xml:space="preserve">Packaging Machinery Manufacturing </v>
          </cell>
        </row>
        <row r="761">
          <cell r="B761">
            <v>333994</v>
          </cell>
          <cell r="C761" t="str">
            <v xml:space="preserve">Industrial Process Furnace and Oven Manufacturing </v>
          </cell>
        </row>
        <row r="762">
          <cell r="B762">
            <v>333995</v>
          </cell>
          <cell r="C762" t="str">
            <v xml:space="preserve">Fluid Power Cylinder and Actuator Manufacturing </v>
          </cell>
        </row>
        <row r="763">
          <cell r="B763">
            <v>333996</v>
          </cell>
          <cell r="C763" t="str">
            <v xml:space="preserve">Fluid Power Pump and Motor Manufacturing </v>
          </cell>
        </row>
        <row r="764">
          <cell r="B764">
            <v>333997</v>
          </cell>
          <cell r="C764" t="str">
            <v xml:space="preserve">Scale and Balance Manufacturing </v>
          </cell>
        </row>
        <row r="765">
          <cell r="B765">
            <v>333999</v>
          </cell>
          <cell r="C765" t="str">
            <v xml:space="preserve">All Other Miscellaneous General Purpose Machinery Manufacturing </v>
          </cell>
        </row>
        <row r="766">
          <cell r="B766">
            <v>334</v>
          </cell>
          <cell r="C766" t="str">
            <v xml:space="preserve">Computer and Electronic Product ManufacturingT </v>
          </cell>
        </row>
        <row r="767">
          <cell r="B767">
            <v>3341</v>
          </cell>
          <cell r="C767" t="str">
            <v xml:space="preserve">Computer and Peripheral Equipment ManufacturingT </v>
          </cell>
        </row>
        <row r="768">
          <cell r="B768">
            <v>33411</v>
          </cell>
          <cell r="C768" t="str">
            <v xml:space="preserve">Computer and Peripheral Equipment ManufacturingT </v>
          </cell>
        </row>
        <row r="769">
          <cell r="B769">
            <v>334111</v>
          </cell>
          <cell r="C769" t="str">
            <v xml:space="preserve">Electronic Computer Manufacturing </v>
          </cell>
        </row>
        <row r="770">
          <cell r="B770">
            <v>334112</v>
          </cell>
          <cell r="C770" t="str">
            <v xml:space="preserve">Computer Storage Device Manufacturing </v>
          </cell>
        </row>
        <row r="771">
          <cell r="B771">
            <v>334118</v>
          </cell>
          <cell r="C771" t="str">
            <v xml:space="preserve">Computer Terminal and Other Computer Peripheral Equipment Manufacturing </v>
          </cell>
        </row>
        <row r="772">
          <cell r="B772">
            <v>3342</v>
          </cell>
          <cell r="C772" t="str">
            <v xml:space="preserve">Communications Equipment ManufacturingT </v>
          </cell>
        </row>
        <row r="773">
          <cell r="B773">
            <v>33421</v>
          </cell>
          <cell r="C773" t="str">
            <v xml:space="preserve">Telephone Apparatus ManufacturingT </v>
          </cell>
        </row>
        <row r="774">
          <cell r="B774">
            <v>334210</v>
          </cell>
          <cell r="C774" t="str">
            <v>Telephone Apparatus Manufacturing</v>
          </cell>
        </row>
        <row r="775">
          <cell r="B775">
            <v>33422</v>
          </cell>
          <cell r="C775" t="str">
            <v xml:space="preserve">Radio and Television Broadcasting and Wireless Communications Equipment ManufacturingT </v>
          </cell>
        </row>
        <row r="776">
          <cell r="B776">
            <v>334220</v>
          </cell>
          <cell r="C776" t="str">
            <v>Radio and Television Broadcasting and Wireless Communications Equipment Manufacturing</v>
          </cell>
        </row>
        <row r="777">
          <cell r="B777">
            <v>33429</v>
          </cell>
          <cell r="C777" t="str">
            <v xml:space="preserve">Other Communications Equipment ManufacturingT </v>
          </cell>
        </row>
        <row r="778">
          <cell r="B778">
            <v>334290</v>
          </cell>
          <cell r="C778" t="str">
            <v>Other Communications Equipment Manufacturing</v>
          </cell>
        </row>
        <row r="779">
          <cell r="B779">
            <v>3343</v>
          </cell>
          <cell r="C779" t="str">
            <v xml:space="preserve">Audio and Video Equipment ManufacturingT </v>
          </cell>
        </row>
        <row r="780">
          <cell r="B780">
            <v>33431</v>
          </cell>
          <cell r="C780" t="str">
            <v xml:space="preserve">Audio and Video Equipment ManufacturingT </v>
          </cell>
        </row>
        <row r="781">
          <cell r="B781">
            <v>334310</v>
          </cell>
          <cell r="C781" t="str">
            <v>Audio and Video Equipment Manufacturing</v>
          </cell>
        </row>
        <row r="782">
          <cell r="B782">
            <v>3344</v>
          </cell>
          <cell r="C782" t="str">
            <v xml:space="preserve">Semiconductor and Other Electronic Component ManufacturingT </v>
          </cell>
        </row>
        <row r="783">
          <cell r="B783">
            <v>33441</v>
          </cell>
          <cell r="C783" t="str">
            <v xml:space="preserve">Semiconductor and Other Electronic Component ManufacturingT </v>
          </cell>
        </row>
        <row r="784">
          <cell r="B784">
            <v>334412</v>
          </cell>
          <cell r="C784" t="str">
            <v xml:space="preserve">Bare Printed Circuit Board Manufacturing  </v>
          </cell>
        </row>
        <row r="785">
          <cell r="B785">
            <v>334413</v>
          </cell>
          <cell r="C785" t="str">
            <v xml:space="preserve">Semiconductor and Related Device Manufacturing </v>
          </cell>
        </row>
        <row r="786">
          <cell r="B786">
            <v>334416</v>
          </cell>
          <cell r="C786" t="str">
            <v xml:space="preserve">Capacitor, Resistor, Coil, Transformer, and Other Inductor Manufacturing </v>
          </cell>
        </row>
        <row r="787">
          <cell r="B787">
            <v>334417</v>
          </cell>
          <cell r="C787" t="str">
            <v xml:space="preserve">Electronic Connector Manufacturing </v>
          </cell>
        </row>
        <row r="788">
          <cell r="B788">
            <v>334418</v>
          </cell>
          <cell r="C788" t="str">
            <v xml:space="preserve">Printed Circuit Assembly (Electronic Assembly) Manufacturing </v>
          </cell>
        </row>
        <row r="789">
          <cell r="B789">
            <v>334419</v>
          </cell>
          <cell r="C789" t="str">
            <v xml:space="preserve">Other Electronic Component Manufacturing </v>
          </cell>
        </row>
        <row r="790">
          <cell r="B790">
            <v>3345</v>
          </cell>
          <cell r="C790" t="str">
            <v xml:space="preserve">Navigational, Measuring, Electromedical, and Control Instruments ManufacturingT </v>
          </cell>
        </row>
        <row r="791">
          <cell r="B791">
            <v>33451</v>
          </cell>
          <cell r="C791" t="str">
            <v xml:space="preserve">Navigational, Measuring, Electromedical, and Control Instruments ManufacturingT </v>
          </cell>
        </row>
        <row r="792">
          <cell r="B792">
            <v>334510</v>
          </cell>
          <cell r="C792" t="str">
            <v xml:space="preserve">Electromedical and Electrotherapeutic Apparatus Manufacturing </v>
          </cell>
        </row>
        <row r="793">
          <cell r="B793">
            <v>334511</v>
          </cell>
          <cell r="C793" t="str">
            <v xml:space="preserve">Search, Detection, Navigation, Guidance, Aeronautical, and Nautical System and Instrument Manufacturing </v>
          </cell>
        </row>
        <row r="794">
          <cell r="B794">
            <v>334512</v>
          </cell>
          <cell r="C794" t="str">
            <v xml:space="preserve">Automatic Environmental Control Manufacturing for Residential, Commercial, and Appliance Use </v>
          </cell>
        </row>
        <row r="795">
          <cell r="B795">
            <v>334513</v>
          </cell>
          <cell r="C795" t="str">
            <v xml:space="preserve">Instruments and Related Products Manufacturing for Measuring, Displaying, and Controlling Industrial Process Variables </v>
          </cell>
        </row>
        <row r="796">
          <cell r="B796">
            <v>334514</v>
          </cell>
          <cell r="C796" t="str">
            <v xml:space="preserve">Totalizing Fluid Meter and Counting Device Manufacturing </v>
          </cell>
        </row>
        <row r="797">
          <cell r="B797">
            <v>334515</v>
          </cell>
          <cell r="C797" t="str">
            <v xml:space="preserve">Instrument Manufacturing for Measuring and Testing Electricity and Electrical Signals </v>
          </cell>
        </row>
        <row r="798">
          <cell r="B798">
            <v>334516</v>
          </cell>
          <cell r="C798" t="str">
            <v xml:space="preserve">Analytical Laboratory Instrument Manufacturing </v>
          </cell>
        </row>
        <row r="799">
          <cell r="B799">
            <v>334517</v>
          </cell>
          <cell r="C799" t="str">
            <v xml:space="preserve">Irradiation Apparatus Manufacturing </v>
          </cell>
        </row>
        <row r="800">
          <cell r="B800">
            <v>334519</v>
          </cell>
          <cell r="C800" t="str">
            <v xml:space="preserve">Other Measuring and Controlling Device Manufacturing </v>
          </cell>
        </row>
        <row r="801">
          <cell r="B801">
            <v>3346</v>
          </cell>
          <cell r="C801" t="str">
            <v xml:space="preserve">Manufacturing and Reproducing Magnetic and Optical MediaT </v>
          </cell>
        </row>
        <row r="802">
          <cell r="B802">
            <v>33461</v>
          </cell>
          <cell r="C802" t="str">
            <v xml:space="preserve">Manufacturing and Reproducing Magnetic and Optical MediaT </v>
          </cell>
        </row>
        <row r="803">
          <cell r="B803">
            <v>334613</v>
          </cell>
          <cell r="C803" t="str">
            <v xml:space="preserve">Blank Magnetic and Optical Recording Media Manufacturing </v>
          </cell>
        </row>
        <row r="804">
          <cell r="B804">
            <v>334614</v>
          </cell>
          <cell r="C804" t="str">
            <v xml:space="preserve">Software and Other Prerecorded Compact Disc, Tape, and Record Reproducing </v>
          </cell>
        </row>
        <row r="805">
          <cell r="B805">
            <v>335</v>
          </cell>
          <cell r="C805" t="str">
            <v xml:space="preserve">Electrical Equipment, Appliance, and Component ManufacturingT </v>
          </cell>
        </row>
        <row r="806">
          <cell r="B806">
            <v>3351</v>
          </cell>
          <cell r="C806" t="str">
            <v xml:space="preserve">Electric Lighting Equipment ManufacturingT </v>
          </cell>
        </row>
        <row r="807">
          <cell r="B807">
            <v>33511</v>
          </cell>
          <cell r="C807" t="str">
            <v xml:space="preserve">Electric Lamp Bulb and Part ManufacturingT </v>
          </cell>
        </row>
        <row r="808">
          <cell r="B808">
            <v>335110</v>
          </cell>
          <cell r="C808" t="str">
            <v>Electric Lamp Bulb and Part Manufacturing</v>
          </cell>
        </row>
        <row r="809">
          <cell r="B809">
            <v>33512</v>
          </cell>
          <cell r="C809" t="str">
            <v xml:space="preserve">Lighting Fixture ManufacturingT </v>
          </cell>
        </row>
        <row r="810">
          <cell r="B810">
            <v>335121</v>
          </cell>
          <cell r="C810" t="str">
            <v xml:space="preserve">Residential Electric Lighting Fixture Manufacturing </v>
          </cell>
        </row>
        <row r="811">
          <cell r="B811">
            <v>335122</v>
          </cell>
          <cell r="C811" t="str">
            <v xml:space="preserve">Commercial, Industrial, and Institutional Electric Lighting Fixture Manufacturing </v>
          </cell>
        </row>
        <row r="812">
          <cell r="B812">
            <v>335129</v>
          </cell>
          <cell r="C812" t="str">
            <v xml:space="preserve">Other Lighting Equipment Manufacturing </v>
          </cell>
        </row>
        <row r="813">
          <cell r="B813">
            <v>3352</v>
          </cell>
          <cell r="C813" t="str">
            <v xml:space="preserve">Household Appliance ManufacturingT </v>
          </cell>
        </row>
        <row r="814">
          <cell r="B814">
            <v>33521</v>
          </cell>
          <cell r="C814" t="str">
            <v xml:space="preserve">Small Electrical Appliance ManufacturingT </v>
          </cell>
        </row>
        <row r="815">
          <cell r="B815">
            <v>335210</v>
          </cell>
          <cell r="C815" t="str">
            <v>Small Electrical Appliance Manufacturing</v>
          </cell>
        </row>
        <row r="816">
          <cell r="B816">
            <v>33522</v>
          </cell>
          <cell r="C816" t="str">
            <v xml:space="preserve">Major Appliance ManufacturingT </v>
          </cell>
        </row>
        <row r="817">
          <cell r="B817">
            <v>335221</v>
          </cell>
          <cell r="C817" t="str">
            <v xml:space="preserve">Household Cooking Appliance Manufacturing </v>
          </cell>
        </row>
        <row r="818">
          <cell r="B818">
            <v>335222</v>
          </cell>
          <cell r="C818" t="str">
            <v xml:space="preserve">Household Refrigerator and Home Freezer Manufacturing </v>
          </cell>
        </row>
        <row r="819">
          <cell r="B819">
            <v>335224</v>
          </cell>
          <cell r="C819" t="str">
            <v xml:space="preserve">Household Laundry Equipment Manufacturing </v>
          </cell>
        </row>
        <row r="820">
          <cell r="B820">
            <v>335228</v>
          </cell>
          <cell r="C820" t="str">
            <v xml:space="preserve">Other Major Household Appliance Manufacturing </v>
          </cell>
        </row>
        <row r="821">
          <cell r="B821">
            <v>3353</v>
          </cell>
          <cell r="C821" t="str">
            <v xml:space="preserve">Electrical Equipment ManufacturingT </v>
          </cell>
        </row>
        <row r="822">
          <cell r="B822">
            <v>33531</v>
          </cell>
          <cell r="C822" t="str">
            <v xml:space="preserve">Electrical Equipment ManufacturingT </v>
          </cell>
        </row>
        <row r="823">
          <cell r="B823">
            <v>335311</v>
          </cell>
          <cell r="C823" t="str">
            <v xml:space="preserve">Power, Distribution, and Specialty Transformer Manufacturing </v>
          </cell>
        </row>
        <row r="824">
          <cell r="B824">
            <v>335312</v>
          </cell>
          <cell r="C824" t="str">
            <v xml:space="preserve">Motor and Generator Manufacturing </v>
          </cell>
        </row>
        <row r="825">
          <cell r="B825">
            <v>335313</v>
          </cell>
          <cell r="C825" t="str">
            <v xml:space="preserve">Switchgear and Switchboard Apparatus Manufacturing </v>
          </cell>
        </row>
        <row r="826">
          <cell r="B826">
            <v>335314</v>
          </cell>
          <cell r="C826" t="str">
            <v xml:space="preserve">Relay and Industrial Control Manufacturing </v>
          </cell>
        </row>
        <row r="827">
          <cell r="B827">
            <v>3359</v>
          </cell>
          <cell r="C827" t="str">
            <v xml:space="preserve">Other Electrical Equipment and Component ManufacturingT </v>
          </cell>
        </row>
        <row r="828">
          <cell r="B828">
            <v>33591</v>
          </cell>
          <cell r="C828" t="str">
            <v xml:space="preserve">Battery ManufacturingT </v>
          </cell>
        </row>
        <row r="829">
          <cell r="B829">
            <v>335911</v>
          </cell>
          <cell r="C829" t="str">
            <v xml:space="preserve">Storage Battery Manufacturing </v>
          </cell>
        </row>
        <row r="830">
          <cell r="B830">
            <v>335912</v>
          </cell>
          <cell r="C830" t="str">
            <v xml:space="preserve">Primary Battery Manufacturing </v>
          </cell>
        </row>
        <row r="831">
          <cell r="B831">
            <v>33592</v>
          </cell>
          <cell r="C831" t="str">
            <v xml:space="preserve">Communication and Energy Wire and Cable ManufacturingT </v>
          </cell>
        </row>
        <row r="832">
          <cell r="B832">
            <v>335921</v>
          </cell>
          <cell r="C832" t="str">
            <v xml:space="preserve">Fiber Optic Cable Manufacturing </v>
          </cell>
        </row>
        <row r="833">
          <cell r="B833">
            <v>335929</v>
          </cell>
          <cell r="C833" t="str">
            <v xml:space="preserve">Other Communication and Energy Wire Manufacturing </v>
          </cell>
        </row>
        <row r="834">
          <cell r="B834">
            <v>33593</v>
          </cell>
          <cell r="C834" t="str">
            <v xml:space="preserve">Wiring Device ManufacturingT </v>
          </cell>
        </row>
        <row r="835">
          <cell r="B835">
            <v>335931</v>
          </cell>
          <cell r="C835" t="str">
            <v xml:space="preserve">Current-Carrying Wiring Device Manufacturing </v>
          </cell>
        </row>
        <row r="836">
          <cell r="B836">
            <v>335932</v>
          </cell>
          <cell r="C836" t="str">
            <v xml:space="preserve">Noncurrent-Carrying Wiring Device Manufacturing </v>
          </cell>
        </row>
        <row r="837">
          <cell r="B837">
            <v>33599</v>
          </cell>
          <cell r="C837" t="str">
            <v xml:space="preserve">All Other Electrical Equipment and Component ManufacturingT </v>
          </cell>
        </row>
        <row r="838">
          <cell r="B838">
            <v>335991</v>
          </cell>
          <cell r="C838" t="str">
            <v xml:space="preserve">Carbon and Graphite Product Manufacturing </v>
          </cell>
        </row>
        <row r="839">
          <cell r="B839">
            <v>335999</v>
          </cell>
          <cell r="C839" t="str">
            <v xml:space="preserve">All Other Miscellaneous Electrical Equipment and Component Manufacturing </v>
          </cell>
        </row>
        <row r="840">
          <cell r="B840">
            <v>336</v>
          </cell>
          <cell r="C840" t="str">
            <v xml:space="preserve">Transportation Equipment ManufacturingT </v>
          </cell>
        </row>
        <row r="841">
          <cell r="B841">
            <v>3361</v>
          </cell>
          <cell r="C841" t="str">
            <v xml:space="preserve">Motor Vehicle ManufacturingT </v>
          </cell>
        </row>
        <row r="842">
          <cell r="B842">
            <v>33611</v>
          </cell>
          <cell r="C842" t="str">
            <v xml:space="preserve">Automobile and Light Duty Motor Vehicle ManufacturingT </v>
          </cell>
        </row>
        <row r="843">
          <cell r="B843">
            <v>336111</v>
          </cell>
          <cell r="C843" t="str">
            <v xml:space="preserve">Automobile Manufacturing </v>
          </cell>
        </row>
        <row r="844">
          <cell r="B844">
            <v>336112</v>
          </cell>
          <cell r="C844" t="str">
            <v xml:space="preserve">Light Truck and Utility Vehicle Manufacturing </v>
          </cell>
        </row>
        <row r="845">
          <cell r="B845">
            <v>33612</v>
          </cell>
          <cell r="C845" t="str">
            <v xml:space="preserve">Heavy Duty Truck ManufacturingT </v>
          </cell>
        </row>
        <row r="846">
          <cell r="B846">
            <v>336120</v>
          </cell>
          <cell r="C846" t="str">
            <v>Heavy Duty Truck Manufacturing</v>
          </cell>
        </row>
        <row r="847">
          <cell r="B847">
            <v>3362</v>
          </cell>
          <cell r="C847" t="str">
            <v xml:space="preserve">Motor Vehicle Body and Trailer ManufacturingT </v>
          </cell>
        </row>
        <row r="848">
          <cell r="B848">
            <v>33621</v>
          </cell>
          <cell r="C848" t="str">
            <v xml:space="preserve">Motor Vehicle Body and Trailer ManufacturingT </v>
          </cell>
        </row>
        <row r="849">
          <cell r="B849">
            <v>336211</v>
          </cell>
          <cell r="C849" t="str">
            <v xml:space="preserve">Motor Vehicle Body Manufacturing </v>
          </cell>
        </row>
        <row r="850">
          <cell r="B850">
            <v>336212</v>
          </cell>
          <cell r="C850" t="str">
            <v xml:space="preserve">Truck Trailer Manufacturing </v>
          </cell>
        </row>
        <row r="851">
          <cell r="B851">
            <v>336213</v>
          </cell>
          <cell r="C851" t="str">
            <v xml:space="preserve">Motor Home Manufacturing </v>
          </cell>
        </row>
        <row r="852">
          <cell r="B852">
            <v>336214</v>
          </cell>
          <cell r="C852" t="str">
            <v xml:space="preserve">Travel Trailer and Camper Manufacturing </v>
          </cell>
        </row>
        <row r="853">
          <cell r="B853">
            <v>3363</v>
          </cell>
          <cell r="C853" t="str">
            <v xml:space="preserve">Motor Vehicle Parts ManufacturingT </v>
          </cell>
        </row>
        <row r="854">
          <cell r="B854">
            <v>33631</v>
          </cell>
          <cell r="C854" t="str">
            <v xml:space="preserve">Motor Vehicle Gasoline Engine and Engine Parts ManufacturingT </v>
          </cell>
        </row>
        <row r="855">
          <cell r="B855">
            <v>336310</v>
          </cell>
          <cell r="C855" t="str">
            <v>Motor Vehicle Gasoline Engine and Engine Parts Manufacturing</v>
          </cell>
        </row>
        <row r="856">
          <cell r="B856">
            <v>33632</v>
          </cell>
          <cell r="C856" t="str">
            <v xml:space="preserve">Motor Vehicle Electrical and Electronic Equipment ManufacturingT </v>
          </cell>
        </row>
        <row r="857">
          <cell r="B857">
            <v>336320</v>
          </cell>
          <cell r="C857" t="str">
            <v>Motor Vehicle Electrical and Electronic Equipment Manufacturing</v>
          </cell>
        </row>
        <row r="858">
          <cell r="B858">
            <v>33633</v>
          </cell>
          <cell r="C858" t="str">
            <v xml:space="preserve">Motor Vehicle Steering and Suspension Components (except Spring) ManufacturingT </v>
          </cell>
        </row>
        <row r="859">
          <cell r="B859">
            <v>336330</v>
          </cell>
          <cell r="C859" t="str">
            <v>Motor Vehicle Steering and Suspension Components (except Spring) Manufacturing</v>
          </cell>
        </row>
        <row r="860">
          <cell r="B860">
            <v>33634</v>
          </cell>
          <cell r="C860" t="str">
            <v xml:space="preserve">Motor Vehicle Brake System ManufacturingT </v>
          </cell>
        </row>
        <row r="861">
          <cell r="B861">
            <v>336340</v>
          </cell>
          <cell r="C861" t="str">
            <v>Motor Vehicle Brake System Manufacturing</v>
          </cell>
        </row>
        <row r="862">
          <cell r="B862">
            <v>33635</v>
          </cell>
          <cell r="C862" t="str">
            <v xml:space="preserve">Motor Vehicle Transmission and Power Train Parts ManufacturingT </v>
          </cell>
        </row>
        <row r="863">
          <cell r="B863">
            <v>336350</v>
          </cell>
          <cell r="C863" t="str">
            <v>Motor Vehicle Transmission and Power Train Parts Manufacturing</v>
          </cell>
        </row>
        <row r="864">
          <cell r="B864">
            <v>33636</v>
          </cell>
          <cell r="C864" t="str">
            <v xml:space="preserve">Motor Vehicle Seating and Interior Trim ManufacturingT </v>
          </cell>
        </row>
        <row r="865">
          <cell r="B865">
            <v>336360</v>
          </cell>
          <cell r="C865" t="str">
            <v>Motor Vehicle Seating and Interior Trim Manufacturing</v>
          </cell>
        </row>
        <row r="866">
          <cell r="B866">
            <v>33637</v>
          </cell>
          <cell r="C866" t="str">
            <v xml:space="preserve">Motor Vehicle Metal StampingT </v>
          </cell>
        </row>
        <row r="867">
          <cell r="B867">
            <v>336370</v>
          </cell>
          <cell r="C867" t="str">
            <v>Motor Vehicle Metal Stamping</v>
          </cell>
        </row>
        <row r="868">
          <cell r="B868">
            <v>33639</v>
          </cell>
          <cell r="C868" t="str">
            <v xml:space="preserve">Other Motor Vehicle Parts ManufacturingT </v>
          </cell>
        </row>
        <row r="869">
          <cell r="B869">
            <v>336390</v>
          </cell>
          <cell r="C869" t="str">
            <v>Other Motor Vehicle Parts Manufacturing</v>
          </cell>
        </row>
        <row r="870">
          <cell r="B870">
            <v>3364</v>
          </cell>
          <cell r="C870" t="str">
            <v xml:space="preserve">Aerospace Product and Parts ManufacturingT </v>
          </cell>
        </row>
        <row r="871">
          <cell r="B871">
            <v>33641</v>
          </cell>
          <cell r="C871" t="str">
            <v xml:space="preserve">Aerospace Product and Parts ManufacturingT </v>
          </cell>
        </row>
        <row r="872">
          <cell r="B872">
            <v>336411</v>
          </cell>
          <cell r="C872" t="str">
            <v xml:space="preserve">Aircraft Manufacturing </v>
          </cell>
        </row>
        <row r="873">
          <cell r="B873">
            <v>336412</v>
          </cell>
          <cell r="C873" t="str">
            <v xml:space="preserve">Aircraft Engine and Engine Parts Manufacturing </v>
          </cell>
        </row>
        <row r="874">
          <cell r="B874">
            <v>336413</v>
          </cell>
          <cell r="C874" t="str">
            <v xml:space="preserve">Other Aircraft Parts and Auxiliary Equipment Manufacturing </v>
          </cell>
        </row>
        <row r="875">
          <cell r="B875">
            <v>336414</v>
          </cell>
          <cell r="C875" t="str">
            <v xml:space="preserve">Guided Missile and Space Vehicle Manufacturing </v>
          </cell>
        </row>
        <row r="876">
          <cell r="B876">
            <v>336415</v>
          </cell>
          <cell r="C876" t="str">
            <v xml:space="preserve">Guided Missile and Space Vehicle Propulsion Unit and Propulsion Unit Parts Manufacturing </v>
          </cell>
        </row>
        <row r="877">
          <cell r="B877">
            <v>336419</v>
          </cell>
          <cell r="C877" t="str">
            <v xml:space="preserve">Other Guided Missile and Space Vehicle Parts and Auxiliary Equipment Manufacturing </v>
          </cell>
        </row>
        <row r="878">
          <cell r="B878">
            <v>3365</v>
          </cell>
          <cell r="C878" t="str">
            <v xml:space="preserve">Railroad Rolling Stock ManufacturingT </v>
          </cell>
        </row>
        <row r="879">
          <cell r="B879">
            <v>33651</v>
          </cell>
          <cell r="C879" t="str">
            <v xml:space="preserve">Railroad Rolling Stock ManufacturingT </v>
          </cell>
        </row>
        <row r="880">
          <cell r="B880">
            <v>336510</v>
          </cell>
          <cell r="C880" t="str">
            <v>Railroad Rolling Stock Manufacturing</v>
          </cell>
        </row>
        <row r="881">
          <cell r="B881">
            <v>3366</v>
          </cell>
          <cell r="C881" t="str">
            <v xml:space="preserve">Ship and Boat BuildingT </v>
          </cell>
        </row>
        <row r="882">
          <cell r="B882">
            <v>33661</v>
          </cell>
          <cell r="C882" t="str">
            <v xml:space="preserve">Ship and Boat BuildingT </v>
          </cell>
        </row>
        <row r="883">
          <cell r="B883">
            <v>336611</v>
          </cell>
          <cell r="C883" t="str">
            <v xml:space="preserve">Ship Building and Repairing </v>
          </cell>
        </row>
        <row r="884">
          <cell r="B884">
            <v>336612</v>
          </cell>
          <cell r="C884" t="str">
            <v xml:space="preserve">Boat Building </v>
          </cell>
        </row>
        <row r="885">
          <cell r="B885">
            <v>3369</v>
          </cell>
          <cell r="C885" t="str">
            <v xml:space="preserve">Other Transportation Equipment ManufacturingT </v>
          </cell>
        </row>
        <row r="886">
          <cell r="B886">
            <v>33699</v>
          </cell>
          <cell r="C886" t="str">
            <v xml:space="preserve">Other Transportation Equipment ManufacturingT </v>
          </cell>
        </row>
        <row r="887">
          <cell r="B887">
            <v>336991</v>
          </cell>
          <cell r="C887" t="str">
            <v xml:space="preserve">Motorcycle, Bicycle, and Parts Manufacturing </v>
          </cell>
        </row>
        <row r="888">
          <cell r="B888">
            <v>336992</v>
          </cell>
          <cell r="C888" t="str">
            <v xml:space="preserve">Military Armored Vehicle, Tank, and Tank Component Manufacturing </v>
          </cell>
        </row>
        <row r="889">
          <cell r="B889">
            <v>336999</v>
          </cell>
          <cell r="C889" t="str">
            <v xml:space="preserve">All Other Transportation Equipment Manufacturing </v>
          </cell>
        </row>
        <row r="890">
          <cell r="B890">
            <v>337</v>
          </cell>
          <cell r="C890" t="str">
            <v xml:space="preserve">Furniture and Related Product ManufacturingT </v>
          </cell>
        </row>
        <row r="891">
          <cell r="B891">
            <v>3371</v>
          </cell>
          <cell r="C891" t="str">
            <v xml:space="preserve">Household and Institutional Furniture and Kitchen Cabinet ManufacturingT </v>
          </cell>
        </row>
        <row r="892">
          <cell r="B892">
            <v>33711</v>
          </cell>
          <cell r="C892" t="str">
            <v xml:space="preserve">Wood Kitchen Cabinet and Countertop ManufacturingT </v>
          </cell>
        </row>
        <row r="893">
          <cell r="B893">
            <v>337110</v>
          </cell>
          <cell r="C893" t="str">
            <v>Wood Kitchen Cabinet and Countertop Manufacturing</v>
          </cell>
        </row>
        <row r="894">
          <cell r="B894">
            <v>33712</v>
          </cell>
          <cell r="C894" t="str">
            <v xml:space="preserve">Household and Institutional Furniture ManufacturingT </v>
          </cell>
        </row>
        <row r="895">
          <cell r="B895">
            <v>337121</v>
          </cell>
          <cell r="C895" t="str">
            <v xml:space="preserve">Upholstered Household Furniture Manufacturing </v>
          </cell>
        </row>
        <row r="896">
          <cell r="B896">
            <v>337122</v>
          </cell>
          <cell r="C896" t="str">
            <v xml:space="preserve">Nonupholstered Wood Household Furniture Manufacturing </v>
          </cell>
        </row>
        <row r="897">
          <cell r="B897">
            <v>337124</v>
          </cell>
          <cell r="C897" t="str">
            <v xml:space="preserve">Metal Household Furniture Manufacturing </v>
          </cell>
        </row>
        <row r="898">
          <cell r="B898">
            <v>337125</v>
          </cell>
          <cell r="C898" t="str">
            <v xml:space="preserve">Household Furniture (except Wood and Metal) Manufacturing </v>
          </cell>
        </row>
        <row r="899">
          <cell r="B899">
            <v>337127</v>
          </cell>
          <cell r="C899" t="str">
            <v xml:space="preserve">Institutional Furniture Manufacturing </v>
          </cell>
        </row>
        <row r="900">
          <cell r="B900">
            <v>3372</v>
          </cell>
          <cell r="C900" t="str">
            <v xml:space="preserve">Office Furniture (including Fixtures) ManufacturingT </v>
          </cell>
        </row>
        <row r="901">
          <cell r="B901">
            <v>33721</v>
          </cell>
          <cell r="C901" t="str">
            <v xml:space="preserve">Office Furniture (including Fixtures) ManufacturingT </v>
          </cell>
        </row>
        <row r="902">
          <cell r="B902">
            <v>337211</v>
          </cell>
          <cell r="C902" t="str">
            <v xml:space="preserve">Wood Office Furniture Manufacturing </v>
          </cell>
        </row>
        <row r="903">
          <cell r="B903">
            <v>337212</v>
          </cell>
          <cell r="C903" t="str">
            <v xml:space="preserve">Custom Architectural Woodwork and Millwork Manufacturing </v>
          </cell>
        </row>
        <row r="904">
          <cell r="B904">
            <v>337214</v>
          </cell>
          <cell r="C904" t="str">
            <v xml:space="preserve">Office Furniture (except Wood) Manufacturing </v>
          </cell>
        </row>
        <row r="905">
          <cell r="B905">
            <v>337215</v>
          </cell>
          <cell r="C905" t="str">
            <v xml:space="preserve">Showcase, Partition, Shelving, and Locker Manufacturing </v>
          </cell>
        </row>
        <row r="906">
          <cell r="B906">
            <v>3379</v>
          </cell>
          <cell r="C906" t="str">
            <v xml:space="preserve">Other Furniture Related Product ManufacturingT </v>
          </cell>
        </row>
        <row r="907">
          <cell r="B907">
            <v>33791</v>
          </cell>
          <cell r="C907" t="str">
            <v xml:space="preserve">Mattress ManufacturingT </v>
          </cell>
        </row>
        <row r="908">
          <cell r="B908">
            <v>337910</v>
          </cell>
          <cell r="C908" t="str">
            <v>Mattress Manufacturing</v>
          </cell>
        </row>
        <row r="909">
          <cell r="B909">
            <v>33792</v>
          </cell>
          <cell r="C909" t="str">
            <v xml:space="preserve">Blind and Shade ManufacturingT </v>
          </cell>
        </row>
        <row r="910">
          <cell r="B910">
            <v>337920</v>
          </cell>
          <cell r="C910" t="str">
            <v>Blind and Shade Manufacturing</v>
          </cell>
        </row>
        <row r="911">
          <cell r="B911">
            <v>339</v>
          </cell>
          <cell r="C911" t="str">
            <v xml:space="preserve">Miscellaneous ManufacturingT </v>
          </cell>
        </row>
        <row r="912">
          <cell r="B912">
            <v>3391</v>
          </cell>
          <cell r="C912" t="str">
            <v xml:space="preserve">Medical Equipment and Supplies ManufacturingT </v>
          </cell>
        </row>
        <row r="913">
          <cell r="B913">
            <v>33911</v>
          </cell>
          <cell r="C913" t="str">
            <v xml:space="preserve">Medical Equipment and Supplies ManufacturingT </v>
          </cell>
        </row>
        <row r="914">
          <cell r="B914">
            <v>339112</v>
          </cell>
          <cell r="C914" t="str">
            <v xml:space="preserve">Surgical and Medical Instrument Manufacturing </v>
          </cell>
        </row>
        <row r="915">
          <cell r="B915">
            <v>339113</v>
          </cell>
          <cell r="C915" t="str">
            <v xml:space="preserve">Surgical Appliance and Supplies Manufacturing </v>
          </cell>
        </row>
        <row r="916">
          <cell r="B916">
            <v>339114</v>
          </cell>
          <cell r="C916" t="str">
            <v xml:space="preserve">Dental Equipment and Supplies Manufacturing </v>
          </cell>
        </row>
        <row r="917">
          <cell r="B917">
            <v>339115</v>
          </cell>
          <cell r="C917" t="str">
            <v xml:space="preserve">Ophthalmic Goods Manufacturing </v>
          </cell>
        </row>
        <row r="918">
          <cell r="B918">
            <v>339116</v>
          </cell>
          <cell r="C918" t="str">
            <v xml:space="preserve">Dental Laboratories </v>
          </cell>
        </row>
        <row r="919">
          <cell r="B919">
            <v>3399</v>
          </cell>
          <cell r="C919" t="str">
            <v xml:space="preserve">Other Miscellaneous ManufacturingT </v>
          </cell>
        </row>
        <row r="920">
          <cell r="B920">
            <v>33991</v>
          </cell>
          <cell r="C920" t="str">
            <v xml:space="preserve">Jewelry and Silverware ManufacturingT </v>
          </cell>
        </row>
        <row r="921">
          <cell r="B921">
            <v>339910</v>
          </cell>
          <cell r="C921" t="str">
            <v xml:space="preserve">Jewelry and Silverware Manufacturing </v>
          </cell>
        </row>
        <row r="922">
          <cell r="B922">
            <v>33992</v>
          </cell>
          <cell r="C922" t="str">
            <v xml:space="preserve">Sporting and Athletic Goods ManufacturingT </v>
          </cell>
        </row>
        <row r="923">
          <cell r="B923">
            <v>339920</v>
          </cell>
          <cell r="C923" t="str">
            <v>Sporting and Athletic Goods Manufacturing</v>
          </cell>
        </row>
        <row r="924">
          <cell r="B924">
            <v>33993</v>
          </cell>
          <cell r="C924" t="str">
            <v xml:space="preserve">Doll, Toy, and Game ManufacturingT </v>
          </cell>
        </row>
        <row r="925">
          <cell r="B925">
            <v>339930</v>
          </cell>
          <cell r="C925" t="str">
            <v>Doll, Toy, and Game Manufacturing</v>
          </cell>
        </row>
        <row r="926">
          <cell r="B926">
            <v>33994</v>
          </cell>
          <cell r="C926" t="str">
            <v xml:space="preserve">Office Supplies (except Paper) ManufacturingT </v>
          </cell>
        </row>
        <row r="927">
          <cell r="B927">
            <v>339940</v>
          </cell>
          <cell r="C927" t="str">
            <v>Office Supplies (except Paper) Manufacturing</v>
          </cell>
        </row>
        <row r="928">
          <cell r="B928">
            <v>33995</v>
          </cell>
          <cell r="C928" t="str">
            <v xml:space="preserve">Sign ManufacturingT </v>
          </cell>
        </row>
        <row r="929">
          <cell r="B929">
            <v>339950</v>
          </cell>
          <cell r="C929" t="str">
            <v>Sign Manufacturing</v>
          </cell>
        </row>
        <row r="930">
          <cell r="B930">
            <v>33999</v>
          </cell>
          <cell r="C930" t="str">
            <v xml:space="preserve">All Other Miscellaneous ManufacturingT </v>
          </cell>
        </row>
        <row r="931">
          <cell r="B931">
            <v>339991</v>
          </cell>
          <cell r="C931" t="str">
            <v xml:space="preserve">Gasket, Packing, and Sealing Device Manufacturing </v>
          </cell>
        </row>
        <row r="932">
          <cell r="B932">
            <v>339992</v>
          </cell>
          <cell r="C932" t="str">
            <v xml:space="preserve">Musical Instrument Manufacturing </v>
          </cell>
        </row>
        <row r="933">
          <cell r="B933">
            <v>339993</v>
          </cell>
          <cell r="C933" t="str">
            <v xml:space="preserve">Fastener, Button, Needle, and Pin Manufacturing </v>
          </cell>
        </row>
        <row r="934">
          <cell r="B934">
            <v>339994</v>
          </cell>
          <cell r="C934" t="str">
            <v xml:space="preserve">Broom, Brush, and Mop Manufacturing </v>
          </cell>
        </row>
        <row r="935">
          <cell r="B935">
            <v>339995</v>
          </cell>
          <cell r="C935" t="str">
            <v xml:space="preserve">Burial Casket Manufacturing </v>
          </cell>
        </row>
        <row r="936">
          <cell r="B936">
            <v>339999</v>
          </cell>
          <cell r="C936" t="str">
            <v xml:space="preserve">All Other Miscellaneous Manufacturing </v>
          </cell>
        </row>
        <row r="937">
          <cell r="B937"/>
          <cell r="C937"/>
        </row>
        <row r="938">
          <cell r="B938">
            <v>42</v>
          </cell>
          <cell r="C938" t="str">
            <v>Wholesale TradeT</v>
          </cell>
        </row>
        <row r="939">
          <cell r="B939">
            <v>423</v>
          </cell>
          <cell r="C939" t="str">
            <v xml:space="preserve">Merchant Wholesalers, Durable Goods </v>
          </cell>
        </row>
        <row r="940">
          <cell r="B940">
            <v>4231</v>
          </cell>
          <cell r="C940" t="str">
            <v xml:space="preserve">Motor Vehicle and Motor Vehicle Parts and Supplies Merchant Wholesalers </v>
          </cell>
        </row>
        <row r="941">
          <cell r="B941">
            <v>42311</v>
          </cell>
          <cell r="C941" t="str">
            <v xml:space="preserve">Automobile and Other Motor Vehicle Merchant Wholesalers </v>
          </cell>
        </row>
        <row r="942">
          <cell r="B942">
            <v>423110</v>
          </cell>
          <cell r="C942" t="str">
            <v xml:space="preserve">Automobile and Other Motor Vehicle Merchant Wholesalers </v>
          </cell>
        </row>
        <row r="943">
          <cell r="B943">
            <v>42312</v>
          </cell>
          <cell r="C943" t="str">
            <v xml:space="preserve">Motor Vehicle Supplies and New Parts Merchant Wholesalers </v>
          </cell>
        </row>
        <row r="944">
          <cell r="B944">
            <v>423120</v>
          </cell>
          <cell r="C944" t="str">
            <v xml:space="preserve">Motor Vehicle Supplies and New Parts Merchant Wholesalers </v>
          </cell>
        </row>
        <row r="945">
          <cell r="B945">
            <v>42313</v>
          </cell>
          <cell r="C945" t="str">
            <v xml:space="preserve">Tire and Tube Merchant Wholesalers </v>
          </cell>
        </row>
        <row r="946">
          <cell r="B946">
            <v>423130</v>
          </cell>
          <cell r="C946" t="str">
            <v xml:space="preserve">Tire and Tube Merchant Wholesalers </v>
          </cell>
        </row>
        <row r="947">
          <cell r="B947">
            <v>42314</v>
          </cell>
          <cell r="C947" t="str">
            <v xml:space="preserve">Motor Vehicle Parts (Used) Merchant Wholesalers </v>
          </cell>
        </row>
        <row r="948">
          <cell r="B948">
            <v>423140</v>
          </cell>
          <cell r="C948" t="str">
            <v xml:space="preserve">Motor Vehicle Parts (Used) Merchant Wholesalers </v>
          </cell>
        </row>
        <row r="949">
          <cell r="B949">
            <v>4232</v>
          </cell>
          <cell r="C949" t="str">
            <v xml:space="preserve">Furniture and Home Furnishing Merchant Wholesalers </v>
          </cell>
        </row>
        <row r="950">
          <cell r="B950">
            <v>42321</v>
          </cell>
          <cell r="C950" t="str">
            <v xml:space="preserve">Furniture Merchant Wholesalers </v>
          </cell>
        </row>
        <row r="951">
          <cell r="B951">
            <v>423210</v>
          </cell>
          <cell r="C951" t="str">
            <v xml:space="preserve">Furniture Merchant Wholesalers </v>
          </cell>
        </row>
        <row r="952">
          <cell r="B952">
            <v>42322</v>
          </cell>
          <cell r="C952" t="str">
            <v xml:space="preserve">Home Furnishing Merchant Wholesalers </v>
          </cell>
        </row>
        <row r="953">
          <cell r="B953">
            <v>423220</v>
          </cell>
          <cell r="C953" t="str">
            <v xml:space="preserve">Home Furnishing Merchant Wholesalers </v>
          </cell>
        </row>
        <row r="954">
          <cell r="B954">
            <v>4233</v>
          </cell>
          <cell r="C954" t="str">
            <v xml:space="preserve">Lumber and Other Construction Materials Merchant Wholesalers </v>
          </cell>
        </row>
        <row r="955">
          <cell r="B955">
            <v>42331</v>
          </cell>
          <cell r="C955" t="str">
            <v xml:space="preserve">Lumber, Plywood, Millwork, and Wood Panel Merchant Wholesalers </v>
          </cell>
        </row>
        <row r="956">
          <cell r="B956">
            <v>423310</v>
          </cell>
          <cell r="C956" t="str">
            <v xml:space="preserve">Lumber, Plywood, Millwork, and Wood Panel Merchant Wholesalers </v>
          </cell>
        </row>
        <row r="957">
          <cell r="B957">
            <v>42332</v>
          </cell>
          <cell r="C957" t="str">
            <v xml:space="preserve">Brick, Stone, and Related Construction Material Merchant Wholesalers </v>
          </cell>
        </row>
        <row r="958">
          <cell r="B958">
            <v>423320</v>
          </cell>
          <cell r="C958" t="str">
            <v xml:space="preserve">Brick, Stone, and Related Construction Material Merchant Wholesalers </v>
          </cell>
        </row>
        <row r="959">
          <cell r="B959">
            <v>42333</v>
          </cell>
          <cell r="C959" t="str">
            <v xml:space="preserve">Roofing, Siding, and Insulation Material Merchant Wholesalers </v>
          </cell>
        </row>
        <row r="960">
          <cell r="B960">
            <v>423330</v>
          </cell>
          <cell r="C960" t="str">
            <v xml:space="preserve">Roofing, Siding, and Insulation Material Merchant Wholesalers </v>
          </cell>
        </row>
        <row r="961">
          <cell r="B961">
            <v>42339</v>
          </cell>
          <cell r="C961" t="str">
            <v xml:space="preserve">Other Construction Material Merchant Wholesalers </v>
          </cell>
        </row>
        <row r="962">
          <cell r="B962">
            <v>423390</v>
          </cell>
          <cell r="C962" t="str">
            <v xml:space="preserve">Other Construction Material Merchant Wholesalers </v>
          </cell>
        </row>
        <row r="963">
          <cell r="B963">
            <v>4234</v>
          </cell>
          <cell r="C963" t="str">
            <v xml:space="preserve">Professional and Commercial Equipment and Supplies Merchant Wholesalers </v>
          </cell>
        </row>
        <row r="964">
          <cell r="B964">
            <v>42341</v>
          </cell>
          <cell r="C964" t="str">
            <v xml:space="preserve">Photographic Equipment and Supplies Merchant Wholesalers </v>
          </cell>
        </row>
        <row r="965">
          <cell r="B965">
            <v>423410</v>
          </cell>
          <cell r="C965" t="str">
            <v xml:space="preserve">Photographic Equipment and Supplies Merchant Wholesalers </v>
          </cell>
        </row>
        <row r="966">
          <cell r="B966">
            <v>42342</v>
          </cell>
          <cell r="C966" t="str">
            <v xml:space="preserve">Office Equipment Merchant Wholesalers </v>
          </cell>
        </row>
        <row r="967">
          <cell r="B967">
            <v>423420</v>
          </cell>
          <cell r="C967" t="str">
            <v xml:space="preserve">Office Equipment Merchant Wholesalers </v>
          </cell>
        </row>
        <row r="968">
          <cell r="B968">
            <v>42343</v>
          </cell>
          <cell r="C968" t="str">
            <v xml:space="preserve">Computer and Computer Peripheral Equipment and Software Merchant Wholesalers </v>
          </cell>
        </row>
        <row r="969">
          <cell r="B969">
            <v>423430</v>
          </cell>
          <cell r="C969" t="str">
            <v xml:space="preserve">Computer and Computer Peripheral Equipment and Software Merchant Wholesalers </v>
          </cell>
        </row>
        <row r="970">
          <cell r="B970">
            <v>42344</v>
          </cell>
          <cell r="C970" t="str">
            <v xml:space="preserve">Other Commercial Equipment Merchant Wholesalers </v>
          </cell>
        </row>
        <row r="971">
          <cell r="B971">
            <v>423440</v>
          </cell>
          <cell r="C971" t="str">
            <v xml:space="preserve">Other Commercial Equipment Merchant Wholesalers </v>
          </cell>
        </row>
        <row r="972">
          <cell r="B972">
            <v>42345</v>
          </cell>
          <cell r="C972" t="str">
            <v xml:space="preserve">Medical, Dental, and Hospital Equipment and Supplies Merchant Wholesalers </v>
          </cell>
        </row>
        <row r="973">
          <cell r="B973">
            <v>423450</v>
          </cell>
          <cell r="C973" t="str">
            <v xml:space="preserve">Medical, Dental, and Hospital Equipment and Supplies Merchant Wholesalers </v>
          </cell>
        </row>
        <row r="974">
          <cell r="B974">
            <v>42346</v>
          </cell>
          <cell r="C974" t="str">
            <v xml:space="preserve">Ophthalmic Goods Merchant Wholesalers </v>
          </cell>
        </row>
        <row r="975">
          <cell r="B975">
            <v>423460</v>
          </cell>
          <cell r="C975" t="str">
            <v xml:space="preserve">Ophthalmic Goods Merchant Wholesalers </v>
          </cell>
        </row>
        <row r="976">
          <cell r="B976">
            <v>42349</v>
          </cell>
          <cell r="C976" t="str">
            <v xml:space="preserve">Other Professional Equipment and Supplies Merchant Wholesalers </v>
          </cell>
        </row>
        <row r="977">
          <cell r="B977">
            <v>423490</v>
          </cell>
          <cell r="C977" t="str">
            <v xml:space="preserve">Other Professional Equipment and Supplies Merchant Wholesalers </v>
          </cell>
        </row>
        <row r="978">
          <cell r="B978">
            <v>4235</v>
          </cell>
          <cell r="C978" t="str">
            <v xml:space="preserve">Metal and Mineral (except Petroleum) Merchant Wholesalers </v>
          </cell>
        </row>
        <row r="979">
          <cell r="B979">
            <v>42351</v>
          </cell>
          <cell r="C979" t="str">
            <v xml:space="preserve">Metal Service Centers and Other Metal Merchant Wholesalers </v>
          </cell>
        </row>
        <row r="980">
          <cell r="B980">
            <v>423510</v>
          </cell>
          <cell r="C980" t="str">
            <v xml:space="preserve">Metal Service Centers and Other Metal Merchant Wholesalers </v>
          </cell>
        </row>
        <row r="981">
          <cell r="B981">
            <v>42352</v>
          </cell>
          <cell r="C981" t="str">
            <v xml:space="preserve">Coal and Other Mineral and Ore Merchant Wholesalers </v>
          </cell>
        </row>
        <row r="982">
          <cell r="B982">
            <v>423520</v>
          </cell>
          <cell r="C982" t="str">
            <v xml:space="preserve">Coal and Other Mineral and Ore Merchant Wholesalers </v>
          </cell>
        </row>
        <row r="983">
          <cell r="B983">
            <v>4236</v>
          </cell>
          <cell r="C983" t="str">
            <v xml:space="preserve">Household Appliances and Electrical and Electronic Goods Merchant Wholesalers </v>
          </cell>
        </row>
        <row r="984">
          <cell r="B984">
            <v>42361</v>
          </cell>
          <cell r="C984" t="str">
            <v xml:space="preserve">Electrical Apparatus and Equipment, Wiring Supplies, and Related Equipment Merchant Wholesalers </v>
          </cell>
        </row>
        <row r="985">
          <cell r="B985">
            <v>423610</v>
          </cell>
          <cell r="C985" t="str">
            <v xml:space="preserve">Electrical Apparatus and Equipment, Wiring Supplies, and Related Equipment Merchant Wholesalers </v>
          </cell>
        </row>
        <row r="986">
          <cell r="B986">
            <v>42362</v>
          </cell>
          <cell r="C986" t="str">
            <v xml:space="preserve">Household Appliances, Electric Housewares, and Consumer Electronics Merchant Wholesalers </v>
          </cell>
        </row>
        <row r="987">
          <cell r="B987">
            <v>423620</v>
          </cell>
          <cell r="C987" t="str">
            <v xml:space="preserve">Household Appliances, Electric Housewares, and Consumer Electronics Merchant Wholesalers </v>
          </cell>
        </row>
        <row r="988">
          <cell r="B988">
            <v>42369</v>
          </cell>
          <cell r="C988" t="str">
            <v xml:space="preserve">Other Electronic Parts and Equipment Merchant Wholesalers </v>
          </cell>
        </row>
        <row r="989">
          <cell r="B989">
            <v>423690</v>
          </cell>
          <cell r="C989" t="str">
            <v xml:space="preserve">Other Electronic Parts and Equipment Merchant Wholesalers </v>
          </cell>
        </row>
        <row r="990">
          <cell r="B990">
            <v>4237</v>
          </cell>
          <cell r="C990" t="str">
            <v xml:space="preserve">Hardware, and Plumbing and Heating Equipment and Supplies Merchant Wholesalers </v>
          </cell>
        </row>
        <row r="991">
          <cell r="B991">
            <v>42371</v>
          </cell>
          <cell r="C991" t="str">
            <v xml:space="preserve">Hardware Merchant Wholesalers </v>
          </cell>
        </row>
        <row r="992">
          <cell r="B992">
            <v>423710</v>
          </cell>
          <cell r="C992" t="str">
            <v xml:space="preserve">Hardware Merchant Wholesalers </v>
          </cell>
        </row>
        <row r="993">
          <cell r="B993">
            <v>42372</v>
          </cell>
          <cell r="C993" t="str">
            <v xml:space="preserve">Plumbing and Heating Equipment and Supplies (Hydronics) Merchant Wholesalers </v>
          </cell>
        </row>
        <row r="994">
          <cell r="B994">
            <v>423720</v>
          </cell>
          <cell r="C994" t="str">
            <v xml:space="preserve">Plumbing and Heating Equipment and Supplies (Hydronics) Merchant Wholesalers </v>
          </cell>
        </row>
        <row r="995">
          <cell r="B995">
            <v>42373</v>
          </cell>
          <cell r="C995" t="str">
            <v xml:space="preserve">Warm Air Heating and Air-Conditioning Equipment and Supplies Merchant Wholesalers </v>
          </cell>
        </row>
        <row r="996">
          <cell r="B996">
            <v>423730</v>
          </cell>
          <cell r="C996" t="str">
            <v xml:space="preserve">Warm Air Heating and Air-Conditioning Equipment and Supplies Merchant Wholesalers </v>
          </cell>
        </row>
        <row r="997">
          <cell r="B997">
            <v>42374</v>
          </cell>
          <cell r="C997" t="str">
            <v xml:space="preserve">Refrigeration Equipment and Supplies Merchant Wholesalers </v>
          </cell>
        </row>
        <row r="998">
          <cell r="B998">
            <v>423740</v>
          </cell>
          <cell r="C998" t="str">
            <v xml:space="preserve">Refrigeration Equipment and Supplies Merchant Wholesalers </v>
          </cell>
        </row>
        <row r="999">
          <cell r="B999">
            <v>4238</v>
          </cell>
          <cell r="C999" t="str">
            <v xml:space="preserve">Machinery, Equipment, and Supplies Merchant Wholesalers </v>
          </cell>
        </row>
        <row r="1000">
          <cell r="B1000">
            <v>42381</v>
          </cell>
          <cell r="C1000" t="str">
            <v xml:space="preserve">Construction and Mining (except Oil Well) Machinery and Equipment Merchant Wholesalers </v>
          </cell>
        </row>
        <row r="1001">
          <cell r="B1001">
            <v>423810</v>
          </cell>
          <cell r="C1001" t="str">
            <v xml:space="preserve">Construction and Mining (except Oil Well) Machinery and Equipment Merchant Wholesalers </v>
          </cell>
        </row>
        <row r="1002">
          <cell r="B1002">
            <v>42382</v>
          </cell>
          <cell r="C1002" t="str">
            <v xml:space="preserve">Farm and Garden Machinery and Equipment Merchant Wholesalers </v>
          </cell>
        </row>
        <row r="1003">
          <cell r="B1003">
            <v>423820</v>
          </cell>
          <cell r="C1003" t="str">
            <v xml:space="preserve">Farm and Garden Machinery and Equipment Merchant Wholesalers </v>
          </cell>
        </row>
        <row r="1004">
          <cell r="B1004">
            <v>42383</v>
          </cell>
          <cell r="C1004" t="str">
            <v xml:space="preserve">Industrial Machinery and Equipment Merchant Wholesalers </v>
          </cell>
        </row>
        <row r="1005">
          <cell r="B1005">
            <v>423830</v>
          </cell>
          <cell r="C1005" t="str">
            <v xml:space="preserve">Industrial Machinery and Equipment Merchant Wholesalers </v>
          </cell>
        </row>
        <row r="1006">
          <cell r="B1006">
            <v>42384</v>
          </cell>
          <cell r="C1006" t="str">
            <v xml:space="preserve">Industrial Supplies Merchant Wholesalers </v>
          </cell>
        </row>
        <row r="1007">
          <cell r="B1007">
            <v>423840</v>
          </cell>
          <cell r="C1007" t="str">
            <v>Industrial Supplies Merchant Wholesalers</v>
          </cell>
        </row>
        <row r="1008">
          <cell r="B1008">
            <v>42385</v>
          </cell>
          <cell r="C1008" t="str">
            <v xml:space="preserve">Service Establishment Equipment and Supplies Merchant Wholesalers </v>
          </cell>
        </row>
        <row r="1009">
          <cell r="B1009">
            <v>423850</v>
          </cell>
          <cell r="C1009" t="str">
            <v xml:space="preserve">Service Establishment Equipment and Supplies Merchant Wholesalers </v>
          </cell>
        </row>
        <row r="1010">
          <cell r="B1010">
            <v>42386</v>
          </cell>
          <cell r="C1010" t="str">
            <v xml:space="preserve">Transportation Equipment and Supplies (except Motor Vehicle) Merchant Wholesalers </v>
          </cell>
        </row>
        <row r="1011">
          <cell r="B1011">
            <v>423860</v>
          </cell>
          <cell r="C1011" t="str">
            <v xml:space="preserve">Transportation Equipment and Supplies (except Motor Vehicle) Merchant Wholesalers </v>
          </cell>
        </row>
        <row r="1012">
          <cell r="B1012">
            <v>4239</v>
          </cell>
          <cell r="C1012" t="str">
            <v xml:space="preserve">Miscellaneous Durable Goods Merchant Wholesalers </v>
          </cell>
        </row>
        <row r="1013">
          <cell r="B1013">
            <v>42391</v>
          </cell>
          <cell r="C1013" t="str">
            <v>Sporting and Recreational Goods and Supplies Merchant Wholesalers</v>
          </cell>
        </row>
        <row r="1014">
          <cell r="B1014">
            <v>423910</v>
          </cell>
          <cell r="C1014" t="str">
            <v xml:space="preserve">Sporting and Recreational Goods and Supplies Merchant Wholesalers </v>
          </cell>
        </row>
        <row r="1015">
          <cell r="B1015">
            <v>42392</v>
          </cell>
          <cell r="C1015" t="str">
            <v xml:space="preserve">Toy and Hobby Goods and Supplies Merchant Wholesalers </v>
          </cell>
        </row>
        <row r="1016">
          <cell r="B1016">
            <v>423920</v>
          </cell>
          <cell r="C1016" t="str">
            <v xml:space="preserve">Toy and Hobby Goods and Supplies Merchant Wholesalers </v>
          </cell>
        </row>
        <row r="1017">
          <cell r="B1017">
            <v>42393</v>
          </cell>
          <cell r="C1017" t="str">
            <v xml:space="preserve">Recyclable Material Merchant Wholesalers </v>
          </cell>
        </row>
        <row r="1018">
          <cell r="B1018">
            <v>423930</v>
          </cell>
          <cell r="C1018" t="str">
            <v xml:space="preserve">Recyclable Material Merchant Wholesalers </v>
          </cell>
        </row>
        <row r="1019">
          <cell r="B1019">
            <v>42394</v>
          </cell>
          <cell r="C1019" t="str">
            <v xml:space="preserve">Jewelry, Watch, Precious Stone, and Precious Metal Merchant Wholesalers </v>
          </cell>
        </row>
        <row r="1020">
          <cell r="B1020">
            <v>423940</v>
          </cell>
          <cell r="C1020" t="str">
            <v xml:space="preserve">Jewelry, Watch, Precious Stone, and Precious Metal Merchant Wholesalers </v>
          </cell>
        </row>
        <row r="1021">
          <cell r="B1021">
            <v>42399</v>
          </cell>
          <cell r="C1021" t="str">
            <v xml:space="preserve">Other Miscellaneous Durable Goods Merchant Wholesalers </v>
          </cell>
        </row>
        <row r="1022">
          <cell r="B1022">
            <v>423990</v>
          </cell>
          <cell r="C1022" t="str">
            <v xml:space="preserve">Other Miscellaneous Durable Goods Merchant Wholesalers </v>
          </cell>
        </row>
        <row r="1023">
          <cell r="B1023">
            <v>424</v>
          </cell>
          <cell r="C1023" t="str">
            <v xml:space="preserve">Merchant Wholesalers, Nondurable Goods </v>
          </cell>
        </row>
        <row r="1024">
          <cell r="B1024">
            <v>4241</v>
          </cell>
          <cell r="C1024" t="str">
            <v xml:space="preserve">Paper and Paper Product Merchant Wholesalers </v>
          </cell>
        </row>
        <row r="1025">
          <cell r="B1025">
            <v>42411</v>
          </cell>
          <cell r="C1025" t="str">
            <v xml:space="preserve">Printing and Writing Paper Merchant Wholesalers </v>
          </cell>
        </row>
        <row r="1026">
          <cell r="B1026">
            <v>424110</v>
          </cell>
          <cell r="C1026" t="str">
            <v xml:space="preserve">Printing and Writing Paper Merchant Wholesalers </v>
          </cell>
        </row>
        <row r="1027">
          <cell r="B1027">
            <v>42412</v>
          </cell>
          <cell r="C1027" t="str">
            <v xml:space="preserve">Stationery and Office Supplies Merchant Wholesalers </v>
          </cell>
        </row>
        <row r="1028">
          <cell r="B1028">
            <v>424120</v>
          </cell>
          <cell r="C1028" t="str">
            <v xml:space="preserve">Stationery and Office Supplies Merchant Wholesalers </v>
          </cell>
        </row>
        <row r="1029">
          <cell r="B1029">
            <v>42413</v>
          </cell>
          <cell r="C1029" t="str">
            <v xml:space="preserve">Industrial and Personal Service Paper Merchant Wholesalers </v>
          </cell>
        </row>
        <row r="1030">
          <cell r="B1030">
            <v>424130</v>
          </cell>
          <cell r="C1030" t="str">
            <v xml:space="preserve">Industrial and Personal Service Paper Merchant Wholesalers </v>
          </cell>
        </row>
        <row r="1031">
          <cell r="B1031">
            <v>4242</v>
          </cell>
          <cell r="C1031" t="str">
            <v xml:space="preserve">Drugs and Druggists' Sundries Merchant Wholesalers </v>
          </cell>
        </row>
        <row r="1032">
          <cell r="B1032">
            <v>42421</v>
          </cell>
          <cell r="C1032" t="str">
            <v xml:space="preserve">Drugs and Druggists' Sundries Merchant Wholesalers </v>
          </cell>
        </row>
        <row r="1033">
          <cell r="B1033">
            <v>424210</v>
          </cell>
          <cell r="C1033" t="str">
            <v xml:space="preserve">Drugs and Druggists' Sundries Merchant Wholesalers </v>
          </cell>
        </row>
        <row r="1034">
          <cell r="B1034">
            <v>4243</v>
          </cell>
          <cell r="C1034" t="str">
            <v xml:space="preserve">Apparel, Piece Goods, and Notions Merchant Wholesalers </v>
          </cell>
        </row>
        <row r="1035">
          <cell r="B1035">
            <v>42431</v>
          </cell>
          <cell r="C1035" t="str">
            <v xml:space="preserve">Piece Goods, Notions, and Other Dry Goods Merchant Wholesalers </v>
          </cell>
        </row>
        <row r="1036">
          <cell r="B1036">
            <v>424310</v>
          </cell>
          <cell r="C1036" t="str">
            <v xml:space="preserve">Piece Goods, Notions, and Other Dry Goods Merchant Wholesalers </v>
          </cell>
        </row>
        <row r="1037">
          <cell r="B1037">
            <v>42432</v>
          </cell>
          <cell r="C1037" t="str">
            <v xml:space="preserve">Men's and Boys' Clothing and Furnishings Merchant Wholesalers </v>
          </cell>
        </row>
        <row r="1038">
          <cell r="B1038">
            <v>424320</v>
          </cell>
          <cell r="C1038" t="str">
            <v xml:space="preserve">Men's and Boys' Clothing and Furnishings Merchant Wholesalers </v>
          </cell>
        </row>
        <row r="1039">
          <cell r="B1039">
            <v>42433</v>
          </cell>
          <cell r="C1039" t="str">
            <v xml:space="preserve">Women's, Children's, and Infants' Clothing and Accessories Merchant Wholesalers </v>
          </cell>
        </row>
        <row r="1040">
          <cell r="B1040">
            <v>424330</v>
          </cell>
          <cell r="C1040" t="str">
            <v xml:space="preserve">Women's, Children's, and Infants' Clothing and Accessories Merchant Wholesalers </v>
          </cell>
        </row>
        <row r="1041">
          <cell r="B1041">
            <v>42434</v>
          </cell>
          <cell r="C1041" t="str">
            <v xml:space="preserve">Footwear Merchant Wholesalers </v>
          </cell>
        </row>
        <row r="1042">
          <cell r="B1042">
            <v>424340</v>
          </cell>
          <cell r="C1042" t="str">
            <v xml:space="preserve">Footwear Merchant Wholesalers </v>
          </cell>
        </row>
        <row r="1043">
          <cell r="B1043">
            <v>4244</v>
          </cell>
          <cell r="C1043" t="str">
            <v xml:space="preserve">Grocery and Related Product Merchant Wholesalers </v>
          </cell>
        </row>
        <row r="1044">
          <cell r="B1044">
            <v>42441</v>
          </cell>
          <cell r="C1044" t="str">
            <v xml:space="preserve">General Line Grocery Merchant Wholesalers </v>
          </cell>
        </row>
        <row r="1045">
          <cell r="B1045">
            <v>424410</v>
          </cell>
          <cell r="C1045" t="str">
            <v xml:space="preserve">General Line Grocery Merchant Wholesalers </v>
          </cell>
        </row>
        <row r="1046">
          <cell r="B1046">
            <v>42442</v>
          </cell>
          <cell r="C1046" t="str">
            <v xml:space="preserve">Packaged Frozen Food Merchant Wholesalers </v>
          </cell>
        </row>
        <row r="1047">
          <cell r="B1047">
            <v>424420</v>
          </cell>
          <cell r="C1047" t="str">
            <v xml:space="preserve">Packaged Frozen Food Merchant Wholesalers </v>
          </cell>
        </row>
        <row r="1048">
          <cell r="B1048">
            <v>42443</v>
          </cell>
          <cell r="C1048" t="str">
            <v xml:space="preserve">Dairy Product (except Dried or Canned) Merchant Wholesalers </v>
          </cell>
        </row>
        <row r="1049">
          <cell r="B1049">
            <v>424430</v>
          </cell>
          <cell r="C1049" t="str">
            <v xml:space="preserve">Dairy Product (except Dried or Canned) Merchant Wholesalers </v>
          </cell>
        </row>
        <row r="1050">
          <cell r="B1050">
            <v>42444</v>
          </cell>
          <cell r="C1050" t="str">
            <v xml:space="preserve">Poultry and Poultry Product Merchant Wholesalers </v>
          </cell>
        </row>
        <row r="1051">
          <cell r="B1051">
            <v>424440</v>
          </cell>
          <cell r="C1051" t="str">
            <v xml:space="preserve">Poultry and Poultry Product Merchant Wholesalers </v>
          </cell>
        </row>
        <row r="1052">
          <cell r="B1052">
            <v>42445</v>
          </cell>
          <cell r="C1052" t="str">
            <v xml:space="preserve">Confectionery Merchant Wholesalers </v>
          </cell>
        </row>
        <row r="1053">
          <cell r="B1053">
            <v>424450</v>
          </cell>
          <cell r="C1053" t="str">
            <v xml:space="preserve">Confectionery Merchant Wholesalers </v>
          </cell>
        </row>
        <row r="1054">
          <cell r="B1054">
            <v>42446</v>
          </cell>
          <cell r="C1054" t="str">
            <v xml:space="preserve">Fish and Seafood Merchant Wholesalers </v>
          </cell>
        </row>
        <row r="1055">
          <cell r="B1055">
            <v>424460</v>
          </cell>
          <cell r="C1055" t="str">
            <v xml:space="preserve">Fish and Seafood Merchant Wholesalers </v>
          </cell>
        </row>
        <row r="1056">
          <cell r="B1056">
            <v>42447</v>
          </cell>
          <cell r="C1056" t="str">
            <v xml:space="preserve">Meat and Meat Product Merchant Wholesalers </v>
          </cell>
        </row>
        <row r="1057">
          <cell r="B1057">
            <v>424470</v>
          </cell>
          <cell r="C1057" t="str">
            <v xml:space="preserve">Meat and Meat Product Merchant Wholesalers </v>
          </cell>
        </row>
        <row r="1058">
          <cell r="B1058">
            <v>42448</v>
          </cell>
          <cell r="C1058" t="str">
            <v xml:space="preserve">Fresh Fruit and Vegetable Merchant Wholesalers </v>
          </cell>
        </row>
        <row r="1059">
          <cell r="B1059">
            <v>424480</v>
          </cell>
          <cell r="C1059" t="str">
            <v xml:space="preserve">Fresh Fruit and Vegetable Merchant Wholesalers </v>
          </cell>
        </row>
        <row r="1060">
          <cell r="B1060">
            <v>42449</v>
          </cell>
          <cell r="C1060" t="str">
            <v xml:space="preserve">Other Grocery and Related Products Merchant Wholesalers </v>
          </cell>
        </row>
        <row r="1061">
          <cell r="B1061">
            <v>424490</v>
          </cell>
          <cell r="C1061" t="str">
            <v xml:space="preserve">Other Grocery and Related Products Merchant Wholesalers </v>
          </cell>
        </row>
        <row r="1062">
          <cell r="B1062">
            <v>4245</v>
          </cell>
          <cell r="C1062" t="str">
            <v xml:space="preserve">Farm Product Raw Material Merchant Wholesalers </v>
          </cell>
        </row>
        <row r="1063">
          <cell r="B1063">
            <v>42451</v>
          </cell>
          <cell r="C1063" t="str">
            <v xml:space="preserve">Grain and Field Bean Merchant Wholesalers </v>
          </cell>
        </row>
        <row r="1064">
          <cell r="B1064">
            <v>424510</v>
          </cell>
          <cell r="C1064" t="str">
            <v xml:space="preserve">Grain and Field Bean Merchant Wholesalers </v>
          </cell>
        </row>
        <row r="1065">
          <cell r="B1065">
            <v>42452</v>
          </cell>
          <cell r="C1065" t="str">
            <v xml:space="preserve">Livestock Merchant Wholesalers </v>
          </cell>
        </row>
        <row r="1066">
          <cell r="B1066">
            <v>424520</v>
          </cell>
          <cell r="C1066" t="str">
            <v xml:space="preserve">Livestock Merchant Wholesalers </v>
          </cell>
        </row>
        <row r="1067">
          <cell r="B1067">
            <v>42459</v>
          </cell>
          <cell r="C1067" t="str">
            <v xml:space="preserve">Other Farm Product Raw Material Merchant Wholesalers </v>
          </cell>
        </row>
        <row r="1068">
          <cell r="B1068">
            <v>424590</v>
          </cell>
          <cell r="C1068" t="str">
            <v xml:space="preserve">Other Farm Product Raw Material Merchant Wholesalers </v>
          </cell>
        </row>
        <row r="1069">
          <cell r="B1069">
            <v>4246</v>
          </cell>
          <cell r="C1069" t="str">
            <v xml:space="preserve">Chemical and Allied Products Merchant Wholesalers </v>
          </cell>
        </row>
        <row r="1070">
          <cell r="B1070">
            <v>42461</v>
          </cell>
          <cell r="C1070" t="str">
            <v xml:space="preserve">Plastics Materials and Basic Forms and Shapes Merchant Wholesalers </v>
          </cell>
        </row>
        <row r="1071">
          <cell r="B1071">
            <v>424610</v>
          </cell>
          <cell r="C1071" t="str">
            <v xml:space="preserve">Plastics Materials and Basic Forms and Shapes Merchant Wholesalers </v>
          </cell>
        </row>
        <row r="1072">
          <cell r="B1072">
            <v>42469</v>
          </cell>
          <cell r="C1072" t="str">
            <v xml:space="preserve">Other Chemical and Allied Products Merchant Wholesalers </v>
          </cell>
        </row>
        <row r="1073">
          <cell r="B1073">
            <v>424690</v>
          </cell>
          <cell r="C1073" t="str">
            <v xml:space="preserve">Other Chemical and Allied Products Merchant Wholesalers </v>
          </cell>
        </row>
        <row r="1074">
          <cell r="B1074">
            <v>4247</v>
          </cell>
          <cell r="C1074" t="str">
            <v xml:space="preserve">Petroleum and Petroleum Products Merchant Wholesalers </v>
          </cell>
        </row>
        <row r="1075">
          <cell r="B1075">
            <v>42471</v>
          </cell>
          <cell r="C1075" t="str">
            <v xml:space="preserve">Petroleum Bulk Stations and Terminals </v>
          </cell>
        </row>
        <row r="1076">
          <cell r="B1076">
            <v>424710</v>
          </cell>
          <cell r="C1076" t="str">
            <v xml:space="preserve">Petroleum Bulk Stations and Terminals </v>
          </cell>
        </row>
        <row r="1077">
          <cell r="B1077">
            <v>42472</v>
          </cell>
          <cell r="C1077" t="str">
            <v xml:space="preserve">Petroleum and Petroleum Products Merchant Wholesalers (except Bulk Stations and Terminals) </v>
          </cell>
        </row>
        <row r="1078">
          <cell r="B1078">
            <v>424720</v>
          </cell>
          <cell r="C1078" t="str">
            <v xml:space="preserve">Petroleum and Petroleum Products Merchant Wholesalers (except Bulk Stations and Terminals) </v>
          </cell>
        </row>
        <row r="1079">
          <cell r="B1079">
            <v>4248</v>
          </cell>
          <cell r="C1079" t="str">
            <v xml:space="preserve">Beer, Wine, and Distilled Alcoholic Beverage Merchant Wholesalers </v>
          </cell>
        </row>
        <row r="1080">
          <cell r="B1080">
            <v>42481</v>
          </cell>
          <cell r="C1080" t="str">
            <v xml:space="preserve">Beer and Ale Merchant Wholesalers </v>
          </cell>
        </row>
        <row r="1081">
          <cell r="B1081">
            <v>424810</v>
          </cell>
          <cell r="C1081" t="str">
            <v xml:space="preserve">Beer and Ale Merchant Wholesalers </v>
          </cell>
        </row>
        <row r="1082">
          <cell r="B1082">
            <v>42482</v>
          </cell>
          <cell r="C1082" t="str">
            <v xml:space="preserve">Wine and Distilled Alcoholic Beverage Merchant Wholesalers </v>
          </cell>
        </row>
        <row r="1083">
          <cell r="B1083">
            <v>424820</v>
          </cell>
          <cell r="C1083" t="str">
            <v xml:space="preserve">Wine and Distilled Alcoholic Beverage Merchant Wholesalers </v>
          </cell>
        </row>
        <row r="1084">
          <cell r="B1084">
            <v>4249</v>
          </cell>
          <cell r="C1084" t="str">
            <v xml:space="preserve">Miscellaneous Nondurable Goods Merchant Wholesalers </v>
          </cell>
        </row>
        <row r="1085">
          <cell r="B1085">
            <v>42491</v>
          </cell>
          <cell r="C1085" t="str">
            <v xml:space="preserve">Farm Supplies Merchant Wholesalers </v>
          </cell>
        </row>
        <row r="1086">
          <cell r="B1086">
            <v>424910</v>
          </cell>
          <cell r="C1086" t="str">
            <v xml:space="preserve">Farm Supplies Merchant Wholesalers </v>
          </cell>
        </row>
        <row r="1087">
          <cell r="B1087">
            <v>42492</v>
          </cell>
          <cell r="C1087" t="str">
            <v xml:space="preserve">Book, Periodical, and Newspaper Merchant Wholesalers </v>
          </cell>
        </row>
        <row r="1088">
          <cell r="B1088">
            <v>424920</v>
          </cell>
          <cell r="C1088" t="str">
            <v xml:space="preserve">Book, Periodical, and Newspaper Merchant Wholesalers </v>
          </cell>
        </row>
        <row r="1089">
          <cell r="B1089">
            <v>42493</v>
          </cell>
          <cell r="C1089" t="str">
            <v xml:space="preserve">Flower, Nursery Stock, and Florists' Supplies Merchant Wholesalers </v>
          </cell>
        </row>
        <row r="1090">
          <cell r="B1090">
            <v>424930</v>
          </cell>
          <cell r="C1090" t="str">
            <v xml:space="preserve">Flower, Nursery Stock, and Florists' Supplies Merchant Wholesalers </v>
          </cell>
        </row>
        <row r="1091">
          <cell r="B1091">
            <v>42494</v>
          </cell>
          <cell r="C1091" t="str">
            <v xml:space="preserve">Tobacco and Tobacco Product Merchant Wholesalers </v>
          </cell>
        </row>
        <row r="1092">
          <cell r="B1092">
            <v>424940</v>
          </cell>
          <cell r="C1092" t="str">
            <v xml:space="preserve">Tobacco and Tobacco Product Merchant Wholesalers </v>
          </cell>
        </row>
        <row r="1093">
          <cell r="B1093">
            <v>42495</v>
          </cell>
          <cell r="C1093" t="str">
            <v xml:space="preserve">Paint, Varnish, and Supplies Merchant Wholesalers </v>
          </cell>
        </row>
        <row r="1094">
          <cell r="B1094">
            <v>424950</v>
          </cell>
          <cell r="C1094" t="str">
            <v xml:space="preserve">Paint, Varnish, and Supplies Merchant Wholesalers </v>
          </cell>
        </row>
        <row r="1095">
          <cell r="B1095">
            <v>42499</v>
          </cell>
          <cell r="C1095" t="str">
            <v xml:space="preserve">Other Miscellaneous Nondurable Goods Merchant Wholesalers </v>
          </cell>
        </row>
        <row r="1096">
          <cell r="B1096">
            <v>424990</v>
          </cell>
          <cell r="C1096" t="str">
            <v xml:space="preserve">Other Miscellaneous Nondurable Goods Merchant Wholesalers </v>
          </cell>
        </row>
        <row r="1097">
          <cell r="B1097">
            <v>425</v>
          </cell>
          <cell r="C1097" t="str">
            <v xml:space="preserve">Wholesale Electronic Markets and Agents and Brokers </v>
          </cell>
        </row>
        <row r="1098">
          <cell r="B1098">
            <v>4251</v>
          </cell>
          <cell r="C1098" t="str">
            <v xml:space="preserve">Wholesale Electronic Markets and Agents and Brokers </v>
          </cell>
        </row>
        <row r="1099">
          <cell r="B1099">
            <v>42511</v>
          </cell>
          <cell r="C1099" t="str">
            <v xml:space="preserve">Business to Business Electronic Markets </v>
          </cell>
        </row>
        <row r="1100">
          <cell r="B1100">
            <v>425110</v>
          </cell>
          <cell r="C1100" t="str">
            <v xml:space="preserve">Business to Business Electronic Markets </v>
          </cell>
        </row>
        <row r="1101">
          <cell r="B1101">
            <v>42512</v>
          </cell>
          <cell r="C1101" t="str">
            <v xml:space="preserve">Wholesale Trade Agents and Brokers </v>
          </cell>
        </row>
        <row r="1102">
          <cell r="B1102">
            <v>425120</v>
          </cell>
          <cell r="C1102" t="str">
            <v xml:space="preserve">Wholesale Trade Agents and Brokers </v>
          </cell>
        </row>
        <row r="1103">
          <cell r="B1103"/>
          <cell r="C1103"/>
        </row>
        <row r="1104">
          <cell r="B1104" t="str">
            <v>44-45</v>
          </cell>
          <cell r="C1104" t="str">
            <v>Retail TradeT</v>
          </cell>
        </row>
        <row r="1105">
          <cell r="B1105">
            <v>441</v>
          </cell>
          <cell r="C1105" t="str">
            <v xml:space="preserve">Motor Vehicle and Parts Dealers </v>
          </cell>
        </row>
        <row r="1106">
          <cell r="B1106">
            <v>4411</v>
          </cell>
          <cell r="C1106" t="str">
            <v xml:space="preserve">Automobile Dealers </v>
          </cell>
        </row>
        <row r="1107">
          <cell r="B1107">
            <v>44111</v>
          </cell>
          <cell r="C1107" t="str">
            <v xml:space="preserve">New Car Dealers </v>
          </cell>
        </row>
        <row r="1108">
          <cell r="B1108">
            <v>441110</v>
          </cell>
          <cell r="C1108" t="str">
            <v xml:space="preserve">New Car Dealers </v>
          </cell>
        </row>
        <row r="1109">
          <cell r="B1109">
            <v>44112</v>
          </cell>
          <cell r="C1109" t="str">
            <v xml:space="preserve">Used Car Dealers </v>
          </cell>
        </row>
        <row r="1110">
          <cell r="B1110">
            <v>441120</v>
          </cell>
          <cell r="C1110" t="str">
            <v xml:space="preserve">Used Car Dealers </v>
          </cell>
        </row>
        <row r="1111">
          <cell r="B1111">
            <v>4412</v>
          </cell>
          <cell r="C1111" t="str">
            <v xml:space="preserve">Other Motor Vehicle Dealers </v>
          </cell>
        </row>
        <row r="1112">
          <cell r="B1112">
            <v>44121</v>
          </cell>
          <cell r="C1112" t="str">
            <v xml:space="preserve">Recreational Vehicle Dealers </v>
          </cell>
        </row>
        <row r="1113">
          <cell r="B1113">
            <v>441210</v>
          </cell>
          <cell r="C1113" t="str">
            <v xml:space="preserve">Recreational Vehicle Dealers </v>
          </cell>
        </row>
        <row r="1114">
          <cell r="B1114">
            <v>44122</v>
          </cell>
          <cell r="C1114" t="str">
            <v xml:space="preserve">Motorcycle, Boat, and Other Motor Vehicle Dealers </v>
          </cell>
        </row>
        <row r="1115">
          <cell r="B1115">
            <v>441222</v>
          </cell>
          <cell r="C1115" t="str">
            <v xml:space="preserve">Boat Dealers </v>
          </cell>
        </row>
        <row r="1116">
          <cell r="B1116">
            <v>441228</v>
          </cell>
          <cell r="C1116" t="str">
            <v xml:space="preserve">Motorcycle, ATV, and All Other Motor Vehicle Dealers </v>
          </cell>
        </row>
        <row r="1117">
          <cell r="B1117">
            <v>4413</v>
          </cell>
          <cell r="C1117" t="str">
            <v xml:space="preserve">Automotive Parts, Accessories, and Tire Stores </v>
          </cell>
        </row>
        <row r="1118">
          <cell r="B1118">
            <v>44131</v>
          </cell>
          <cell r="C1118" t="str">
            <v xml:space="preserve">Automotive Parts and Accessories Stores </v>
          </cell>
        </row>
        <row r="1119">
          <cell r="B1119">
            <v>441310</v>
          </cell>
          <cell r="C1119" t="str">
            <v xml:space="preserve">Automotive Parts and Accessories Stores </v>
          </cell>
        </row>
        <row r="1120">
          <cell r="B1120">
            <v>44132</v>
          </cell>
          <cell r="C1120" t="str">
            <v xml:space="preserve">Tire Dealers </v>
          </cell>
        </row>
        <row r="1121">
          <cell r="B1121">
            <v>441320</v>
          </cell>
          <cell r="C1121" t="str">
            <v xml:space="preserve">Tire Dealers </v>
          </cell>
        </row>
        <row r="1122">
          <cell r="B1122">
            <v>442</v>
          </cell>
          <cell r="C1122" t="str">
            <v xml:space="preserve">Furniture and Home Furnishings Stores </v>
          </cell>
        </row>
        <row r="1123">
          <cell r="B1123">
            <v>4421</v>
          </cell>
          <cell r="C1123" t="str">
            <v xml:space="preserve">Furniture Stores </v>
          </cell>
        </row>
        <row r="1124">
          <cell r="B1124">
            <v>44211</v>
          </cell>
          <cell r="C1124" t="str">
            <v xml:space="preserve">Furniture Stores </v>
          </cell>
        </row>
        <row r="1125">
          <cell r="B1125">
            <v>442110</v>
          </cell>
          <cell r="C1125" t="str">
            <v xml:space="preserve">Furniture Stores </v>
          </cell>
        </row>
        <row r="1126">
          <cell r="B1126">
            <v>4422</v>
          </cell>
          <cell r="C1126" t="str">
            <v xml:space="preserve">Home Furnishings Stores </v>
          </cell>
        </row>
        <row r="1127">
          <cell r="B1127">
            <v>44221</v>
          </cell>
          <cell r="C1127" t="str">
            <v xml:space="preserve">Floor Covering Stores </v>
          </cell>
        </row>
        <row r="1128">
          <cell r="B1128">
            <v>442210</v>
          </cell>
          <cell r="C1128" t="str">
            <v xml:space="preserve">Floor Covering Stores </v>
          </cell>
        </row>
        <row r="1129">
          <cell r="B1129">
            <v>44229</v>
          </cell>
          <cell r="C1129" t="str">
            <v xml:space="preserve">Other Home Furnishings Stores </v>
          </cell>
        </row>
        <row r="1130">
          <cell r="B1130">
            <v>442291</v>
          </cell>
          <cell r="C1130" t="str">
            <v xml:space="preserve">Window Treatment Stores </v>
          </cell>
        </row>
        <row r="1131">
          <cell r="B1131">
            <v>442299</v>
          </cell>
          <cell r="C1131" t="str">
            <v xml:space="preserve">All Other Home Furnishings Stores </v>
          </cell>
        </row>
        <row r="1132">
          <cell r="B1132">
            <v>443</v>
          </cell>
          <cell r="C1132" t="str">
            <v xml:space="preserve">Electronics and Appliance Stores </v>
          </cell>
        </row>
        <row r="1133">
          <cell r="B1133">
            <v>4431</v>
          </cell>
          <cell r="C1133" t="str">
            <v xml:space="preserve">Electronics and Appliance Stores </v>
          </cell>
        </row>
        <row r="1134">
          <cell r="B1134">
            <v>44314</v>
          </cell>
          <cell r="C1134" t="str">
            <v xml:space="preserve">Electronics and Appliance Stores </v>
          </cell>
        </row>
        <row r="1135">
          <cell r="B1135">
            <v>443141</v>
          </cell>
          <cell r="C1135" t="str">
            <v xml:space="preserve">Household Appliance Stores </v>
          </cell>
        </row>
        <row r="1136">
          <cell r="B1136">
            <v>443142</v>
          </cell>
          <cell r="C1136" t="str">
            <v xml:space="preserve">Electronics Stores </v>
          </cell>
        </row>
        <row r="1137">
          <cell r="B1137">
            <v>444</v>
          </cell>
          <cell r="C1137" t="str">
            <v xml:space="preserve">Building Material and Garden Equipment and Supplies Dealers </v>
          </cell>
        </row>
        <row r="1138">
          <cell r="B1138">
            <v>4441</v>
          </cell>
          <cell r="C1138" t="str">
            <v xml:space="preserve">Building Material and Supplies Dealers </v>
          </cell>
        </row>
        <row r="1139">
          <cell r="B1139">
            <v>44411</v>
          </cell>
          <cell r="C1139" t="str">
            <v xml:space="preserve">Home Centers </v>
          </cell>
        </row>
        <row r="1140">
          <cell r="B1140">
            <v>444110</v>
          </cell>
          <cell r="C1140" t="str">
            <v xml:space="preserve">Home Centers </v>
          </cell>
        </row>
        <row r="1141">
          <cell r="B1141">
            <v>44412</v>
          </cell>
          <cell r="C1141" t="str">
            <v xml:space="preserve">Paint and Wallpaper Stores </v>
          </cell>
        </row>
        <row r="1142">
          <cell r="B1142">
            <v>444120</v>
          </cell>
          <cell r="C1142" t="str">
            <v xml:space="preserve">Paint and Wallpaper Stores </v>
          </cell>
        </row>
        <row r="1143">
          <cell r="B1143">
            <v>44413</v>
          </cell>
          <cell r="C1143" t="str">
            <v xml:space="preserve">Hardware Stores </v>
          </cell>
        </row>
        <row r="1144">
          <cell r="B1144">
            <v>444130</v>
          </cell>
          <cell r="C1144" t="str">
            <v xml:space="preserve">Hardware Stores </v>
          </cell>
        </row>
        <row r="1145">
          <cell r="B1145">
            <v>44419</v>
          </cell>
          <cell r="C1145" t="str">
            <v xml:space="preserve">Other Building Material Dealers </v>
          </cell>
        </row>
        <row r="1146">
          <cell r="B1146">
            <v>444190</v>
          </cell>
          <cell r="C1146" t="str">
            <v xml:space="preserve">Other Building Material Dealers </v>
          </cell>
        </row>
        <row r="1147">
          <cell r="B1147">
            <v>4442</v>
          </cell>
          <cell r="C1147" t="str">
            <v xml:space="preserve">Lawn and Garden Equipment and Supplies Stores </v>
          </cell>
        </row>
        <row r="1148">
          <cell r="B1148">
            <v>44421</v>
          </cell>
          <cell r="C1148" t="str">
            <v xml:space="preserve">Outdoor Power Equipment Stores </v>
          </cell>
        </row>
        <row r="1149">
          <cell r="B1149">
            <v>444210</v>
          </cell>
          <cell r="C1149" t="str">
            <v xml:space="preserve">Outdoor Power Equipment Stores </v>
          </cell>
        </row>
        <row r="1150">
          <cell r="B1150">
            <v>44422</v>
          </cell>
          <cell r="C1150" t="str">
            <v xml:space="preserve">Nursery, Garden Center, and Farm Supply Stores </v>
          </cell>
        </row>
        <row r="1151">
          <cell r="B1151">
            <v>444220</v>
          </cell>
          <cell r="C1151" t="str">
            <v xml:space="preserve">Nursery, Garden Center, and Farm Supply Stores </v>
          </cell>
        </row>
        <row r="1152">
          <cell r="B1152">
            <v>445</v>
          </cell>
          <cell r="C1152" t="str">
            <v xml:space="preserve">Food and Beverage Stores </v>
          </cell>
        </row>
        <row r="1153">
          <cell r="B1153">
            <v>4451</v>
          </cell>
          <cell r="C1153" t="str">
            <v xml:space="preserve">Grocery Stores </v>
          </cell>
        </row>
        <row r="1154">
          <cell r="B1154">
            <v>44511</v>
          </cell>
          <cell r="C1154" t="str">
            <v xml:space="preserve">Supermarkets and Other Grocery (except Convenience) Stores </v>
          </cell>
        </row>
        <row r="1155">
          <cell r="B1155">
            <v>445110</v>
          </cell>
          <cell r="C1155" t="str">
            <v xml:space="preserve">Supermarkets and Other Grocery (except Convenience) Stores </v>
          </cell>
        </row>
        <row r="1156">
          <cell r="B1156">
            <v>44512</v>
          </cell>
          <cell r="C1156" t="str">
            <v xml:space="preserve">Convenience Stores </v>
          </cell>
        </row>
        <row r="1157">
          <cell r="B1157">
            <v>445120</v>
          </cell>
          <cell r="C1157" t="str">
            <v xml:space="preserve">Convenience Stores </v>
          </cell>
        </row>
        <row r="1158">
          <cell r="B1158">
            <v>4452</v>
          </cell>
          <cell r="C1158" t="str">
            <v xml:space="preserve">Specialty Food Stores </v>
          </cell>
        </row>
        <row r="1159">
          <cell r="B1159">
            <v>44521</v>
          </cell>
          <cell r="C1159" t="str">
            <v xml:space="preserve">Meat Markets </v>
          </cell>
        </row>
        <row r="1160">
          <cell r="B1160">
            <v>445210</v>
          </cell>
          <cell r="C1160" t="str">
            <v xml:space="preserve">Meat Markets </v>
          </cell>
        </row>
        <row r="1161">
          <cell r="B1161">
            <v>44522</v>
          </cell>
          <cell r="C1161" t="str">
            <v xml:space="preserve">Fish and Seafood Markets </v>
          </cell>
        </row>
        <row r="1162">
          <cell r="B1162">
            <v>445220</v>
          </cell>
          <cell r="C1162" t="str">
            <v xml:space="preserve">Fish and Seafood Markets </v>
          </cell>
        </row>
        <row r="1163">
          <cell r="B1163">
            <v>44523</v>
          </cell>
          <cell r="C1163" t="str">
            <v xml:space="preserve">Fruit and Vegetable Markets </v>
          </cell>
        </row>
        <row r="1164">
          <cell r="B1164">
            <v>445230</v>
          </cell>
          <cell r="C1164" t="str">
            <v xml:space="preserve">Fruit and Vegetable Markets </v>
          </cell>
        </row>
        <row r="1165">
          <cell r="B1165">
            <v>44529</v>
          </cell>
          <cell r="C1165" t="str">
            <v xml:space="preserve">Other Specialty Food Stores </v>
          </cell>
        </row>
        <row r="1166">
          <cell r="B1166">
            <v>445291</v>
          </cell>
          <cell r="C1166" t="str">
            <v xml:space="preserve">Baked Goods Stores </v>
          </cell>
        </row>
        <row r="1167">
          <cell r="B1167">
            <v>445292</v>
          </cell>
          <cell r="C1167" t="str">
            <v xml:space="preserve">Confectionery and Nut Stores </v>
          </cell>
        </row>
        <row r="1168">
          <cell r="B1168">
            <v>445299</v>
          </cell>
          <cell r="C1168" t="str">
            <v xml:space="preserve">All Other Specialty Food Stores </v>
          </cell>
        </row>
        <row r="1169">
          <cell r="B1169">
            <v>4453</v>
          </cell>
          <cell r="C1169" t="str">
            <v xml:space="preserve">Beer, Wine, and Liquor Stores </v>
          </cell>
        </row>
        <row r="1170">
          <cell r="B1170">
            <v>44531</v>
          </cell>
          <cell r="C1170" t="str">
            <v xml:space="preserve">Beer, Wine, and Liquor Stores </v>
          </cell>
        </row>
        <row r="1171">
          <cell r="B1171">
            <v>445310</v>
          </cell>
          <cell r="C1171" t="str">
            <v xml:space="preserve">Beer, Wine, and Liquor Stores </v>
          </cell>
        </row>
        <row r="1172">
          <cell r="B1172">
            <v>446</v>
          </cell>
          <cell r="C1172" t="str">
            <v xml:space="preserve">Health and Personal Care Stores </v>
          </cell>
        </row>
        <row r="1173">
          <cell r="B1173">
            <v>4461</v>
          </cell>
          <cell r="C1173" t="str">
            <v xml:space="preserve">Health and Personal Care Stores </v>
          </cell>
        </row>
        <row r="1174">
          <cell r="B1174">
            <v>44611</v>
          </cell>
          <cell r="C1174" t="str">
            <v xml:space="preserve">Pharmacies and Drug Stores </v>
          </cell>
        </row>
        <row r="1175">
          <cell r="B1175">
            <v>446110</v>
          </cell>
          <cell r="C1175" t="str">
            <v xml:space="preserve">Pharmacies and Drug Stores </v>
          </cell>
        </row>
        <row r="1176">
          <cell r="B1176">
            <v>44612</v>
          </cell>
          <cell r="C1176" t="str">
            <v xml:space="preserve">Cosmetics, Beauty Supplies, and Perfume Stores </v>
          </cell>
        </row>
        <row r="1177">
          <cell r="B1177">
            <v>446120</v>
          </cell>
          <cell r="C1177" t="str">
            <v xml:space="preserve">Cosmetics, Beauty Supplies, and Perfume Stores </v>
          </cell>
        </row>
        <row r="1178">
          <cell r="B1178">
            <v>44613</v>
          </cell>
          <cell r="C1178" t="str">
            <v xml:space="preserve">Optical Goods Stores </v>
          </cell>
        </row>
        <row r="1179">
          <cell r="B1179">
            <v>446130</v>
          </cell>
          <cell r="C1179" t="str">
            <v xml:space="preserve">Optical Goods Stores </v>
          </cell>
        </row>
        <row r="1180">
          <cell r="B1180">
            <v>44619</v>
          </cell>
          <cell r="C1180" t="str">
            <v xml:space="preserve">Other Health and Personal Care Stores </v>
          </cell>
        </row>
        <row r="1181">
          <cell r="B1181">
            <v>446191</v>
          </cell>
          <cell r="C1181" t="str">
            <v xml:space="preserve">Food (Health) Supplement Stores </v>
          </cell>
        </row>
        <row r="1182">
          <cell r="B1182">
            <v>446199</v>
          </cell>
          <cell r="C1182" t="str">
            <v xml:space="preserve">All Other Health and Personal Care Stores </v>
          </cell>
        </row>
        <row r="1183">
          <cell r="B1183">
            <v>447</v>
          </cell>
          <cell r="C1183" t="str">
            <v xml:space="preserve">Gasoline Stations </v>
          </cell>
        </row>
        <row r="1184">
          <cell r="B1184">
            <v>4471</v>
          </cell>
          <cell r="C1184" t="str">
            <v xml:space="preserve">Gasoline Stations </v>
          </cell>
        </row>
        <row r="1185">
          <cell r="B1185">
            <v>44711</v>
          </cell>
          <cell r="C1185" t="str">
            <v xml:space="preserve">Gasoline Stations with Convenience Stores </v>
          </cell>
        </row>
        <row r="1186">
          <cell r="B1186">
            <v>447110</v>
          </cell>
          <cell r="C1186" t="str">
            <v xml:space="preserve">Gasoline Stations with Convenience Stores </v>
          </cell>
        </row>
        <row r="1187">
          <cell r="B1187">
            <v>44719</v>
          </cell>
          <cell r="C1187" t="str">
            <v xml:space="preserve">Other Gasoline Stations </v>
          </cell>
        </row>
        <row r="1188">
          <cell r="B1188">
            <v>447190</v>
          </cell>
          <cell r="C1188" t="str">
            <v xml:space="preserve">Other Gasoline Stations </v>
          </cell>
        </row>
        <row r="1189">
          <cell r="B1189">
            <v>448</v>
          </cell>
          <cell r="C1189" t="str">
            <v xml:space="preserve">Clothing and Clothing Accessories Stores </v>
          </cell>
        </row>
        <row r="1190">
          <cell r="B1190">
            <v>4481</v>
          </cell>
          <cell r="C1190" t="str">
            <v xml:space="preserve">Clothing Stores </v>
          </cell>
        </row>
        <row r="1191">
          <cell r="B1191">
            <v>44811</v>
          </cell>
          <cell r="C1191" t="str">
            <v xml:space="preserve">Men's Clothing Stores </v>
          </cell>
        </row>
        <row r="1192">
          <cell r="B1192">
            <v>448110</v>
          </cell>
          <cell r="C1192" t="str">
            <v xml:space="preserve">Men's Clothing Stores </v>
          </cell>
        </row>
        <row r="1193">
          <cell r="B1193">
            <v>44812</v>
          </cell>
          <cell r="C1193" t="str">
            <v xml:space="preserve">Women's Clothing Stores </v>
          </cell>
        </row>
        <row r="1194">
          <cell r="B1194">
            <v>448120</v>
          </cell>
          <cell r="C1194" t="str">
            <v xml:space="preserve">Women's Clothing Stores </v>
          </cell>
        </row>
        <row r="1195">
          <cell r="B1195">
            <v>44813</v>
          </cell>
          <cell r="C1195" t="str">
            <v xml:space="preserve">Children's and Infants' Clothing Stores </v>
          </cell>
        </row>
        <row r="1196">
          <cell r="B1196">
            <v>448130</v>
          </cell>
          <cell r="C1196" t="str">
            <v xml:space="preserve">Children's and Infants' Clothing Stores </v>
          </cell>
        </row>
        <row r="1197">
          <cell r="B1197">
            <v>44814</v>
          </cell>
          <cell r="C1197" t="str">
            <v xml:space="preserve">Family Clothing Stores </v>
          </cell>
        </row>
        <row r="1198">
          <cell r="B1198">
            <v>448140</v>
          </cell>
          <cell r="C1198" t="str">
            <v xml:space="preserve">Family Clothing Stores </v>
          </cell>
        </row>
        <row r="1199">
          <cell r="B1199">
            <v>44815</v>
          </cell>
          <cell r="C1199" t="str">
            <v xml:space="preserve">Clothing Accessories Stores </v>
          </cell>
        </row>
        <row r="1200">
          <cell r="B1200">
            <v>448150</v>
          </cell>
          <cell r="C1200" t="str">
            <v xml:space="preserve">Clothing Accessories Stores </v>
          </cell>
        </row>
        <row r="1201">
          <cell r="B1201">
            <v>44819</v>
          </cell>
          <cell r="C1201" t="str">
            <v xml:space="preserve">Other Clothing Stores </v>
          </cell>
        </row>
        <row r="1202">
          <cell r="B1202">
            <v>448190</v>
          </cell>
          <cell r="C1202" t="str">
            <v xml:space="preserve">Other Clothing Stores </v>
          </cell>
        </row>
        <row r="1203">
          <cell r="B1203">
            <v>4482</v>
          </cell>
          <cell r="C1203" t="str">
            <v xml:space="preserve">Shoe Stores </v>
          </cell>
        </row>
        <row r="1204">
          <cell r="B1204">
            <v>44821</v>
          </cell>
          <cell r="C1204" t="str">
            <v xml:space="preserve">Shoe Stores </v>
          </cell>
        </row>
        <row r="1205">
          <cell r="B1205">
            <v>448210</v>
          </cell>
          <cell r="C1205" t="str">
            <v xml:space="preserve">Shoe Stores </v>
          </cell>
        </row>
        <row r="1206">
          <cell r="B1206">
            <v>4483</v>
          </cell>
          <cell r="C1206" t="str">
            <v xml:space="preserve">Jewelry, Luggage, and Leather Goods Stores </v>
          </cell>
        </row>
        <row r="1207">
          <cell r="B1207">
            <v>44831</v>
          </cell>
          <cell r="C1207" t="str">
            <v xml:space="preserve">Jewelry Stores </v>
          </cell>
        </row>
        <row r="1208">
          <cell r="B1208">
            <v>448310</v>
          </cell>
          <cell r="C1208" t="str">
            <v xml:space="preserve">Jewelry Stores </v>
          </cell>
        </row>
        <row r="1209">
          <cell r="B1209">
            <v>44832</v>
          </cell>
          <cell r="C1209" t="str">
            <v xml:space="preserve">Luggage and Leather Goods Stores </v>
          </cell>
        </row>
        <row r="1210">
          <cell r="B1210">
            <v>448320</v>
          </cell>
          <cell r="C1210" t="str">
            <v xml:space="preserve">Luggage and Leather Goods Stores </v>
          </cell>
        </row>
        <row r="1211">
          <cell r="B1211">
            <v>451</v>
          </cell>
          <cell r="C1211" t="str">
            <v xml:space="preserve">Sporting Goods, Hobby, Musical Instrument, and Book Stores </v>
          </cell>
        </row>
        <row r="1212">
          <cell r="B1212">
            <v>4511</v>
          </cell>
          <cell r="C1212" t="str">
            <v xml:space="preserve">Sporting Goods, Hobby, and Musical Instrument Stores </v>
          </cell>
        </row>
        <row r="1213">
          <cell r="B1213">
            <v>45111</v>
          </cell>
          <cell r="C1213" t="str">
            <v xml:space="preserve">Sporting Goods Stores </v>
          </cell>
        </row>
        <row r="1214">
          <cell r="B1214">
            <v>451110</v>
          </cell>
          <cell r="C1214" t="str">
            <v xml:space="preserve">Sporting Goods Stores </v>
          </cell>
        </row>
        <row r="1215">
          <cell r="B1215">
            <v>45112</v>
          </cell>
          <cell r="C1215" t="str">
            <v xml:space="preserve">Hobby, Toy, and Game Stores </v>
          </cell>
        </row>
        <row r="1216">
          <cell r="B1216">
            <v>451120</v>
          </cell>
          <cell r="C1216" t="str">
            <v xml:space="preserve">Hobby, Toy, and Game Stores </v>
          </cell>
        </row>
        <row r="1217">
          <cell r="B1217">
            <v>45113</v>
          </cell>
          <cell r="C1217" t="str">
            <v xml:space="preserve">Sewing, Needlework, and Piece Goods Stores </v>
          </cell>
        </row>
        <row r="1218">
          <cell r="B1218">
            <v>451130</v>
          </cell>
          <cell r="C1218" t="str">
            <v xml:space="preserve">Sewing, Needlework, and Piece Goods Stores </v>
          </cell>
        </row>
        <row r="1219">
          <cell r="B1219">
            <v>45114</v>
          </cell>
          <cell r="C1219" t="str">
            <v xml:space="preserve">Musical Instrument and Supplies Stores </v>
          </cell>
        </row>
        <row r="1220">
          <cell r="B1220">
            <v>451140</v>
          </cell>
          <cell r="C1220" t="str">
            <v xml:space="preserve">Musical Instrument and Supplies Stores </v>
          </cell>
        </row>
        <row r="1221">
          <cell r="B1221">
            <v>4512</v>
          </cell>
          <cell r="C1221" t="str">
            <v xml:space="preserve">Book Stores and News Dealers </v>
          </cell>
        </row>
        <row r="1222">
          <cell r="B1222">
            <v>45121</v>
          </cell>
          <cell r="C1222" t="str">
            <v xml:space="preserve">Book Stores and News Dealers </v>
          </cell>
        </row>
        <row r="1223">
          <cell r="B1223">
            <v>451211</v>
          </cell>
          <cell r="C1223" t="str">
            <v xml:space="preserve">Book Stores </v>
          </cell>
        </row>
        <row r="1224">
          <cell r="B1224">
            <v>451212</v>
          </cell>
          <cell r="C1224" t="str">
            <v xml:space="preserve">News Dealers and Newsstands </v>
          </cell>
        </row>
        <row r="1225">
          <cell r="B1225">
            <v>452</v>
          </cell>
          <cell r="C1225" t="str">
            <v xml:space="preserve">General Merchandise Stores </v>
          </cell>
        </row>
        <row r="1226">
          <cell r="B1226">
            <v>4521</v>
          </cell>
          <cell r="C1226" t="str">
            <v xml:space="preserve">Department Stores </v>
          </cell>
        </row>
        <row r="1227">
          <cell r="B1227">
            <v>45211</v>
          </cell>
          <cell r="C1227" t="str">
            <v xml:space="preserve">Department Stores </v>
          </cell>
        </row>
        <row r="1228">
          <cell r="B1228">
            <v>452111</v>
          </cell>
          <cell r="C1228" t="str">
            <v xml:space="preserve">Department Stores (except Discount Department Stores) </v>
          </cell>
        </row>
        <row r="1229">
          <cell r="B1229">
            <v>452112</v>
          </cell>
          <cell r="C1229" t="str">
            <v xml:space="preserve">Discount Department Stores </v>
          </cell>
        </row>
        <row r="1230">
          <cell r="B1230">
            <v>4529</v>
          </cell>
          <cell r="C1230" t="str">
            <v xml:space="preserve">Other General Merchandise Stores </v>
          </cell>
        </row>
        <row r="1231">
          <cell r="B1231">
            <v>45291</v>
          </cell>
          <cell r="C1231" t="str">
            <v xml:space="preserve">Warehouse Clubs and Supercenters </v>
          </cell>
        </row>
        <row r="1232">
          <cell r="B1232">
            <v>452910</v>
          </cell>
          <cell r="C1232" t="str">
            <v xml:space="preserve">Warehouse Clubs and Supercenters </v>
          </cell>
        </row>
        <row r="1233">
          <cell r="B1233">
            <v>45299</v>
          </cell>
          <cell r="C1233" t="str">
            <v xml:space="preserve">All Other General Merchandise Stores </v>
          </cell>
        </row>
        <row r="1234">
          <cell r="B1234">
            <v>452990</v>
          </cell>
          <cell r="C1234" t="str">
            <v xml:space="preserve">All Other General Merchandise Stores </v>
          </cell>
        </row>
        <row r="1235">
          <cell r="B1235">
            <v>453</v>
          </cell>
          <cell r="C1235" t="str">
            <v xml:space="preserve">Miscellaneous Store Retailers </v>
          </cell>
        </row>
        <row r="1236">
          <cell r="B1236">
            <v>4531</v>
          </cell>
          <cell r="C1236" t="str">
            <v xml:space="preserve">Florists </v>
          </cell>
        </row>
        <row r="1237">
          <cell r="B1237">
            <v>45311</v>
          </cell>
          <cell r="C1237" t="str">
            <v xml:space="preserve">Florists </v>
          </cell>
        </row>
        <row r="1238">
          <cell r="B1238">
            <v>453110</v>
          </cell>
          <cell r="C1238" t="str">
            <v xml:space="preserve">Florists </v>
          </cell>
        </row>
        <row r="1239">
          <cell r="B1239">
            <v>4532</v>
          </cell>
          <cell r="C1239" t="str">
            <v xml:space="preserve">Office Supplies, Stationery, and Gift Stores </v>
          </cell>
        </row>
        <row r="1240">
          <cell r="B1240">
            <v>45321</v>
          </cell>
          <cell r="C1240" t="str">
            <v xml:space="preserve">Office Supplies and Stationery Stores </v>
          </cell>
        </row>
        <row r="1241">
          <cell r="B1241">
            <v>453210</v>
          </cell>
          <cell r="C1241" t="str">
            <v xml:space="preserve">Office Supplies and Stationery Stores </v>
          </cell>
        </row>
        <row r="1242">
          <cell r="B1242">
            <v>45322</v>
          </cell>
          <cell r="C1242" t="str">
            <v xml:space="preserve">Gift, Novelty, and Souvenir Stores </v>
          </cell>
        </row>
        <row r="1243">
          <cell r="B1243">
            <v>453220</v>
          </cell>
          <cell r="C1243" t="str">
            <v xml:space="preserve">Gift, Novelty, and Souvenir Stores </v>
          </cell>
        </row>
        <row r="1244">
          <cell r="B1244">
            <v>4533</v>
          </cell>
          <cell r="C1244" t="str">
            <v xml:space="preserve">Used Merchandise Stores </v>
          </cell>
        </row>
        <row r="1245">
          <cell r="B1245">
            <v>45331</v>
          </cell>
          <cell r="C1245" t="str">
            <v xml:space="preserve">Used Merchandise Stores </v>
          </cell>
        </row>
        <row r="1246">
          <cell r="B1246">
            <v>453310</v>
          </cell>
          <cell r="C1246" t="str">
            <v xml:space="preserve">Used Merchandise Stores </v>
          </cell>
        </row>
        <row r="1247">
          <cell r="B1247">
            <v>4539</v>
          </cell>
          <cell r="C1247" t="str">
            <v xml:space="preserve">Other Miscellaneous Store Retailers </v>
          </cell>
        </row>
        <row r="1248">
          <cell r="B1248">
            <v>45391</v>
          </cell>
          <cell r="C1248" t="str">
            <v xml:space="preserve">Pet and Pet Supplies Stores </v>
          </cell>
        </row>
        <row r="1249">
          <cell r="B1249">
            <v>453910</v>
          </cell>
          <cell r="C1249" t="str">
            <v xml:space="preserve">Pet and Pet Supplies Stores </v>
          </cell>
        </row>
        <row r="1250">
          <cell r="B1250">
            <v>45392</v>
          </cell>
          <cell r="C1250" t="str">
            <v xml:space="preserve">Art Dealers </v>
          </cell>
        </row>
        <row r="1251">
          <cell r="B1251">
            <v>453920</v>
          </cell>
          <cell r="C1251" t="str">
            <v xml:space="preserve">Art Dealers </v>
          </cell>
        </row>
        <row r="1252">
          <cell r="B1252">
            <v>45393</v>
          </cell>
          <cell r="C1252" t="str">
            <v xml:space="preserve">Manufactured (Mobile) Home Dealers </v>
          </cell>
        </row>
        <row r="1253">
          <cell r="B1253">
            <v>453930</v>
          </cell>
          <cell r="C1253" t="str">
            <v xml:space="preserve">Manufactured (Mobile) Home Dealers </v>
          </cell>
        </row>
        <row r="1254">
          <cell r="B1254">
            <v>45399</v>
          </cell>
          <cell r="C1254" t="str">
            <v xml:space="preserve">All Other Miscellaneous Store Retailers </v>
          </cell>
        </row>
        <row r="1255">
          <cell r="B1255">
            <v>453991</v>
          </cell>
          <cell r="C1255" t="str">
            <v xml:space="preserve">Tobacco Stores </v>
          </cell>
        </row>
        <row r="1256">
          <cell r="B1256">
            <v>453998</v>
          </cell>
          <cell r="C1256" t="str">
            <v xml:space="preserve">All Other Miscellaneous Store Retailers (except Tobacco Stores) </v>
          </cell>
        </row>
        <row r="1257">
          <cell r="B1257">
            <v>454</v>
          </cell>
          <cell r="C1257" t="str">
            <v xml:space="preserve">Nonstore Retailers </v>
          </cell>
        </row>
        <row r="1258">
          <cell r="B1258">
            <v>4541</v>
          </cell>
          <cell r="C1258" t="str">
            <v xml:space="preserve">Electronic Shopping and Mail-Order Houses </v>
          </cell>
        </row>
        <row r="1259">
          <cell r="B1259">
            <v>45411</v>
          </cell>
          <cell r="C1259" t="str">
            <v xml:space="preserve">Electronic Shopping and Mail-Order Houses </v>
          </cell>
        </row>
        <row r="1260">
          <cell r="B1260">
            <v>454111</v>
          </cell>
          <cell r="C1260" t="str">
            <v xml:space="preserve">Electronic Shopping </v>
          </cell>
        </row>
        <row r="1261">
          <cell r="B1261">
            <v>454112</v>
          </cell>
          <cell r="C1261" t="str">
            <v xml:space="preserve">Electronic Auctions </v>
          </cell>
        </row>
        <row r="1262">
          <cell r="B1262">
            <v>454113</v>
          </cell>
          <cell r="C1262" t="str">
            <v xml:space="preserve">Mail-Order Houses </v>
          </cell>
        </row>
        <row r="1263">
          <cell r="B1263">
            <v>4542</v>
          </cell>
          <cell r="C1263" t="str">
            <v xml:space="preserve">Vending Machine Operators </v>
          </cell>
        </row>
        <row r="1264">
          <cell r="B1264">
            <v>45421</v>
          </cell>
          <cell r="C1264" t="str">
            <v xml:space="preserve">Vending Machine Operators </v>
          </cell>
        </row>
        <row r="1265">
          <cell r="B1265">
            <v>454210</v>
          </cell>
          <cell r="C1265" t="str">
            <v xml:space="preserve">Vending Machine Operators </v>
          </cell>
        </row>
        <row r="1266">
          <cell r="B1266">
            <v>4543</v>
          </cell>
          <cell r="C1266" t="str">
            <v xml:space="preserve">Direct Selling Establishments </v>
          </cell>
        </row>
        <row r="1267">
          <cell r="B1267">
            <v>45431</v>
          </cell>
          <cell r="C1267" t="str">
            <v xml:space="preserve">Fuel Dealers </v>
          </cell>
        </row>
        <row r="1268">
          <cell r="B1268">
            <v>454310</v>
          </cell>
          <cell r="C1268" t="str">
            <v xml:space="preserve">Fuel Dealers </v>
          </cell>
        </row>
        <row r="1269">
          <cell r="B1269">
            <v>45439</v>
          </cell>
          <cell r="C1269" t="str">
            <v xml:space="preserve">Other Direct Selling Establishments </v>
          </cell>
        </row>
        <row r="1270">
          <cell r="B1270">
            <v>454390</v>
          </cell>
          <cell r="C1270" t="str">
            <v xml:space="preserve">Other Direct Selling Establishments </v>
          </cell>
        </row>
        <row r="1271">
          <cell r="B1271"/>
          <cell r="C1271"/>
        </row>
        <row r="1272">
          <cell r="B1272" t="str">
            <v>48-49</v>
          </cell>
          <cell r="C1272" t="str">
            <v>Transportation and WarehousingT</v>
          </cell>
        </row>
        <row r="1273">
          <cell r="B1273">
            <v>481</v>
          </cell>
          <cell r="C1273" t="str">
            <v xml:space="preserve">Air TransportationT </v>
          </cell>
        </row>
        <row r="1274">
          <cell r="B1274">
            <v>4811</v>
          </cell>
          <cell r="C1274" t="str">
            <v xml:space="preserve">Scheduled Air TransportationT </v>
          </cell>
        </row>
        <row r="1275">
          <cell r="B1275">
            <v>48111</v>
          </cell>
          <cell r="C1275" t="str">
            <v xml:space="preserve">Scheduled Air TransportationT </v>
          </cell>
        </row>
        <row r="1276">
          <cell r="B1276">
            <v>481111</v>
          </cell>
          <cell r="C1276" t="str">
            <v xml:space="preserve">Scheduled Passenger Air Transportation </v>
          </cell>
        </row>
        <row r="1277">
          <cell r="B1277">
            <v>481112</v>
          </cell>
          <cell r="C1277" t="str">
            <v xml:space="preserve">Scheduled Freight Air Transportation </v>
          </cell>
        </row>
        <row r="1278">
          <cell r="B1278">
            <v>4812</v>
          </cell>
          <cell r="C1278" t="str">
            <v xml:space="preserve">Nonscheduled Air TransportationT </v>
          </cell>
        </row>
        <row r="1279">
          <cell r="B1279">
            <v>48121</v>
          </cell>
          <cell r="C1279" t="str">
            <v xml:space="preserve">Nonscheduled Air TransportationT </v>
          </cell>
        </row>
        <row r="1280">
          <cell r="B1280">
            <v>481211</v>
          </cell>
          <cell r="C1280" t="str">
            <v xml:space="preserve">Nonscheduled Chartered Passenger Air Transportation </v>
          </cell>
        </row>
        <row r="1281">
          <cell r="B1281">
            <v>481212</v>
          </cell>
          <cell r="C1281" t="str">
            <v xml:space="preserve">Nonscheduled Chartered Freight Air Transportation </v>
          </cell>
        </row>
        <row r="1282">
          <cell r="B1282">
            <v>481219</v>
          </cell>
          <cell r="C1282" t="str">
            <v xml:space="preserve">Other Nonscheduled Air Transportation </v>
          </cell>
        </row>
        <row r="1283">
          <cell r="B1283">
            <v>482</v>
          </cell>
          <cell r="C1283" t="str">
            <v xml:space="preserve">Rail TransportationT </v>
          </cell>
        </row>
        <row r="1284">
          <cell r="B1284">
            <v>4821</v>
          </cell>
          <cell r="C1284" t="str">
            <v xml:space="preserve">Rail TransportationT </v>
          </cell>
        </row>
        <row r="1285">
          <cell r="B1285">
            <v>48211</v>
          </cell>
          <cell r="C1285" t="str">
            <v xml:space="preserve">Rail TransportationT </v>
          </cell>
        </row>
        <row r="1286">
          <cell r="B1286">
            <v>482111</v>
          </cell>
          <cell r="C1286" t="str">
            <v xml:space="preserve">Line-Haul Railroads </v>
          </cell>
        </row>
        <row r="1287">
          <cell r="B1287">
            <v>482112</v>
          </cell>
          <cell r="C1287" t="str">
            <v xml:space="preserve">Short Line Railroads </v>
          </cell>
        </row>
        <row r="1288">
          <cell r="B1288">
            <v>483</v>
          </cell>
          <cell r="C1288" t="str">
            <v xml:space="preserve">Water TransportationT </v>
          </cell>
        </row>
        <row r="1289">
          <cell r="B1289">
            <v>4831</v>
          </cell>
          <cell r="C1289" t="str">
            <v xml:space="preserve">Deep Sea, Coastal, and Great Lakes Water TransportationT </v>
          </cell>
        </row>
        <row r="1290">
          <cell r="B1290">
            <v>48311</v>
          </cell>
          <cell r="C1290" t="str">
            <v xml:space="preserve">Deep Sea, Coastal, and Great Lakes Water TransportationT </v>
          </cell>
        </row>
        <row r="1291">
          <cell r="B1291">
            <v>483111</v>
          </cell>
          <cell r="C1291" t="str">
            <v xml:space="preserve">Deep Sea Freight Transportation </v>
          </cell>
        </row>
        <row r="1292">
          <cell r="B1292">
            <v>483112</v>
          </cell>
          <cell r="C1292" t="str">
            <v xml:space="preserve">Deep Sea Passenger Transportation </v>
          </cell>
        </row>
        <row r="1293">
          <cell r="B1293">
            <v>483113</v>
          </cell>
          <cell r="C1293" t="str">
            <v xml:space="preserve">Coastal and Great Lakes Freight Transportation </v>
          </cell>
        </row>
        <row r="1294">
          <cell r="B1294">
            <v>483114</v>
          </cell>
          <cell r="C1294" t="str">
            <v xml:space="preserve">Coastal and Great Lakes Passenger Transportation </v>
          </cell>
        </row>
        <row r="1295">
          <cell r="B1295">
            <v>4832</v>
          </cell>
          <cell r="C1295" t="str">
            <v xml:space="preserve">Inland Water TransportationT </v>
          </cell>
        </row>
        <row r="1296">
          <cell r="B1296">
            <v>48321</v>
          </cell>
          <cell r="C1296" t="str">
            <v xml:space="preserve">Inland Water TransportationT </v>
          </cell>
        </row>
        <row r="1297">
          <cell r="B1297">
            <v>483211</v>
          </cell>
          <cell r="C1297" t="str">
            <v xml:space="preserve">Inland Water Freight Transportation </v>
          </cell>
        </row>
        <row r="1298">
          <cell r="B1298">
            <v>483212</v>
          </cell>
          <cell r="C1298" t="str">
            <v xml:space="preserve">Inland Water Passenger Transportation </v>
          </cell>
        </row>
        <row r="1299">
          <cell r="B1299">
            <v>484</v>
          </cell>
          <cell r="C1299" t="str">
            <v xml:space="preserve">Truck TransportationT </v>
          </cell>
        </row>
        <row r="1300">
          <cell r="B1300">
            <v>4841</v>
          </cell>
          <cell r="C1300" t="str">
            <v xml:space="preserve">General Freight TruckingT </v>
          </cell>
        </row>
        <row r="1301">
          <cell r="B1301">
            <v>48411</v>
          </cell>
          <cell r="C1301" t="str">
            <v xml:space="preserve">General Freight Trucking, LocalT </v>
          </cell>
        </row>
        <row r="1302">
          <cell r="B1302">
            <v>484110</v>
          </cell>
          <cell r="C1302" t="str">
            <v xml:space="preserve">General Freight Trucking, Local </v>
          </cell>
        </row>
        <row r="1303">
          <cell r="B1303">
            <v>48412</v>
          </cell>
          <cell r="C1303" t="str">
            <v xml:space="preserve">General Freight Trucking, Long-DistanceT </v>
          </cell>
        </row>
        <row r="1304">
          <cell r="B1304">
            <v>484121</v>
          </cell>
          <cell r="C1304" t="str">
            <v xml:space="preserve">General Freight Trucking, Long-Distance, Truckload </v>
          </cell>
        </row>
        <row r="1305">
          <cell r="B1305">
            <v>484122</v>
          </cell>
          <cell r="C1305" t="str">
            <v xml:space="preserve">General Freight Trucking, Long-Distance, Less Than Truckload </v>
          </cell>
        </row>
        <row r="1306">
          <cell r="B1306">
            <v>4842</v>
          </cell>
          <cell r="C1306" t="str">
            <v xml:space="preserve">Specialized Freight TruckingT </v>
          </cell>
        </row>
        <row r="1307">
          <cell r="B1307">
            <v>48421</v>
          </cell>
          <cell r="C1307" t="str">
            <v xml:space="preserve">Used Household and Office Goods MovingT </v>
          </cell>
        </row>
        <row r="1308">
          <cell r="B1308">
            <v>484210</v>
          </cell>
          <cell r="C1308" t="str">
            <v>Used Household and Office Goods Moving</v>
          </cell>
        </row>
        <row r="1309">
          <cell r="B1309">
            <v>48422</v>
          </cell>
          <cell r="C1309" t="str">
            <v xml:space="preserve">Specialized Freight (except Used Goods) Trucking, LocalT </v>
          </cell>
        </row>
        <row r="1310">
          <cell r="B1310">
            <v>484220</v>
          </cell>
          <cell r="C1310" t="str">
            <v xml:space="preserve">Specialized Freight (except Used Goods) Trucking, Local </v>
          </cell>
        </row>
        <row r="1311">
          <cell r="B1311">
            <v>48423</v>
          </cell>
          <cell r="C1311" t="str">
            <v xml:space="preserve">Specialized Freight (except Used Goods) Trucking, Long-DistanceT </v>
          </cell>
        </row>
        <row r="1312">
          <cell r="B1312">
            <v>484230</v>
          </cell>
          <cell r="C1312" t="str">
            <v xml:space="preserve">Specialized Freight (except Used Goods) Trucking, Long-Distance </v>
          </cell>
        </row>
        <row r="1313">
          <cell r="B1313">
            <v>485</v>
          </cell>
          <cell r="C1313" t="str">
            <v xml:space="preserve">Transit and Ground Passenger TransportationT </v>
          </cell>
        </row>
        <row r="1314">
          <cell r="B1314">
            <v>4851</v>
          </cell>
          <cell r="C1314" t="str">
            <v xml:space="preserve">Urban Transit SystemsT </v>
          </cell>
        </row>
        <row r="1315">
          <cell r="B1315">
            <v>48511</v>
          </cell>
          <cell r="C1315" t="str">
            <v xml:space="preserve">Urban Transit SystemsT </v>
          </cell>
        </row>
        <row r="1316">
          <cell r="B1316">
            <v>485111</v>
          </cell>
          <cell r="C1316" t="str">
            <v xml:space="preserve">Mixed Mode Transit Systems </v>
          </cell>
        </row>
        <row r="1317">
          <cell r="B1317">
            <v>485112</v>
          </cell>
          <cell r="C1317" t="str">
            <v xml:space="preserve">Commuter Rail Systems </v>
          </cell>
        </row>
        <row r="1318">
          <cell r="B1318">
            <v>485113</v>
          </cell>
          <cell r="C1318" t="str">
            <v xml:space="preserve">Bus and Other Motor Vehicle Transit Systems </v>
          </cell>
        </row>
        <row r="1319">
          <cell r="B1319">
            <v>485119</v>
          </cell>
          <cell r="C1319" t="str">
            <v xml:space="preserve">Other Urban Transit Systems </v>
          </cell>
        </row>
        <row r="1320">
          <cell r="B1320">
            <v>4852</v>
          </cell>
          <cell r="C1320" t="str">
            <v xml:space="preserve">Interurban and Rural Bus TransportationT </v>
          </cell>
        </row>
        <row r="1321">
          <cell r="B1321">
            <v>48521</v>
          </cell>
          <cell r="C1321" t="str">
            <v xml:space="preserve">Interurban and Rural Bus TransportationT </v>
          </cell>
        </row>
        <row r="1322">
          <cell r="B1322">
            <v>485210</v>
          </cell>
          <cell r="C1322" t="str">
            <v>Interurban and Rural Bus Transportation</v>
          </cell>
        </row>
        <row r="1323">
          <cell r="B1323">
            <v>4853</v>
          </cell>
          <cell r="C1323" t="str">
            <v xml:space="preserve">Taxi and Limousine ServiceT </v>
          </cell>
        </row>
        <row r="1324">
          <cell r="B1324">
            <v>48531</v>
          </cell>
          <cell r="C1324" t="str">
            <v xml:space="preserve">Taxi ServiceT </v>
          </cell>
        </row>
        <row r="1325">
          <cell r="B1325">
            <v>485310</v>
          </cell>
          <cell r="C1325" t="str">
            <v xml:space="preserve">Taxi Service </v>
          </cell>
        </row>
        <row r="1326">
          <cell r="B1326">
            <v>48532</v>
          </cell>
          <cell r="C1326" t="str">
            <v xml:space="preserve">Limousine ServiceT </v>
          </cell>
        </row>
        <row r="1327">
          <cell r="B1327">
            <v>485320</v>
          </cell>
          <cell r="C1327" t="str">
            <v>Limousine Service</v>
          </cell>
        </row>
        <row r="1328">
          <cell r="B1328">
            <v>4854</v>
          </cell>
          <cell r="C1328" t="str">
            <v xml:space="preserve">School and Employee Bus TransportationT </v>
          </cell>
        </row>
        <row r="1329">
          <cell r="B1329">
            <v>48541</v>
          </cell>
          <cell r="C1329" t="str">
            <v xml:space="preserve">School and Employee Bus TransportationT </v>
          </cell>
        </row>
        <row r="1330">
          <cell r="B1330">
            <v>485410</v>
          </cell>
          <cell r="C1330" t="str">
            <v>School and Employee Bus Transportation</v>
          </cell>
        </row>
        <row r="1331">
          <cell r="B1331">
            <v>4855</v>
          </cell>
          <cell r="C1331" t="str">
            <v xml:space="preserve">Charter Bus IndustryT </v>
          </cell>
        </row>
        <row r="1332">
          <cell r="B1332">
            <v>48551</v>
          </cell>
          <cell r="C1332" t="str">
            <v xml:space="preserve">Charter Bus IndustryT </v>
          </cell>
        </row>
        <row r="1333">
          <cell r="B1333">
            <v>485510</v>
          </cell>
          <cell r="C1333" t="str">
            <v>Charter Bus Industry</v>
          </cell>
        </row>
        <row r="1334">
          <cell r="B1334">
            <v>4859</v>
          </cell>
          <cell r="C1334" t="str">
            <v xml:space="preserve">Other Transit and Ground Passenger TransportationT </v>
          </cell>
        </row>
        <row r="1335">
          <cell r="B1335">
            <v>48599</v>
          </cell>
          <cell r="C1335" t="str">
            <v xml:space="preserve">Other Transit and Ground Passenger TransportationT </v>
          </cell>
        </row>
        <row r="1336">
          <cell r="B1336">
            <v>485991</v>
          </cell>
          <cell r="C1336" t="str">
            <v xml:space="preserve">Special Needs Transportation </v>
          </cell>
        </row>
        <row r="1337">
          <cell r="B1337">
            <v>485999</v>
          </cell>
          <cell r="C1337" t="str">
            <v xml:space="preserve">All Other Transit and Ground Passenger Transportation </v>
          </cell>
        </row>
        <row r="1338">
          <cell r="B1338">
            <v>486</v>
          </cell>
          <cell r="C1338" t="str">
            <v xml:space="preserve">Pipeline TransportationT </v>
          </cell>
        </row>
        <row r="1339">
          <cell r="B1339">
            <v>4861</v>
          </cell>
          <cell r="C1339" t="str">
            <v xml:space="preserve">Pipeline Transportation of Crude OilT </v>
          </cell>
        </row>
        <row r="1340">
          <cell r="B1340">
            <v>48611</v>
          </cell>
          <cell r="C1340" t="str">
            <v xml:space="preserve">Pipeline Transportation of Crude OilT </v>
          </cell>
        </row>
        <row r="1341">
          <cell r="B1341">
            <v>486110</v>
          </cell>
          <cell r="C1341" t="str">
            <v>Pipeline Transportation of Crude Oil</v>
          </cell>
        </row>
        <row r="1342">
          <cell r="B1342">
            <v>4862</v>
          </cell>
          <cell r="C1342" t="str">
            <v xml:space="preserve">Pipeline Transportation of Natural GasT </v>
          </cell>
        </row>
        <row r="1343">
          <cell r="B1343">
            <v>48621</v>
          </cell>
          <cell r="C1343" t="str">
            <v xml:space="preserve">Pipeline Transportation of Natural GasT </v>
          </cell>
        </row>
        <row r="1344">
          <cell r="B1344">
            <v>486210</v>
          </cell>
          <cell r="C1344" t="str">
            <v>Pipeline Transportation of Natural Gas</v>
          </cell>
        </row>
        <row r="1345">
          <cell r="B1345">
            <v>4869</v>
          </cell>
          <cell r="C1345" t="str">
            <v xml:space="preserve">Other Pipeline TransportationT </v>
          </cell>
        </row>
        <row r="1346">
          <cell r="B1346">
            <v>48691</v>
          </cell>
          <cell r="C1346" t="str">
            <v xml:space="preserve">Pipeline Transportation of Refined Petroleum ProductsT </v>
          </cell>
        </row>
        <row r="1347">
          <cell r="B1347">
            <v>486910</v>
          </cell>
          <cell r="C1347" t="str">
            <v>Pipeline Transportation of Refined Petroleum Products</v>
          </cell>
        </row>
        <row r="1348">
          <cell r="B1348">
            <v>48699</v>
          </cell>
          <cell r="C1348" t="str">
            <v xml:space="preserve">All Other Pipeline TransportationT </v>
          </cell>
        </row>
        <row r="1349">
          <cell r="B1349">
            <v>486990</v>
          </cell>
          <cell r="C1349" t="str">
            <v>All Other Pipeline Transportation</v>
          </cell>
        </row>
        <row r="1350">
          <cell r="B1350">
            <v>487</v>
          </cell>
          <cell r="C1350" t="str">
            <v xml:space="preserve">Scenic and Sightseeing TransportationT </v>
          </cell>
        </row>
        <row r="1351">
          <cell r="B1351">
            <v>4871</v>
          </cell>
          <cell r="C1351" t="str">
            <v xml:space="preserve">Scenic and Sightseeing Transportation, LandT </v>
          </cell>
        </row>
        <row r="1352">
          <cell r="B1352">
            <v>48711</v>
          </cell>
          <cell r="C1352" t="str">
            <v xml:space="preserve">Scenic and Sightseeing Transportation, LandT </v>
          </cell>
        </row>
        <row r="1353">
          <cell r="B1353">
            <v>487110</v>
          </cell>
          <cell r="C1353" t="str">
            <v>Scenic and Sightseeing Transportation, Land</v>
          </cell>
        </row>
        <row r="1354">
          <cell r="B1354">
            <v>4872</v>
          </cell>
          <cell r="C1354" t="str">
            <v xml:space="preserve">Scenic and Sightseeing Transportation, WaterT </v>
          </cell>
        </row>
        <row r="1355">
          <cell r="B1355">
            <v>48721</v>
          </cell>
          <cell r="C1355" t="str">
            <v xml:space="preserve">Scenic and Sightseeing Transportation, WaterT </v>
          </cell>
        </row>
        <row r="1356">
          <cell r="B1356">
            <v>487210</v>
          </cell>
          <cell r="C1356" t="str">
            <v>Scenic and Sightseeing Transportation, Water</v>
          </cell>
        </row>
        <row r="1357">
          <cell r="B1357">
            <v>4879</v>
          </cell>
          <cell r="C1357" t="str">
            <v xml:space="preserve">Scenic and Sightseeing Transportation, OtherT </v>
          </cell>
        </row>
        <row r="1358">
          <cell r="B1358">
            <v>48799</v>
          </cell>
          <cell r="C1358" t="str">
            <v xml:space="preserve">Scenic and Sightseeing Transportation, OtherT </v>
          </cell>
        </row>
        <row r="1359">
          <cell r="B1359">
            <v>487990</v>
          </cell>
          <cell r="C1359" t="str">
            <v>Scenic and Sightseeing Transportation, Other</v>
          </cell>
        </row>
        <row r="1360">
          <cell r="B1360">
            <v>488</v>
          </cell>
          <cell r="C1360" t="str">
            <v xml:space="preserve">Support Activities for TransportationT </v>
          </cell>
        </row>
        <row r="1361">
          <cell r="B1361">
            <v>4881</v>
          </cell>
          <cell r="C1361" t="str">
            <v xml:space="preserve">Support Activities for Air TransportationT </v>
          </cell>
        </row>
        <row r="1362">
          <cell r="B1362">
            <v>48811</v>
          </cell>
          <cell r="C1362" t="str">
            <v xml:space="preserve">Airport OperationsT </v>
          </cell>
        </row>
        <row r="1363">
          <cell r="B1363">
            <v>488111</v>
          </cell>
          <cell r="C1363" t="str">
            <v>Air Traffic Control</v>
          </cell>
        </row>
        <row r="1364">
          <cell r="B1364">
            <v>488119</v>
          </cell>
          <cell r="C1364" t="str">
            <v xml:space="preserve">Other Airport Operations </v>
          </cell>
        </row>
        <row r="1365">
          <cell r="B1365">
            <v>48819</v>
          </cell>
          <cell r="C1365" t="str">
            <v xml:space="preserve">Other Support Activities for Air TransportationT </v>
          </cell>
        </row>
        <row r="1366">
          <cell r="B1366">
            <v>488190</v>
          </cell>
          <cell r="C1366" t="str">
            <v>Other Support Activities for Air Transportation</v>
          </cell>
        </row>
        <row r="1367">
          <cell r="B1367">
            <v>4882</v>
          </cell>
          <cell r="C1367" t="str">
            <v xml:space="preserve">Support Activities for Rail TransportationT </v>
          </cell>
        </row>
        <row r="1368">
          <cell r="B1368">
            <v>48821</v>
          </cell>
          <cell r="C1368" t="str">
            <v xml:space="preserve">Support Activities for Rail TransportationT </v>
          </cell>
        </row>
        <row r="1369">
          <cell r="B1369">
            <v>488210</v>
          </cell>
          <cell r="C1369" t="str">
            <v>Support Activities for Rail Transportation</v>
          </cell>
        </row>
        <row r="1370">
          <cell r="B1370">
            <v>4883</v>
          </cell>
          <cell r="C1370" t="str">
            <v xml:space="preserve">Support Activities for Water TransportationT </v>
          </cell>
        </row>
        <row r="1371">
          <cell r="B1371">
            <v>48831</v>
          </cell>
          <cell r="C1371" t="str">
            <v xml:space="preserve">Port and Harbor OperationsT </v>
          </cell>
        </row>
        <row r="1372">
          <cell r="B1372">
            <v>488310</v>
          </cell>
          <cell r="C1372" t="str">
            <v>Port and Harbor Operations</v>
          </cell>
        </row>
        <row r="1373">
          <cell r="B1373">
            <v>48832</v>
          </cell>
          <cell r="C1373" t="str">
            <v xml:space="preserve">Marine Cargo HandlingT </v>
          </cell>
        </row>
        <row r="1374">
          <cell r="B1374">
            <v>488320</v>
          </cell>
          <cell r="C1374" t="str">
            <v>Marine Cargo Handling</v>
          </cell>
        </row>
        <row r="1375">
          <cell r="B1375">
            <v>48833</v>
          </cell>
          <cell r="C1375" t="str">
            <v xml:space="preserve">Navigational Services to ShippingT </v>
          </cell>
        </row>
        <row r="1376">
          <cell r="B1376">
            <v>488330</v>
          </cell>
          <cell r="C1376" t="str">
            <v xml:space="preserve">Navigational Services to Shipping </v>
          </cell>
        </row>
        <row r="1377">
          <cell r="B1377">
            <v>48839</v>
          </cell>
          <cell r="C1377" t="str">
            <v xml:space="preserve">Other Support Activities for Water TransportationT </v>
          </cell>
        </row>
        <row r="1378">
          <cell r="B1378">
            <v>488390</v>
          </cell>
          <cell r="C1378" t="str">
            <v>Other Support Activities for Water Transportation</v>
          </cell>
        </row>
        <row r="1379">
          <cell r="B1379">
            <v>4884</v>
          </cell>
          <cell r="C1379" t="str">
            <v xml:space="preserve">Support Activities for Road TransportationT </v>
          </cell>
        </row>
        <row r="1380">
          <cell r="B1380">
            <v>48841</v>
          </cell>
          <cell r="C1380" t="str">
            <v xml:space="preserve">Motor Vehicle TowingT </v>
          </cell>
        </row>
        <row r="1381">
          <cell r="B1381">
            <v>488410</v>
          </cell>
          <cell r="C1381" t="str">
            <v>Motor Vehicle Towing</v>
          </cell>
        </row>
        <row r="1382">
          <cell r="B1382">
            <v>48849</v>
          </cell>
          <cell r="C1382" t="str">
            <v xml:space="preserve">Other Support Activities for Road TransportationT </v>
          </cell>
        </row>
        <row r="1383">
          <cell r="B1383">
            <v>488490</v>
          </cell>
          <cell r="C1383" t="str">
            <v xml:space="preserve">Other Support Activities for Road Transportation </v>
          </cell>
        </row>
        <row r="1384">
          <cell r="B1384">
            <v>4885</v>
          </cell>
          <cell r="C1384" t="str">
            <v xml:space="preserve">Freight Transportation ArrangementT </v>
          </cell>
        </row>
        <row r="1385">
          <cell r="B1385">
            <v>48851</v>
          </cell>
          <cell r="C1385" t="str">
            <v xml:space="preserve">Freight Transportation ArrangementT </v>
          </cell>
        </row>
        <row r="1386">
          <cell r="B1386">
            <v>488510</v>
          </cell>
          <cell r="C1386" t="str">
            <v xml:space="preserve">Freight Transportation Arrangement </v>
          </cell>
        </row>
        <row r="1387">
          <cell r="B1387">
            <v>4889</v>
          </cell>
          <cell r="C1387" t="str">
            <v xml:space="preserve">Other Support Activities for TransportationT </v>
          </cell>
        </row>
        <row r="1388">
          <cell r="B1388">
            <v>48899</v>
          </cell>
          <cell r="C1388" t="str">
            <v xml:space="preserve">Other Support Activities for TransportationT </v>
          </cell>
        </row>
        <row r="1389">
          <cell r="B1389">
            <v>488991</v>
          </cell>
          <cell r="C1389" t="str">
            <v xml:space="preserve">Packing and Crating </v>
          </cell>
        </row>
        <row r="1390">
          <cell r="B1390">
            <v>488999</v>
          </cell>
          <cell r="C1390" t="str">
            <v xml:space="preserve">All Other Support Activities for Transportation </v>
          </cell>
        </row>
        <row r="1391">
          <cell r="B1391">
            <v>491</v>
          </cell>
          <cell r="C1391" t="str">
            <v xml:space="preserve">Postal ServiceT </v>
          </cell>
        </row>
        <row r="1392">
          <cell r="B1392">
            <v>4911</v>
          </cell>
          <cell r="C1392" t="str">
            <v xml:space="preserve">Postal ServiceT </v>
          </cell>
        </row>
        <row r="1393">
          <cell r="B1393">
            <v>49111</v>
          </cell>
          <cell r="C1393" t="str">
            <v xml:space="preserve">Postal ServiceT </v>
          </cell>
        </row>
        <row r="1394">
          <cell r="B1394">
            <v>491110</v>
          </cell>
          <cell r="C1394" t="str">
            <v>Postal Service</v>
          </cell>
        </row>
        <row r="1395">
          <cell r="B1395">
            <v>492</v>
          </cell>
          <cell r="C1395" t="str">
            <v xml:space="preserve">Couriers and MessengersT </v>
          </cell>
        </row>
        <row r="1396">
          <cell r="B1396">
            <v>4921</v>
          </cell>
          <cell r="C1396" t="str">
            <v xml:space="preserve">Couriers and Express Delivery ServicesT </v>
          </cell>
        </row>
        <row r="1397">
          <cell r="B1397">
            <v>49211</v>
          </cell>
          <cell r="C1397" t="str">
            <v xml:space="preserve">Couriers and Express Delivery ServicesT </v>
          </cell>
        </row>
        <row r="1398">
          <cell r="B1398">
            <v>492110</v>
          </cell>
          <cell r="C1398" t="str">
            <v>Couriers and Express Delivery Services</v>
          </cell>
        </row>
        <row r="1399">
          <cell r="B1399">
            <v>4922</v>
          </cell>
          <cell r="C1399" t="str">
            <v xml:space="preserve">Local Messengers and Local DeliveryT </v>
          </cell>
        </row>
        <row r="1400">
          <cell r="B1400">
            <v>49221</v>
          </cell>
          <cell r="C1400" t="str">
            <v xml:space="preserve">Local Messengers and Local DeliveryT </v>
          </cell>
        </row>
        <row r="1401">
          <cell r="B1401">
            <v>492210</v>
          </cell>
          <cell r="C1401" t="str">
            <v>Local Messengers and Local Delivery</v>
          </cell>
        </row>
        <row r="1402">
          <cell r="B1402">
            <v>493</v>
          </cell>
          <cell r="C1402" t="str">
            <v xml:space="preserve">Warehousing and StorageT </v>
          </cell>
        </row>
        <row r="1403">
          <cell r="B1403">
            <v>4931</v>
          </cell>
          <cell r="C1403" t="str">
            <v xml:space="preserve">Warehousing and StorageT </v>
          </cell>
        </row>
        <row r="1404">
          <cell r="B1404">
            <v>49311</v>
          </cell>
          <cell r="C1404" t="str">
            <v xml:space="preserve">General Warehousing and StorageT </v>
          </cell>
        </row>
        <row r="1405">
          <cell r="B1405">
            <v>493110</v>
          </cell>
          <cell r="C1405" t="str">
            <v xml:space="preserve">General Warehousing and Storage </v>
          </cell>
        </row>
        <row r="1406">
          <cell r="B1406">
            <v>49312</v>
          </cell>
          <cell r="C1406" t="str">
            <v xml:space="preserve">Refrigerated Warehousing and StorageT </v>
          </cell>
        </row>
        <row r="1407">
          <cell r="B1407">
            <v>493120</v>
          </cell>
          <cell r="C1407" t="str">
            <v>Refrigerated Warehousing and Storage</v>
          </cell>
        </row>
        <row r="1408">
          <cell r="B1408">
            <v>49313</v>
          </cell>
          <cell r="C1408" t="str">
            <v>Farm Product Warehousing and StorageT</v>
          </cell>
        </row>
        <row r="1409">
          <cell r="B1409">
            <v>493130</v>
          </cell>
          <cell r="C1409" t="str">
            <v>Farm Product Warehousing and Storage</v>
          </cell>
        </row>
        <row r="1410">
          <cell r="B1410">
            <v>49319</v>
          </cell>
          <cell r="C1410" t="str">
            <v xml:space="preserve">Other Warehousing and StorageT </v>
          </cell>
        </row>
        <row r="1411">
          <cell r="B1411">
            <v>493190</v>
          </cell>
          <cell r="C1411" t="str">
            <v>Other Warehousing and Storage</v>
          </cell>
        </row>
        <row r="1412">
          <cell r="B1412"/>
          <cell r="C1412"/>
        </row>
        <row r="1413">
          <cell r="B1413">
            <v>51</v>
          </cell>
          <cell r="C1413" t="str">
            <v>InformationT</v>
          </cell>
        </row>
        <row r="1414">
          <cell r="B1414">
            <v>511</v>
          </cell>
          <cell r="C1414" t="str">
            <v xml:space="preserve">Publishing Industries (except Internet)T </v>
          </cell>
        </row>
        <row r="1415">
          <cell r="B1415">
            <v>5111</v>
          </cell>
          <cell r="C1415" t="str">
            <v xml:space="preserve">Newspaper, Periodical, Book, and Directory PublishersT </v>
          </cell>
        </row>
        <row r="1416">
          <cell r="B1416">
            <v>51111</v>
          </cell>
          <cell r="C1416" t="str">
            <v xml:space="preserve">Newspaper PublishersT </v>
          </cell>
        </row>
        <row r="1417">
          <cell r="B1417">
            <v>511110</v>
          </cell>
          <cell r="C1417" t="str">
            <v xml:space="preserve">Newspaper Publishers </v>
          </cell>
        </row>
        <row r="1418">
          <cell r="B1418">
            <v>51112</v>
          </cell>
          <cell r="C1418" t="str">
            <v xml:space="preserve">Periodical PublishersT </v>
          </cell>
        </row>
        <row r="1419">
          <cell r="B1419">
            <v>511120</v>
          </cell>
          <cell r="C1419" t="str">
            <v xml:space="preserve">Periodical Publishers </v>
          </cell>
        </row>
        <row r="1420">
          <cell r="B1420">
            <v>51113</v>
          </cell>
          <cell r="C1420" t="str">
            <v xml:space="preserve">Book PublishersT </v>
          </cell>
        </row>
        <row r="1421">
          <cell r="B1421">
            <v>511130</v>
          </cell>
          <cell r="C1421" t="str">
            <v xml:space="preserve">Book Publishers </v>
          </cell>
        </row>
        <row r="1422">
          <cell r="B1422">
            <v>51114</v>
          </cell>
          <cell r="C1422" t="str">
            <v xml:space="preserve">Directory and Mailing List PublishersT </v>
          </cell>
        </row>
        <row r="1423">
          <cell r="B1423">
            <v>511140</v>
          </cell>
          <cell r="C1423" t="str">
            <v xml:space="preserve">Directory and Mailing List Publishers </v>
          </cell>
        </row>
        <row r="1424">
          <cell r="B1424">
            <v>51119</v>
          </cell>
          <cell r="C1424" t="str">
            <v xml:space="preserve">Other PublishersT </v>
          </cell>
        </row>
        <row r="1425">
          <cell r="B1425">
            <v>511191</v>
          </cell>
          <cell r="C1425" t="str">
            <v xml:space="preserve">Greeting Card Publishers </v>
          </cell>
        </row>
        <row r="1426">
          <cell r="B1426">
            <v>511199</v>
          </cell>
          <cell r="C1426" t="str">
            <v xml:space="preserve">All Other Publishers </v>
          </cell>
        </row>
        <row r="1427">
          <cell r="B1427">
            <v>5112</v>
          </cell>
          <cell r="C1427" t="str">
            <v xml:space="preserve">Software PublishersT </v>
          </cell>
        </row>
        <row r="1428">
          <cell r="B1428">
            <v>51121</v>
          </cell>
          <cell r="C1428" t="str">
            <v xml:space="preserve">Software PublishersT </v>
          </cell>
        </row>
        <row r="1429">
          <cell r="B1429">
            <v>511210</v>
          </cell>
          <cell r="C1429" t="str">
            <v>Software Publishers</v>
          </cell>
        </row>
        <row r="1430">
          <cell r="B1430">
            <v>512</v>
          </cell>
          <cell r="C1430" t="str">
            <v xml:space="preserve">Motion Picture and Sound Recording IndustriesT </v>
          </cell>
        </row>
        <row r="1431">
          <cell r="B1431">
            <v>5121</v>
          </cell>
          <cell r="C1431" t="str">
            <v xml:space="preserve">Motion Picture and Video IndustriesT </v>
          </cell>
        </row>
        <row r="1432">
          <cell r="B1432">
            <v>51211</v>
          </cell>
          <cell r="C1432" t="str">
            <v xml:space="preserve">Motion Picture and Video ProductionT </v>
          </cell>
        </row>
        <row r="1433">
          <cell r="B1433">
            <v>512110</v>
          </cell>
          <cell r="C1433" t="str">
            <v xml:space="preserve">Motion Picture and Video Production </v>
          </cell>
        </row>
        <row r="1434">
          <cell r="B1434">
            <v>51212</v>
          </cell>
          <cell r="C1434" t="str">
            <v xml:space="preserve">Motion Picture and Video DistributionT </v>
          </cell>
        </row>
        <row r="1435">
          <cell r="B1435">
            <v>512120</v>
          </cell>
          <cell r="C1435" t="str">
            <v>Motion Picture and Video Distribution</v>
          </cell>
        </row>
        <row r="1436">
          <cell r="B1436">
            <v>51213</v>
          </cell>
          <cell r="C1436" t="str">
            <v xml:space="preserve">Motion Picture and Video ExhibitionT </v>
          </cell>
        </row>
        <row r="1437">
          <cell r="B1437">
            <v>512131</v>
          </cell>
          <cell r="C1437" t="str">
            <v xml:space="preserve">Motion Picture Theaters (except Drive-Ins) </v>
          </cell>
        </row>
        <row r="1438">
          <cell r="B1438">
            <v>512132</v>
          </cell>
          <cell r="C1438" t="str">
            <v xml:space="preserve">Drive-In Motion Picture Theaters </v>
          </cell>
        </row>
        <row r="1439">
          <cell r="B1439">
            <v>51219</v>
          </cell>
          <cell r="C1439" t="str">
            <v xml:space="preserve">Postproduction Services and Other Motion Picture and Video IndustriesT </v>
          </cell>
        </row>
        <row r="1440">
          <cell r="B1440">
            <v>512191</v>
          </cell>
          <cell r="C1440" t="str">
            <v xml:space="preserve">Teleproduction and Other Postproduction Services </v>
          </cell>
        </row>
        <row r="1441">
          <cell r="B1441">
            <v>512199</v>
          </cell>
          <cell r="C1441" t="str">
            <v xml:space="preserve">Other Motion Picture and Video Industries </v>
          </cell>
        </row>
        <row r="1442">
          <cell r="B1442">
            <v>5122</v>
          </cell>
          <cell r="C1442" t="str">
            <v xml:space="preserve">Sound Recording IndustriesT </v>
          </cell>
        </row>
        <row r="1443">
          <cell r="B1443">
            <v>51221</v>
          </cell>
          <cell r="C1443" t="str">
            <v xml:space="preserve">Record ProductionT </v>
          </cell>
        </row>
        <row r="1444">
          <cell r="B1444">
            <v>512210</v>
          </cell>
          <cell r="C1444" t="str">
            <v>Record Production</v>
          </cell>
        </row>
        <row r="1445">
          <cell r="B1445">
            <v>51222</v>
          </cell>
          <cell r="C1445" t="str">
            <v xml:space="preserve">Integrated Record Production/DistributionT </v>
          </cell>
        </row>
        <row r="1446">
          <cell r="B1446">
            <v>512220</v>
          </cell>
          <cell r="C1446" t="str">
            <v>Integrated Record Production/Distribution</v>
          </cell>
        </row>
        <row r="1447">
          <cell r="B1447">
            <v>51223</v>
          </cell>
          <cell r="C1447" t="str">
            <v xml:space="preserve">Music PublishersT </v>
          </cell>
        </row>
        <row r="1448">
          <cell r="B1448">
            <v>512230</v>
          </cell>
          <cell r="C1448" t="str">
            <v>Music Publishers</v>
          </cell>
        </row>
        <row r="1449">
          <cell r="B1449">
            <v>51224</v>
          </cell>
          <cell r="C1449" t="str">
            <v xml:space="preserve">Sound Recording StudiosT </v>
          </cell>
        </row>
        <row r="1450">
          <cell r="B1450">
            <v>512240</v>
          </cell>
          <cell r="C1450" t="str">
            <v>Sound Recording Studios</v>
          </cell>
        </row>
        <row r="1451">
          <cell r="B1451">
            <v>51229</v>
          </cell>
          <cell r="C1451" t="str">
            <v xml:space="preserve">Other Sound Recording IndustriesT </v>
          </cell>
        </row>
        <row r="1452">
          <cell r="B1452">
            <v>512290</v>
          </cell>
          <cell r="C1452" t="str">
            <v>Other Sound Recording Industries</v>
          </cell>
        </row>
        <row r="1453">
          <cell r="B1453">
            <v>515</v>
          </cell>
          <cell r="C1453" t="str">
            <v xml:space="preserve">Broadcasting (except Internet)T </v>
          </cell>
        </row>
        <row r="1454">
          <cell r="B1454">
            <v>5151</v>
          </cell>
          <cell r="C1454" t="str">
            <v xml:space="preserve">Radio and Television BroadcastingT </v>
          </cell>
        </row>
        <row r="1455">
          <cell r="B1455">
            <v>51511</v>
          </cell>
          <cell r="C1455" t="str">
            <v xml:space="preserve">Radio BroadcastingT </v>
          </cell>
        </row>
        <row r="1456">
          <cell r="B1456">
            <v>515111</v>
          </cell>
          <cell r="C1456" t="str">
            <v xml:space="preserve">Radio Networks </v>
          </cell>
        </row>
        <row r="1457">
          <cell r="B1457">
            <v>515112</v>
          </cell>
          <cell r="C1457" t="str">
            <v xml:space="preserve">Radio Stations </v>
          </cell>
        </row>
        <row r="1458">
          <cell r="B1458">
            <v>51512</v>
          </cell>
          <cell r="C1458" t="str">
            <v xml:space="preserve">Television BroadcastingT </v>
          </cell>
        </row>
        <row r="1459">
          <cell r="B1459">
            <v>515120</v>
          </cell>
          <cell r="C1459" t="str">
            <v>Television Broadcasting</v>
          </cell>
        </row>
        <row r="1460">
          <cell r="B1460">
            <v>5152</v>
          </cell>
          <cell r="C1460" t="str">
            <v xml:space="preserve">Cable and Other Subscription ProgrammingT </v>
          </cell>
        </row>
        <row r="1461">
          <cell r="B1461">
            <v>51521</v>
          </cell>
          <cell r="C1461" t="str">
            <v xml:space="preserve">Cable and Other Subscription ProgrammingT </v>
          </cell>
        </row>
        <row r="1462">
          <cell r="B1462">
            <v>515210</v>
          </cell>
          <cell r="C1462" t="str">
            <v>Cable and Other Subscription Programming</v>
          </cell>
        </row>
        <row r="1463">
          <cell r="B1463">
            <v>517</v>
          </cell>
          <cell r="C1463" t="str">
            <v xml:space="preserve">TelecommunicationsT </v>
          </cell>
        </row>
        <row r="1464">
          <cell r="B1464">
            <v>5171</v>
          </cell>
          <cell r="C1464" t="str">
            <v xml:space="preserve">Wired Telecommunications CarriersT </v>
          </cell>
        </row>
        <row r="1465">
          <cell r="B1465">
            <v>51711</v>
          </cell>
          <cell r="C1465" t="str">
            <v xml:space="preserve">Wired Telecommunications CarriersT </v>
          </cell>
        </row>
        <row r="1466">
          <cell r="B1466">
            <v>517110</v>
          </cell>
          <cell r="C1466" t="str">
            <v xml:space="preserve">Wired Telecommunications Carriers </v>
          </cell>
        </row>
        <row r="1467">
          <cell r="B1467">
            <v>5172</v>
          </cell>
          <cell r="C1467" t="str">
            <v xml:space="preserve">Wireless Telecommunications Carriers (except Satellite)T </v>
          </cell>
        </row>
        <row r="1468">
          <cell r="B1468">
            <v>51721</v>
          </cell>
          <cell r="C1468" t="str">
            <v xml:space="preserve">Wireless Telecommunications Carriers (except Satellite)T </v>
          </cell>
        </row>
        <row r="1469">
          <cell r="B1469">
            <v>517210</v>
          </cell>
          <cell r="C1469" t="str">
            <v>Wireless Telecommunications Carriers (except Satellite)</v>
          </cell>
        </row>
        <row r="1470">
          <cell r="B1470">
            <v>5174</v>
          </cell>
          <cell r="C1470" t="str">
            <v xml:space="preserve">Satellite TelecommunicationsT </v>
          </cell>
        </row>
        <row r="1471">
          <cell r="B1471">
            <v>51741</v>
          </cell>
          <cell r="C1471" t="str">
            <v xml:space="preserve">Satellite TelecommunicationsT </v>
          </cell>
        </row>
        <row r="1472">
          <cell r="B1472">
            <v>517410</v>
          </cell>
          <cell r="C1472" t="str">
            <v>Satellite Telecommunications</v>
          </cell>
        </row>
        <row r="1473">
          <cell r="B1473">
            <v>5179</v>
          </cell>
          <cell r="C1473" t="str">
            <v xml:space="preserve">Other TelecommunicationsT </v>
          </cell>
        </row>
        <row r="1474">
          <cell r="B1474">
            <v>51791</v>
          </cell>
          <cell r="C1474" t="str">
            <v xml:space="preserve">Other TelecommunicationsT </v>
          </cell>
        </row>
        <row r="1475">
          <cell r="B1475">
            <v>517911</v>
          </cell>
          <cell r="C1475" t="str">
            <v xml:space="preserve">Telecommunications Resellers </v>
          </cell>
        </row>
        <row r="1476">
          <cell r="B1476">
            <v>517919</v>
          </cell>
          <cell r="C1476" t="str">
            <v xml:space="preserve">All Other Telecommunications </v>
          </cell>
        </row>
        <row r="1477">
          <cell r="B1477">
            <v>518</v>
          </cell>
          <cell r="C1477" t="str">
            <v xml:space="preserve">Data Processing, Hosting, and Related ServicesT </v>
          </cell>
        </row>
        <row r="1478">
          <cell r="B1478">
            <v>5182</v>
          </cell>
          <cell r="C1478" t="str">
            <v xml:space="preserve">Data Processing, Hosting, and Related ServicesT </v>
          </cell>
        </row>
        <row r="1479">
          <cell r="B1479">
            <v>51821</v>
          </cell>
          <cell r="C1479" t="str">
            <v xml:space="preserve">Data Processing, Hosting, and Related ServicesT </v>
          </cell>
        </row>
        <row r="1480">
          <cell r="B1480">
            <v>518210</v>
          </cell>
          <cell r="C1480" t="str">
            <v>Data Processing, Hosting, and Related Services</v>
          </cell>
        </row>
        <row r="1481">
          <cell r="B1481">
            <v>519</v>
          </cell>
          <cell r="C1481" t="str">
            <v xml:space="preserve">Other Information ServicesT </v>
          </cell>
        </row>
        <row r="1482">
          <cell r="B1482">
            <v>5191</v>
          </cell>
          <cell r="C1482" t="str">
            <v xml:space="preserve">Other Information ServicesT </v>
          </cell>
        </row>
        <row r="1483">
          <cell r="B1483">
            <v>51911</v>
          </cell>
          <cell r="C1483" t="str">
            <v xml:space="preserve">News SyndicatesT </v>
          </cell>
        </row>
        <row r="1484">
          <cell r="B1484">
            <v>519110</v>
          </cell>
          <cell r="C1484" t="str">
            <v>News Syndicates</v>
          </cell>
        </row>
        <row r="1485">
          <cell r="B1485">
            <v>51912</v>
          </cell>
          <cell r="C1485" t="str">
            <v xml:space="preserve">Libraries and ArchivesT </v>
          </cell>
        </row>
        <row r="1486">
          <cell r="B1486">
            <v>519120</v>
          </cell>
          <cell r="C1486" t="str">
            <v xml:space="preserve">Libraries and Archives </v>
          </cell>
        </row>
        <row r="1487">
          <cell r="B1487">
            <v>51913</v>
          </cell>
          <cell r="C1487" t="str">
            <v xml:space="preserve">Internet Publishing and Broadcasting and Web Search PortalsT </v>
          </cell>
        </row>
        <row r="1488">
          <cell r="B1488">
            <v>519130</v>
          </cell>
          <cell r="C1488" t="str">
            <v>Internet Publishing and Broadcasting and Web Search Portals</v>
          </cell>
        </row>
        <row r="1489">
          <cell r="B1489">
            <v>51919</v>
          </cell>
          <cell r="C1489" t="str">
            <v xml:space="preserve">All Other Information ServicesT </v>
          </cell>
        </row>
        <row r="1490">
          <cell r="B1490">
            <v>519190</v>
          </cell>
          <cell r="C1490" t="str">
            <v>All Other Information Services</v>
          </cell>
        </row>
        <row r="1491">
          <cell r="B1491"/>
          <cell r="C1491"/>
        </row>
        <row r="1492">
          <cell r="B1492">
            <v>52</v>
          </cell>
          <cell r="C1492" t="str">
            <v>Finance and InsuranceT</v>
          </cell>
        </row>
        <row r="1493">
          <cell r="B1493">
            <v>521</v>
          </cell>
          <cell r="C1493" t="str">
            <v xml:space="preserve">Monetary Authorities-Central BankT </v>
          </cell>
        </row>
        <row r="1494">
          <cell r="B1494">
            <v>5211</v>
          </cell>
          <cell r="C1494" t="str">
            <v xml:space="preserve">Monetary Authorities-Central BankT </v>
          </cell>
        </row>
        <row r="1495">
          <cell r="B1495">
            <v>52111</v>
          </cell>
          <cell r="C1495" t="str">
            <v xml:space="preserve">Monetary Authorities-Central BankT </v>
          </cell>
        </row>
        <row r="1496">
          <cell r="B1496">
            <v>521110</v>
          </cell>
          <cell r="C1496" t="str">
            <v>Monetary Authorities-Central Bank</v>
          </cell>
        </row>
        <row r="1497">
          <cell r="B1497">
            <v>522</v>
          </cell>
          <cell r="C1497" t="str">
            <v xml:space="preserve">Credit Intermediation and Related ActivitiesT </v>
          </cell>
        </row>
        <row r="1498">
          <cell r="B1498">
            <v>5221</v>
          </cell>
          <cell r="C1498" t="str">
            <v xml:space="preserve">Depository Credit Intermediation </v>
          </cell>
        </row>
        <row r="1499">
          <cell r="B1499">
            <v>52211</v>
          </cell>
          <cell r="C1499" t="str">
            <v xml:space="preserve">Commercial Banking </v>
          </cell>
        </row>
        <row r="1500">
          <cell r="B1500">
            <v>522110</v>
          </cell>
          <cell r="C1500" t="str">
            <v xml:space="preserve">Commercial Banking </v>
          </cell>
        </row>
        <row r="1501">
          <cell r="B1501">
            <v>52212</v>
          </cell>
          <cell r="C1501" t="str">
            <v xml:space="preserve">Savings Institutions </v>
          </cell>
        </row>
        <row r="1502">
          <cell r="B1502">
            <v>522120</v>
          </cell>
          <cell r="C1502" t="str">
            <v xml:space="preserve">Savings Institutions </v>
          </cell>
        </row>
        <row r="1503">
          <cell r="B1503">
            <v>52213</v>
          </cell>
          <cell r="C1503" t="str">
            <v xml:space="preserve">Credit Unions </v>
          </cell>
        </row>
        <row r="1504">
          <cell r="B1504">
            <v>522130</v>
          </cell>
          <cell r="C1504" t="str">
            <v xml:space="preserve">Credit Unions </v>
          </cell>
        </row>
        <row r="1505">
          <cell r="B1505">
            <v>52219</v>
          </cell>
          <cell r="C1505" t="str">
            <v xml:space="preserve">Other Depository Credit Intermediation </v>
          </cell>
        </row>
        <row r="1506">
          <cell r="B1506">
            <v>522190</v>
          </cell>
          <cell r="C1506" t="str">
            <v xml:space="preserve">Other Depository Credit Intermediation </v>
          </cell>
        </row>
        <row r="1507">
          <cell r="B1507">
            <v>5222</v>
          </cell>
          <cell r="C1507" t="str">
            <v xml:space="preserve">Nondepository Credit Intermediation </v>
          </cell>
        </row>
        <row r="1508">
          <cell r="B1508">
            <v>52221</v>
          </cell>
          <cell r="C1508" t="str">
            <v xml:space="preserve">Credit Card Issuing </v>
          </cell>
        </row>
        <row r="1509">
          <cell r="B1509">
            <v>522210</v>
          </cell>
          <cell r="C1509" t="str">
            <v xml:space="preserve">Credit Card Issuing </v>
          </cell>
        </row>
        <row r="1510">
          <cell r="B1510">
            <v>52222</v>
          </cell>
          <cell r="C1510" t="str">
            <v xml:space="preserve">Sales Financing </v>
          </cell>
        </row>
        <row r="1511">
          <cell r="B1511">
            <v>522220</v>
          </cell>
          <cell r="C1511" t="str">
            <v xml:space="preserve">Sales Financing </v>
          </cell>
        </row>
        <row r="1512">
          <cell r="B1512">
            <v>52229</v>
          </cell>
          <cell r="C1512" t="str">
            <v xml:space="preserve">Other Nondepository Credit Intermediation </v>
          </cell>
        </row>
        <row r="1513">
          <cell r="B1513">
            <v>522291</v>
          </cell>
          <cell r="C1513" t="str">
            <v xml:space="preserve">Consumer Lending </v>
          </cell>
        </row>
        <row r="1514">
          <cell r="B1514">
            <v>522292</v>
          </cell>
          <cell r="C1514" t="str">
            <v xml:space="preserve">Real Estate Credit </v>
          </cell>
        </row>
        <row r="1515">
          <cell r="B1515">
            <v>522293</v>
          </cell>
          <cell r="C1515" t="str">
            <v xml:space="preserve">International Trade Financing </v>
          </cell>
        </row>
        <row r="1516">
          <cell r="B1516">
            <v>522294</v>
          </cell>
          <cell r="C1516" t="str">
            <v xml:space="preserve">Secondary Market Financing </v>
          </cell>
        </row>
        <row r="1517">
          <cell r="B1517">
            <v>522298</v>
          </cell>
          <cell r="C1517" t="str">
            <v xml:space="preserve">All Other Nondepository Credit Intermediation </v>
          </cell>
        </row>
        <row r="1518">
          <cell r="B1518">
            <v>5223</v>
          </cell>
          <cell r="C1518" t="str">
            <v xml:space="preserve">Activities Related to Credit Intermediation </v>
          </cell>
        </row>
        <row r="1519">
          <cell r="B1519">
            <v>52231</v>
          </cell>
          <cell r="C1519" t="str">
            <v xml:space="preserve">Mortgage and Nonmortgage Loan Brokers </v>
          </cell>
        </row>
        <row r="1520">
          <cell r="B1520">
            <v>522310</v>
          </cell>
          <cell r="C1520" t="str">
            <v xml:space="preserve">Mortgage and Nonmortgage Loan Brokers </v>
          </cell>
        </row>
        <row r="1521">
          <cell r="B1521">
            <v>52232</v>
          </cell>
          <cell r="C1521" t="str">
            <v xml:space="preserve">Financial Transactions Processing, Reserve, and Clearinghouse Activities </v>
          </cell>
        </row>
        <row r="1522">
          <cell r="B1522">
            <v>522320</v>
          </cell>
          <cell r="C1522" t="str">
            <v xml:space="preserve">Financial Transactions Processing, Reserve, and Clearinghouse Activities </v>
          </cell>
        </row>
        <row r="1523">
          <cell r="B1523">
            <v>52239</v>
          </cell>
          <cell r="C1523" t="str">
            <v xml:space="preserve">Other Activities Related to Credit Intermediation </v>
          </cell>
        </row>
        <row r="1524">
          <cell r="B1524">
            <v>522390</v>
          </cell>
          <cell r="C1524" t="str">
            <v xml:space="preserve">Other Activities Related to Credit Intermediation </v>
          </cell>
        </row>
        <row r="1525">
          <cell r="B1525">
            <v>523</v>
          </cell>
          <cell r="C1525" t="str">
            <v xml:space="preserve">Securities, Commodity Contracts, and Other Financial Investments and Related ActivitiesT </v>
          </cell>
        </row>
        <row r="1526">
          <cell r="B1526">
            <v>5231</v>
          </cell>
          <cell r="C1526" t="str">
            <v xml:space="preserve">Securities and Commodity Contracts Intermediation and BrokerageT </v>
          </cell>
        </row>
        <row r="1527">
          <cell r="B1527">
            <v>52311</v>
          </cell>
          <cell r="C1527" t="str">
            <v xml:space="preserve">Investment Banking and Securities Dealing </v>
          </cell>
        </row>
        <row r="1528">
          <cell r="B1528">
            <v>523110</v>
          </cell>
          <cell r="C1528" t="str">
            <v xml:space="preserve">Investment Banking and Securities Dealing </v>
          </cell>
        </row>
        <row r="1529">
          <cell r="B1529">
            <v>52312</v>
          </cell>
          <cell r="C1529" t="str">
            <v xml:space="preserve">Securities Brokerage </v>
          </cell>
        </row>
        <row r="1530">
          <cell r="B1530">
            <v>523120</v>
          </cell>
          <cell r="C1530" t="str">
            <v xml:space="preserve">Securities Brokerage </v>
          </cell>
        </row>
        <row r="1531">
          <cell r="B1531">
            <v>52313</v>
          </cell>
          <cell r="C1531" t="str">
            <v xml:space="preserve">Commodity Contracts Dealing </v>
          </cell>
        </row>
        <row r="1532">
          <cell r="B1532">
            <v>523130</v>
          </cell>
          <cell r="C1532" t="str">
            <v xml:space="preserve">Commodity Contracts Dealing </v>
          </cell>
        </row>
        <row r="1533">
          <cell r="B1533">
            <v>52314</v>
          </cell>
          <cell r="C1533" t="str">
            <v xml:space="preserve">Commodity Contracts Brokerage </v>
          </cell>
        </row>
        <row r="1534">
          <cell r="B1534">
            <v>523140</v>
          </cell>
          <cell r="C1534" t="str">
            <v xml:space="preserve">Commodity Contracts Brokerage </v>
          </cell>
        </row>
        <row r="1535">
          <cell r="B1535">
            <v>5232</v>
          </cell>
          <cell r="C1535" t="str">
            <v xml:space="preserve">Securities and Commodity ExchangesT </v>
          </cell>
        </row>
        <row r="1536">
          <cell r="B1536">
            <v>52321</v>
          </cell>
          <cell r="C1536" t="str">
            <v xml:space="preserve">Securities and Commodity ExchangesT </v>
          </cell>
        </row>
        <row r="1537">
          <cell r="B1537">
            <v>523210</v>
          </cell>
          <cell r="C1537" t="str">
            <v>Securities and Commodity Exchanges</v>
          </cell>
        </row>
        <row r="1538">
          <cell r="B1538">
            <v>5239</v>
          </cell>
          <cell r="C1538" t="str">
            <v xml:space="preserve">Other Financial Investment ActivitiesT </v>
          </cell>
        </row>
        <row r="1539">
          <cell r="B1539">
            <v>52391</v>
          </cell>
          <cell r="C1539" t="str">
            <v xml:space="preserve">Miscellaneous Intermediation </v>
          </cell>
        </row>
        <row r="1540">
          <cell r="B1540">
            <v>523910</v>
          </cell>
          <cell r="C1540" t="str">
            <v xml:space="preserve">Miscellaneous Intermediation </v>
          </cell>
        </row>
        <row r="1541">
          <cell r="B1541">
            <v>52392</v>
          </cell>
          <cell r="C1541" t="str">
            <v xml:space="preserve">Portfolio Management </v>
          </cell>
        </row>
        <row r="1542">
          <cell r="B1542">
            <v>523920</v>
          </cell>
          <cell r="C1542" t="str">
            <v xml:space="preserve">Portfolio Management </v>
          </cell>
        </row>
        <row r="1543">
          <cell r="B1543">
            <v>52393</v>
          </cell>
          <cell r="C1543" t="str">
            <v xml:space="preserve">Investment Advice </v>
          </cell>
        </row>
        <row r="1544">
          <cell r="B1544">
            <v>523930</v>
          </cell>
          <cell r="C1544" t="str">
            <v xml:space="preserve">Investment Advice </v>
          </cell>
        </row>
        <row r="1545">
          <cell r="B1545">
            <v>52399</v>
          </cell>
          <cell r="C1545" t="str">
            <v xml:space="preserve">All Other Financial Investment Activities </v>
          </cell>
        </row>
        <row r="1546">
          <cell r="B1546">
            <v>523991</v>
          </cell>
          <cell r="C1546" t="str">
            <v xml:space="preserve">Trust, Fiduciary, and Custody Activities </v>
          </cell>
        </row>
        <row r="1547">
          <cell r="B1547">
            <v>523999</v>
          </cell>
          <cell r="C1547" t="str">
            <v xml:space="preserve">Miscellaneous Financial Investment Activities </v>
          </cell>
        </row>
        <row r="1548">
          <cell r="B1548">
            <v>524</v>
          </cell>
          <cell r="C1548" t="str">
            <v xml:space="preserve">Insurance Carriers and Related ActivitiesT </v>
          </cell>
        </row>
        <row r="1549">
          <cell r="B1549">
            <v>5241</v>
          </cell>
          <cell r="C1549" t="str">
            <v xml:space="preserve">Insurance CarriersT </v>
          </cell>
        </row>
        <row r="1550">
          <cell r="B1550">
            <v>52411</v>
          </cell>
          <cell r="C1550" t="str">
            <v xml:space="preserve">Direct Life, Health, and Medical Insurance Carriers </v>
          </cell>
        </row>
        <row r="1551">
          <cell r="B1551">
            <v>524113</v>
          </cell>
          <cell r="C1551" t="str">
            <v xml:space="preserve">Direct Life Insurance Carriers </v>
          </cell>
        </row>
        <row r="1552">
          <cell r="B1552">
            <v>524114</v>
          </cell>
          <cell r="C1552" t="str">
            <v xml:space="preserve">Direct Health and Medical Insurance Carriers </v>
          </cell>
        </row>
        <row r="1553">
          <cell r="B1553">
            <v>52412</v>
          </cell>
          <cell r="C1553" t="str">
            <v xml:space="preserve">Direct Insurance (except Life, Health, and Medical) Carriers </v>
          </cell>
        </row>
        <row r="1554">
          <cell r="B1554">
            <v>524126</v>
          </cell>
          <cell r="C1554" t="str">
            <v xml:space="preserve">Direct Property and Casualty Insurance Carriers </v>
          </cell>
        </row>
        <row r="1555">
          <cell r="B1555">
            <v>524127</v>
          </cell>
          <cell r="C1555" t="str">
            <v xml:space="preserve">Direct Title Insurance Carriers </v>
          </cell>
        </row>
        <row r="1556">
          <cell r="B1556">
            <v>524128</v>
          </cell>
          <cell r="C1556" t="str">
            <v xml:space="preserve">Other Direct Insurance (except Life, Health, and Medical) Carriers </v>
          </cell>
        </row>
        <row r="1557">
          <cell r="B1557">
            <v>52413</v>
          </cell>
          <cell r="C1557" t="str">
            <v xml:space="preserve">Reinsurance Carriers </v>
          </cell>
        </row>
        <row r="1558">
          <cell r="B1558">
            <v>524130</v>
          </cell>
          <cell r="C1558" t="str">
            <v xml:space="preserve">Reinsurance Carriers </v>
          </cell>
        </row>
        <row r="1559">
          <cell r="B1559">
            <v>5242</v>
          </cell>
          <cell r="C1559" t="str">
            <v xml:space="preserve">Agencies, Brokerages, and Other Insurance Related ActivitiesT </v>
          </cell>
        </row>
        <row r="1560">
          <cell r="B1560">
            <v>52421</v>
          </cell>
          <cell r="C1560" t="str">
            <v xml:space="preserve">Insurance Agencies and Brokerages </v>
          </cell>
        </row>
        <row r="1561">
          <cell r="B1561">
            <v>524210</v>
          </cell>
          <cell r="C1561" t="str">
            <v xml:space="preserve">Insurance Agencies and Brokerages </v>
          </cell>
        </row>
        <row r="1562">
          <cell r="B1562">
            <v>52429</v>
          </cell>
          <cell r="C1562" t="str">
            <v xml:space="preserve">Other Insurance Related Activities </v>
          </cell>
        </row>
        <row r="1563">
          <cell r="B1563">
            <v>524291</v>
          </cell>
          <cell r="C1563" t="str">
            <v xml:space="preserve">Claims Adjusting </v>
          </cell>
        </row>
        <row r="1564">
          <cell r="B1564">
            <v>524292</v>
          </cell>
          <cell r="C1564" t="str">
            <v xml:space="preserve">Third Party Administration of Insurance and Pension Funds </v>
          </cell>
        </row>
        <row r="1565">
          <cell r="B1565">
            <v>524298</v>
          </cell>
          <cell r="C1565" t="str">
            <v xml:space="preserve">All Other Insurance Related Activities </v>
          </cell>
        </row>
        <row r="1566">
          <cell r="B1566">
            <v>525</v>
          </cell>
          <cell r="C1566" t="str">
            <v xml:space="preserve">Funds, Trusts, and Other Financial Vehicles </v>
          </cell>
        </row>
        <row r="1567">
          <cell r="B1567">
            <v>5251</v>
          </cell>
          <cell r="C1567" t="str">
            <v xml:space="preserve">Insurance and Employee Benefit Funds </v>
          </cell>
        </row>
        <row r="1568">
          <cell r="B1568">
            <v>52511</v>
          </cell>
          <cell r="C1568" t="str">
            <v xml:space="preserve">Pension Funds </v>
          </cell>
        </row>
        <row r="1569">
          <cell r="B1569">
            <v>525110</v>
          </cell>
          <cell r="C1569" t="str">
            <v xml:space="preserve">Pension Funds </v>
          </cell>
        </row>
        <row r="1570">
          <cell r="B1570">
            <v>52512</v>
          </cell>
          <cell r="C1570" t="str">
            <v xml:space="preserve">Health and Welfare Funds </v>
          </cell>
        </row>
        <row r="1571">
          <cell r="B1571">
            <v>525120</v>
          </cell>
          <cell r="C1571" t="str">
            <v xml:space="preserve">Health and Welfare Funds </v>
          </cell>
        </row>
        <row r="1572">
          <cell r="B1572">
            <v>52519</v>
          </cell>
          <cell r="C1572" t="str">
            <v xml:space="preserve">Other Insurance Funds </v>
          </cell>
        </row>
        <row r="1573">
          <cell r="B1573">
            <v>525190</v>
          </cell>
          <cell r="C1573" t="str">
            <v xml:space="preserve">Other Insurance Funds </v>
          </cell>
        </row>
        <row r="1574">
          <cell r="B1574">
            <v>5259</v>
          </cell>
          <cell r="C1574" t="str">
            <v>Other Investment Pools and Funds</v>
          </cell>
        </row>
        <row r="1575">
          <cell r="B1575">
            <v>52591</v>
          </cell>
          <cell r="C1575" t="str">
            <v xml:space="preserve">Open-End Investment Funds </v>
          </cell>
        </row>
        <row r="1576">
          <cell r="B1576">
            <v>525910</v>
          </cell>
          <cell r="C1576" t="str">
            <v xml:space="preserve">Open-End Investment Funds </v>
          </cell>
        </row>
        <row r="1577">
          <cell r="B1577">
            <v>52592</v>
          </cell>
          <cell r="C1577" t="str">
            <v xml:space="preserve">Trusts, Estates, and Agency Accounts </v>
          </cell>
        </row>
        <row r="1578">
          <cell r="B1578">
            <v>525920</v>
          </cell>
          <cell r="C1578" t="str">
            <v xml:space="preserve">Trusts, Estates, and Agency Accounts </v>
          </cell>
        </row>
        <row r="1579">
          <cell r="B1579">
            <v>52599</v>
          </cell>
          <cell r="C1579" t="str">
            <v xml:space="preserve">Other Financial Vehicles </v>
          </cell>
        </row>
        <row r="1580">
          <cell r="B1580">
            <v>525990</v>
          </cell>
          <cell r="C1580" t="str">
            <v xml:space="preserve">Other Financial Vehicles </v>
          </cell>
        </row>
        <row r="1581">
          <cell r="B1581"/>
          <cell r="C1581"/>
        </row>
        <row r="1582">
          <cell r="B1582">
            <v>53</v>
          </cell>
          <cell r="C1582" t="str">
            <v>Real Estate and Rental and LeasingT</v>
          </cell>
        </row>
        <row r="1583">
          <cell r="B1583">
            <v>531</v>
          </cell>
          <cell r="C1583" t="str">
            <v xml:space="preserve">Real EstateT </v>
          </cell>
        </row>
        <row r="1584">
          <cell r="B1584">
            <v>5311</v>
          </cell>
          <cell r="C1584" t="str">
            <v xml:space="preserve">Lessors of Real EstateT </v>
          </cell>
        </row>
        <row r="1585">
          <cell r="B1585">
            <v>53111</v>
          </cell>
          <cell r="C1585" t="str">
            <v xml:space="preserve">Lessors of Residential Buildings and Dwellings </v>
          </cell>
        </row>
        <row r="1586">
          <cell r="B1586">
            <v>531110</v>
          </cell>
          <cell r="C1586" t="str">
            <v xml:space="preserve">Lessors of Residential Buildings and Dwellings </v>
          </cell>
        </row>
        <row r="1587">
          <cell r="B1587">
            <v>53112</v>
          </cell>
          <cell r="C1587" t="str">
            <v xml:space="preserve">Lessors of Nonresidential Buildings (except Miniwarehouses) </v>
          </cell>
        </row>
        <row r="1588">
          <cell r="B1588">
            <v>531120</v>
          </cell>
          <cell r="C1588" t="str">
            <v xml:space="preserve">Lessors of Nonresidential Buildings (except Miniwarehouses) </v>
          </cell>
        </row>
        <row r="1589">
          <cell r="B1589">
            <v>53113</v>
          </cell>
          <cell r="C1589" t="str">
            <v xml:space="preserve">Lessors of Miniwarehouses and Self-Storage Units </v>
          </cell>
        </row>
        <row r="1590">
          <cell r="B1590">
            <v>531130</v>
          </cell>
          <cell r="C1590" t="str">
            <v xml:space="preserve">Lessors of Miniwarehouses and Self-Storage Units </v>
          </cell>
        </row>
        <row r="1591">
          <cell r="B1591">
            <v>53119</v>
          </cell>
          <cell r="C1591" t="str">
            <v xml:space="preserve">Lessors of Other Real Estate Property </v>
          </cell>
        </row>
        <row r="1592">
          <cell r="B1592">
            <v>531190</v>
          </cell>
          <cell r="C1592" t="str">
            <v xml:space="preserve">Lessors of Other Real Estate Property </v>
          </cell>
        </row>
        <row r="1593">
          <cell r="B1593">
            <v>5312</v>
          </cell>
          <cell r="C1593" t="str">
            <v xml:space="preserve">Offices of Real Estate Agents and BrokersT </v>
          </cell>
        </row>
        <row r="1594">
          <cell r="B1594">
            <v>53121</v>
          </cell>
          <cell r="C1594" t="str">
            <v xml:space="preserve">Offices of Real Estate Agents and BrokersT </v>
          </cell>
        </row>
        <row r="1595">
          <cell r="B1595">
            <v>531210</v>
          </cell>
          <cell r="C1595" t="str">
            <v>Offices of Real Estate Agents and Brokers</v>
          </cell>
        </row>
        <row r="1596">
          <cell r="B1596">
            <v>5313</v>
          </cell>
          <cell r="C1596" t="str">
            <v xml:space="preserve">Activities Related to Real EstateT </v>
          </cell>
        </row>
        <row r="1597">
          <cell r="B1597">
            <v>53131</v>
          </cell>
          <cell r="C1597" t="str">
            <v xml:space="preserve">Real Estate Property Managers </v>
          </cell>
        </row>
        <row r="1598">
          <cell r="B1598">
            <v>531311</v>
          </cell>
          <cell r="C1598" t="str">
            <v xml:space="preserve">Residential Property Managers </v>
          </cell>
        </row>
        <row r="1599">
          <cell r="B1599">
            <v>531312</v>
          </cell>
          <cell r="C1599" t="str">
            <v xml:space="preserve">Nonresidential Property Managers </v>
          </cell>
        </row>
        <row r="1600">
          <cell r="B1600">
            <v>53132</v>
          </cell>
          <cell r="C1600" t="str">
            <v xml:space="preserve">Offices of Real Estate Appraisers </v>
          </cell>
        </row>
        <row r="1601">
          <cell r="B1601">
            <v>531320</v>
          </cell>
          <cell r="C1601" t="str">
            <v xml:space="preserve">Offices of Real Estate Appraisers </v>
          </cell>
        </row>
        <row r="1602">
          <cell r="B1602">
            <v>53139</v>
          </cell>
          <cell r="C1602" t="str">
            <v xml:space="preserve">Other Activities Related to Real Estate </v>
          </cell>
        </row>
        <row r="1603">
          <cell r="B1603">
            <v>531390</v>
          </cell>
          <cell r="C1603" t="str">
            <v xml:space="preserve">Other Activities Related to Real Estate </v>
          </cell>
        </row>
        <row r="1604">
          <cell r="B1604">
            <v>532</v>
          </cell>
          <cell r="C1604" t="str">
            <v xml:space="preserve">Rental and Leasing ServicesT </v>
          </cell>
        </row>
        <row r="1605">
          <cell r="B1605">
            <v>5321</v>
          </cell>
          <cell r="C1605" t="str">
            <v xml:space="preserve">Automotive Equipment Rental and LeasingT </v>
          </cell>
        </row>
        <row r="1606">
          <cell r="B1606">
            <v>53211</v>
          </cell>
          <cell r="C1606" t="str">
            <v xml:space="preserve">Passenger Car Rental and LeasingT </v>
          </cell>
        </row>
        <row r="1607">
          <cell r="B1607">
            <v>532111</v>
          </cell>
          <cell r="C1607" t="str">
            <v xml:space="preserve">Passenger Car Rental </v>
          </cell>
        </row>
        <row r="1608">
          <cell r="B1608">
            <v>532112</v>
          </cell>
          <cell r="C1608" t="str">
            <v xml:space="preserve">Passenger Car Leasing </v>
          </cell>
        </row>
        <row r="1609">
          <cell r="B1609">
            <v>53212</v>
          </cell>
          <cell r="C1609" t="str">
            <v xml:space="preserve">Truck, Utility Trailer, and RV (Recreational Vehicle) Rental and LeasingT </v>
          </cell>
        </row>
        <row r="1610">
          <cell r="B1610">
            <v>532120</v>
          </cell>
          <cell r="C1610" t="str">
            <v xml:space="preserve">Truck, Utility Trailer, and RV (Recreational Vehicle) Rental and Leasing </v>
          </cell>
        </row>
        <row r="1611">
          <cell r="B1611">
            <v>5322</v>
          </cell>
          <cell r="C1611" t="str">
            <v xml:space="preserve">Consumer Goods RentalT </v>
          </cell>
        </row>
        <row r="1612">
          <cell r="B1612">
            <v>53221</v>
          </cell>
          <cell r="C1612" t="str">
            <v xml:space="preserve">Consumer Electronics and Appliances RentalT </v>
          </cell>
        </row>
        <row r="1613">
          <cell r="B1613">
            <v>532210</v>
          </cell>
          <cell r="C1613" t="str">
            <v>Consumer Electronics and Appliances Rental</v>
          </cell>
        </row>
        <row r="1614">
          <cell r="B1614">
            <v>53222</v>
          </cell>
          <cell r="C1614" t="str">
            <v xml:space="preserve">Formal Wear and Costume RentalT </v>
          </cell>
        </row>
        <row r="1615">
          <cell r="B1615">
            <v>532220</v>
          </cell>
          <cell r="C1615" t="str">
            <v>Formal Wear and Costume Rental</v>
          </cell>
        </row>
        <row r="1616">
          <cell r="B1616">
            <v>53223</v>
          </cell>
          <cell r="C1616" t="str">
            <v xml:space="preserve">Video Tape and Disc RentalT </v>
          </cell>
        </row>
        <row r="1617">
          <cell r="B1617">
            <v>532230</v>
          </cell>
          <cell r="C1617" t="str">
            <v>Video Tape and Disc Rental</v>
          </cell>
        </row>
        <row r="1618">
          <cell r="B1618">
            <v>53229</v>
          </cell>
          <cell r="C1618" t="str">
            <v xml:space="preserve">Other Consumer Goods RentalT </v>
          </cell>
        </row>
        <row r="1619">
          <cell r="B1619">
            <v>532291</v>
          </cell>
          <cell r="C1619" t="str">
            <v xml:space="preserve">Home Health Equipment Rental </v>
          </cell>
        </row>
        <row r="1620">
          <cell r="B1620">
            <v>532292</v>
          </cell>
          <cell r="C1620" t="str">
            <v xml:space="preserve">Recreational Goods Rental </v>
          </cell>
        </row>
        <row r="1621">
          <cell r="B1621">
            <v>532299</v>
          </cell>
          <cell r="C1621" t="str">
            <v xml:space="preserve">All Other Consumer Goods Rental </v>
          </cell>
        </row>
        <row r="1622">
          <cell r="B1622">
            <v>5323</v>
          </cell>
          <cell r="C1622" t="str">
            <v xml:space="preserve">General Rental CentersT </v>
          </cell>
        </row>
        <row r="1623">
          <cell r="B1623">
            <v>53231</v>
          </cell>
          <cell r="C1623" t="str">
            <v xml:space="preserve">General Rental CentersT </v>
          </cell>
        </row>
        <row r="1624">
          <cell r="B1624">
            <v>532310</v>
          </cell>
          <cell r="C1624" t="str">
            <v>General Rental Centers</v>
          </cell>
        </row>
        <row r="1625">
          <cell r="B1625">
            <v>5324</v>
          </cell>
          <cell r="C1625" t="str">
            <v xml:space="preserve">Commercial and Industrial Machinery and Equipment Rental and LeasingT </v>
          </cell>
        </row>
        <row r="1626">
          <cell r="B1626">
            <v>53241</v>
          </cell>
          <cell r="C1626" t="str">
            <v xml:space="preserve">Construction, Transportation, Mining, and Forestry Machinery and Equipment Rental and LeasingT </v>
          </cell>
        </row>
        <row r="1627">
          <cell r="B1627">
            <v>532411</v>
          </cell>
          <cell r="C1627" t="str">
            <v xml:space="preserve">Commercial Air, Rail, and Water Transportation Equipment Rental and Leasing </v>
          </cell>
        </row>
        <row r="1628">
          <cell r="B1628">
            <v>532412</v>
          </cell>
          <cell r="C1628" t="str">
            <v xml:space="preserve">Construction, Mining, and Forestry Machinery and Equipment Rental and Leasing </v>
          </cell>
        </row>
        <row r="1629">
          <cell r="B1629">
            <v>53242</v>
          </cell>
          <cell r="C1629" t="str">
            <v xml:space="preserve">Office Machinery and Equipment Rental and LeasingT </v>
          </cell>
        </row>
        <row r="1630">
          <cell r="B1630">
            <v>532420</v>
          </cell>
          <cell r="C1630" t="str">
            <v>Office Machinery and Equipment Rental and Leasing</v>
          </cell>
        </row>
        <row r="1631">
          <cell r="B1631">
            <v>53249</v>
          </cell>
          <cell r="C1631" t="str">
            <v xml:space="preserve">Other Commercial and Industrial Machinery and Equipment Rental and LeasingT </v>
          </cell>
        </row>
        <row r="1632">
          <cell r="B1632">
            <v>532490</v>
          </cell>
          <cell r="C1632" t="str">
            <v xml:space="preserve">Other Commercial and Industrial Machinery and Equipment Rental and Leasing </v>
          </cell>
        </row>
        <row r="1633">
          <cell r="B1633">
            <v>533</v>
          </cell>
          <cell r="C1633" t="str">
            <v xml:space="preserve">Lessors of Nonfinancial Intangible Assets (except Copyrighted Works)T </v>
          </cell>
        </row>
        <row r="1634">
          <cell r="B1634">
            <v>5331</v>
          </cell>
          <cell r="C1634" t="str">
            <v xml:space="preserve">Lessors of Nonfinancial Intangible Assets (except Copyrighted Works)T </v>
          </cell>
        </row>
        <row r="1635">
          <cell r="B1635">
            <v>53311</v>
          </cell>
          <cell r="C1635" t="str">
            <v xml:space="preserve">Lessors of Nonfinancial Intangible Assets (except Copyrighted Works)T </v>
          </cell>
        </row>
        <row r="1636">
          <cell r="B1636">
            <v>533110</v>
          </cell>
          <cell r="C1636" t="str">
            <v>Lessors of Nonfinancial Intangible Assets (except Copyrighted Works)</v>
          </cell>
        </row>
        <row r="1637">
          <cell r="B1637"/>
          <cell r="C1637"/>
        </row>
        <row r="1638">
          <cell r="B1638">
            <v>54</v>
          </cell>
          <cell r="C1638" t="str">
            <v>Professional, Scientific, and Technical ServicesT</v>
          </cell>
        </row>
        <row r="1639">
          <cell r="B1639">
            <v>541</v>
          </cell>
          <cell r="C1639" t="str">
            <v xml:space="preserve">Professional, Scientific, and Technical ServicesT </v>
          </cell>
        </row>
        <row r="1640">
          <cell r="B1640">
            <v>5411</v>
          </cell>
          <cell r="C1640" t="str">
            <v>Legal ServicesT</v>
          </cell>
        </row>
        <row r="1641">
          <cell r="B1641">
            <v>54111</v>
          </cell>
          <cell r="C1641" t="str">
            <v xml:space="preserve">Offices of LawyersT </v>
          </cell>
        </row>
        <row r="1642">
          <cell r="B1642">
            <v>541110</v>
          </cell>
          <cell r="C1642" t="str">
            <v>Offices of Lawyers</v>
          </cell>
        </row>
        <row r="1643">
          <cell r="B1643">
            <v>54112</v>
          </cell>
          <cell r="C1643" t="str">
            <v xml:space="preserve">Offices of NotariesT </v>
          </cell>
        </row>
        <row r="1644">
          <cell r="B1644">
            <v>541120</v>
          </cell>
          <cell r="C1644" t="str">
            <v>Offices of Notaries</v>
          </cell>
        </row>
        <row r="1645">
          <cell r="B1645">
            <v>54119</v>
          </cell>
          <cell r="C1645" t="str">
            <v xml:space="preserve">Other Legal ServicesT </v>
          </cell>
        </row>
        <row r="1646">
          <cell r="B1646">
            <v>541191</v>
          </cell>
          <cell r="C1646" t="str">
            <v xml:space="preserve">Title Abstract and Settlement Offices </v>
          </cell>
        </row>
        <row r="1647">
          <cell r="B1647">
            <v>541199</v>
          </cell>
          <cell r="C1647" t="str">
            <v xml:space="preserve">All Other Legal Services </v>
          </cell>
        </row>
        <row r="1648">
          <cell r="B1648">
            <v>5412</v>
          </cell>
          <cell r="C1648" t="str">
            <v xml:space="preserve">Accounting, Tax Preparation, Bookkeeping, and Payroll ServicesT </v>
          </cell>
        </row>
        <row r="1649">
          <cell r="B1649">
            <v>54121</v>
          </cell>
          <cell r="C1649" t="str">
            <v xml:space="preserve">Accounting, Tax Preparation, Bookkeeping, and Payroll ServicesT </v>
          </cell>
        </row>
        <row r="1650">
          <cell r="B1650">
            <v>541211</v>
          </cell>
          <cell r="C1650" t="str">
            <v xml:space="preserve">Offices of Certified Public Accountants </v>
          </cell>
        </row>
        <row r="1651">
          <cell r="B1651">
            <v>541213</v>
          </cell>
          <cell r="C1651" t="str">
            <v xml:space="preserve">Tax Preparation Services </v>
          </cell>
        </row>
        <row r="1652">
          <cell r="B1652">
            <v>541214</v>
          </cell>
          <cell r="C1652" t="str">
            <v xml:space="preserve">Payroll Services </v>
          </cell>
        </row>
        <row r="1653">
          <cell r="B1653">
            <v>541219</v>
          </cell>
          <cell r="C1653" t="str">
            <v xml:space="preserve">Other Accounting Services </v>
          </cell>
        </row>
        <row r="1654">
          <cell r="B1654">
            <v>5413</v>
          </cell>
          <cell r="C1654" t="str">
            <v xml:space="preserve">Architectural, Engineering, and Related ServicesT </v>
          </cell>
        </row>
        <row r="1655">
          <cell r="B1655">
            <v>54131</v>
          </cell>
          <cell r="C1655" t="str">
            <v xml:space="preserve">Architectural ServicesT </v>
          </cell>
        </row>
        <row r="1656">
          <cell r="B1656">
            <v>541310</v>
          </cell>
          <cell r="C1656" t="str">
            <v>Architectural Services</v>
          </cell>
        </row>
        <row r="1657">
          <cell r="B1657">
            <v>54132</v>
          </cell>
          <cell r="C1657" t="str">
            <v xml:space="preserve">Landscape Architectural ServicesT </v>
          </cell>
        </row>
        <row r="1658">
          <cell r="B1658">
            <v>541320</v>
          </cell>
          <cell r="C1658" t="str">
            <v>Landscape Architectural Services</v>
          </cell>
        </row>
        <row r="1659">
          <cell r="B1659">
            <v>54133</v>
          </cell>
          <cell r="C1659" t="str">
            <v xml:space="preserve">Engineering ServicesT </v>
          </cell>
        </row>
        <row r="1660">
          <cell r="B1660">
            <v>541330</v>
          </cell>
          <cell r="C1660" t="str">
            <v>Engineering Services</v>
          </cell>
        </row>
        <row r="1661">
          <cell r="B1661">
            <v>54134</v>
          </cell>
          <cell r="C1661" t="str">
            <v xml:space="preserve">Drafting ServicesT </v>
          </cell>
        </row>
        <row r="1662">
          <cell r="B1662">
            <v>541340</v>
          </cell>
          <cell r="C1662" t="str">
            <v>Drafting Services</v>
          </cell>
        </row>
        <row r="1663">
          <cell r="B1663">
            <v>54135</v>
          </cell>
          <cell r="C1663" t="str">
            <v xml:space="preserve">Building Inspection ServicesT </v>
          </cell>
        </row>
        <row r="1664">
          <cell r="B1664">
            <v>541350</v>
          </cell>
          <cell r="C1664" t="str">
            <v>Building Inspection Services</v>
          </cell>
        </row>
        <row r="1665">
          <cell r="B1665">
            <v>54136</v>
          </cell>
          <cell r="C1665" t="str">
            <v xml:space="preserve">Geophysical Surveying and Mapping ServicesT </v>
          </cell>
        </row>
        <row r="1666">
          <cell r="B1666">
            <v>541360</v>
          </cell>
          <cell r="C1666" t="str">
            <v>Geophysical Surveying and Mapping Services</v>
          </cell>
        </row>
        <row r="1667">
          <cell r="B1667">
            <v>54137</v>
          </cell>
          <cell r="C1667" t="str">
            <v xml:space="preserve">Surveying and Mapping (except Geophysical) ServicesT </v>
          </cell>
        </row>
        <row r="1668">
          <cell r="B1668">
            <v>541370</v>
          </cell>
          <cell r="C1668" t="str">
            <v>Surveying and Mapping (except Geophysical) Services</v>
          </cell>
        </row>
        <row r="1669">
          <cell r="B1669">
            <v>54138</v>
          </cell>
          <cell r="C1669" t="str">
            <v xml:space="preserve">Testing LaboratoriesT </v>
          </cell>
        </row>
        <row r="1670">
          <cell r="B1670">
            <v>541380</v>
          </cell>
          <cell r="C1670" t="str">
            <v>Testing Laboratories</v>
          </cell>
        </row>
        <row r="1671">
          <cell r="B1671">
            <v>5414</v>
          </cell>
          <cell r="C1671" t="str">
            <v xml:space="preserve">Specialized Design ServicesT </v>
          </cell>
        </row>
        <row r="1672">
          <cell r="B1672">
            <v>54141</v>
          </cell>
          <cell r="C1672" t="str">
            <v xml:space="preserve">Interior Design ServicesT </v>
          </cell>
        </row>
        <row r="1673">
          <cell r="B1673">
            <v>541410</v>
          </cell>
          <cell r="C1673" t="str">
            <v>Interior Design Services</v>
          </cell>
        </row>
        <row r="1674">
          <cell r="B1674">
            <v>54142</v>
          </cell>
          <cell r="C1674" t="str">
            <v xml:space="preserve">Industrial Design ServicesT </v>
          </cell>
        </row>
        <row r="1675">
          <cell r="B1675">
            <v>541420</v>
          </cell>
          <cell r="C1675" t="str">
            <v>Industrial Design Services</v>
          </cell>
        </row>
        <row r="1676">
          <cell r="B1676">
            <v>54143</v>
          </cell>
          <cell r="C1676" t="str">
            <v xml:space="preserve">Graphic Design ServicesT </v>
          </cell>
        </row>
        <row r="1677">
          <cell r="B1677">
            <v>541430</v>
          </cell>
          <cell r="C1677" t="str">
            <v>Graphic Design Services</v>
          </cell>
        </row>
        <row r="1678">
          <cell r="B1678">
            <v>54149</v>
          </cell>
          <cell r="C1678" t="str">
            <v xml:space="preserve">Other Specialized Design ServicesT </v>
          </cell>
        </row>
        <row r="1679">
          <cell r="B1679">
            <v>541490</v>
          </cell>
          <cell r="C1679" t="str">
            <v>Other Specialized Design Services</v>
          </cell>
        </row>
        <row r="1680">
          <cell r="B1680">
            <v>5415</v>
          </cell>
          <cell r="C1680" t="str">
            <v xml:space="preserve">Computer Systems Design and Related ServicesT </v>
          </cell>
        </row>
        <row r="1681">
          <cell r="B1681">
            <v>54151</v>
          </cell>
          <cell r="C1681" t="str">
            <v xml:space="preserve">Computer Systems Design and Related ServicesT </v>
          </cell>
        </row>
        <row r="1682">
          <cell r="B1682">
            <v>541511</v>
          </cell>
          <cell r="C1682" t="str">
            <v xml:space="preserve">Custom Computer Programming Services </v>
          </cell>
        </row>
        <row r="1683">
          <cell r="B1683">
            <v>541512</v>
          </cell>
          <cell r="C1683" t="str">
            <v xml:space="preserve">Computer Systems Design Services </v>
          </cell>
        </row>
        <row r="1684">
          <cell r="B1684">
            <v>541513</v>
          </cell>
          <cell r="C1684" t="str">
            <v xml:space="preserve">Computer Facilities Management Services </v>
          </cell>
        </row>
        <row r="1685">
          <cell r="B1685">
            <v>541519</v>
          </cell>
          <cell r="C1685" t="str">
            <v>Other Computer Related Services</v>
          </cell>
        </row>
        <row r="1686">
          <cell r="B1686">
            <v>5416</v>
          </cell>
          <cell r="C1686" t="str">
            <v xml:space="preserve">Management, Scientific, and Technical Consulting ServicesT </v>
          </cell>
        </row>
        <row r="1687">
          <cell r="B1687">
            <v>54161</v>
          </cell>
          <cell r="C1687" t="str">
            <v xml:space="preserve">Management Consulting ServicesT </v>
          </cell>
        </row>
        <row r="1688">
          <cell r="B1688">
            <v>541611</v>
          </cell>
          <cell r="C1688" t="str">
            <v xml:space="preserve">Administrative Management and General Management Consulting Services </v>
          </cell>
        </row>
        <row r="1689">
          <cell r="B1689">
            <v>541612</v>
          </cell>
          <cell r="C1689" t="str">
            <v xml:space="preserve">Human Resources Consulting Services </v>
          </cell>
        </row>
        <row r="1690">
          <cell r="B1690">
            <v>541613</v>
          </cell>
          <cell r="C1690" t="str">
            <v xml:space="preserve">Marketing Consulting Services </v>
          </cell>
        </row>
        <row r="1691">
          <cell r="B1691">
            <v>541614</v>
          </cell>
          <cell r="C1691" t="str">
            <v xml:space="preserve">Process, Physical Distribution, and Logistics Consulting Services </v>
          </cell>
        </row>
        <row r="1692">
          <cell r="B1692">
            <v>541618</v>
          </cell>
          <cell r="C1692" t="str">
            <v xml:space="preserve">Other Management Consulting Services </v>
          </cell>
        </row>
        <row r="1693">
          <cell r="B1693">
            <v>54162</v>
          </cell>
          <cell r="C1693" t="str">
            <v xml:space="preserve">Environmental Consulting ServicesT </v>
          </cell>
        </row>
        <row r="1694">
          <cell r="B1694">
            <v>541620</v>
          </cell>
          <cell r="C1694" t="str">
            <v>Environmental Consulting Services</v>
          </cell>
        </row>
        <row r="1695">
          <cell r="B1695">
            <v>54169</v>
          </cell>
          <cell r="C1695" t="str">
            <v xml:space="preserve">Other Scientific and Technical Consulting ServicesT </v>
          </cell>
        </row>
        <row r="1696">
          <cell r="B1696">
            <v>541690</v>
          </cell>
          <cell r="C1696" t="str">
            <v>Other Scientific and Technical Consulting Services</v>
          </cell>
        </row>
        <row r="1697">
          <cell r="B1697">
            <v>5417</v>
          </cell>
          <cell r="C1697" t="str">
            <v xml:space="preserve">Scientific Research and Development ServicesT </v>
          </cell>
        </row>
        <row r="1698">
          <cell r="B1698">
            <v>54171</v>
          </cell>
          <cell r="C1698" t="str">
            <v xml:space="preserve">Research and Development in the Physical, Engineering, and Life SciencesT </v>
          </cell>
        </row>
        <row r="1699">
          <cell r="B1699">
            <v>541711</v>
          </cell>
          <cell r="C1699" t="str">
            <v xml:space="preserve">Research and Development in Biotechnology </v>
          </cell>
        </row>
        <row r="1700">
          <cell r="B1700">
            <v>541712</v>
          </cell>
          <cell r="C1700" t="str">
            <v xml:space="preserve">Research and Development in the Physical, Engineering, and Life Sciences (except Biotechnology) </v>
          </cell>
        </row>
        <row r="1701">
          <cell r="B1701">
            <v>54172</v>
          </cell>
          <cell r="C1701" t="str">
            <v xml:space="preserve">Research and Development in the Social Sciences and HumanitiesT </v>
          </cell>
        </row>
        <row r="1702">
          <cell r="B1702">
            <v>541720</v>
          </cell>
          <cell r="C1702" t="str">
            <v xml:space="preserve">Research and Development in the Social Sciences and Humanities </v>
          </cell>
        </row>
        <row r="1703">
          <cell r="B1703">
            <v>5418</v>
          </cell>
          <cell r="C1703" t="str">
            <v xml:space="preserve">Advertising, Public Relations, and Related ServicesT </v>
          </cell>
        </row>
        <row r="1704">
          <cell r="B1704">
            <v>54181</v>
          </cell>
          <cell r="C1704" t="str">
            <v xml:space="preserve">Advertising AgenciesT </v>
          </cell>
        </row>
        <row r="1705">
          <cell r="B1705">
            <v>541810</v>
          </cell>
          <cell r="C1705" t="str">
            <v>Advertising Agencies</v>
          </cell>
        </row>
        <row r="1706">
          <cell r="B1706">
            <v>54182</v>
          </cell>
          <cell r="C1706" t="str">
            <v xml:space="preserve">Public Relations AgenciesT </v>
          </cell>
        </row>
        <row r="1707">
          <cell r="B1707">
            <v>541820</v>
          </cell>
          <cell r="C1707" t="str">
            <v>Public Relations Agencies</v>
          </cell>
        </row>
        <row r="1708">
          <cell r="B1708">
            <v>54183</v>
          </cell>
          <cell r="C1708" t="str">
            <v xml:space="preserve">Media Buying AgenciesT </v>
          </cell>
        </row>
        <row r="1709">
          <cell r="B1709">
            <v>541830</v>
          </cell>
          <cell r="C1709" t="str">
            <v>Media Buying Agencies</v>
          </cell>
        </row>
        <row r="1710">
          <cell r="B1710">
            <v>54184</v>
          </cell>
          <cell r="C1710" t="str">
            <v xml:space="preserve">Media RepresentativesT </v>
          </cell>
        </row>
        <row r="1711">
          <cell r="B1711">
            <v>541840</v>
          </cell>
          <cell r="C1711" t="str">
            <v>Media Representatives</v>
          </cell>
        </row>
        <row r="1712">
          <cell r="B1712">
            <v>54185</v>
          </cell>
          <cell r="C1712" t="str">
            <v xml:space="preserve">Outdoor AdvertisingT </v>
          </cell>
        </row>
        <row r="1713">
          <cell r="B1713">
            <v>541850</v>
          </cell>
          <cell r="C1713" t="str">
            <v>Outdoor Advertising</v>
          </cell>
        </row>
        <row r="1714">
          <cell r="B1714">
            <v>54186</v>
          </cell>
          <cell r="C1714" t="str">
            <v xml:space="preserve">Direct Mail AdvertisingT </v>
          </cell>
        </row>
        <row r="1715">
          <cell r="B1715">
            <v>541860</v>
          </cell>
          <cell r="C1715" t="str">
            <v>Direct Mail Advertising</v>
          </cell>
        </row>
        <row r="1716">
          <cell r="B1716">
            <v>54187</v>
          </cell>
          <cell r="C1716" t="str">
            <v xml:space="preserve">Advertising Material Distribution ServicesT </v>
          </cell>
        </row>
        <row r="1717">
          <cell r="B1717">
            <v>541870</v>
          </cell>
          <cell r="C1717" t="str">
            <v>Advertising Material Distribution Services</v>
          </cell>
        </row>
        <row r="1718">
          <cell r="B1718">
            <v>54189</v>
          </cell>
          <cell r="C1718" t="str">
            <v xml:space="preserve">Other Services Related to AdvertisingT </v>
          </cell>
        </row>
        <row r="1719">
          <cell r="B1719">
            <v>541890</v>
          </cell>
          <cell r="C1719" t="str">
            <v xml:space="preserve">Other Services Related to Advertising </v>
          </cell>
        </row>
        <row r="1720">
          <cell r="B1720">
            <v>5419</v>
          </cell>
          <cell r="C1720" t="str">
            <v xml:space="preserve">Other Professional, Scientific, and Technical ServicesT </v>
          </cell>
        </row>
        <row r="1721">
          <cell r="B1721">
            <v>54191</v>
          </cell>
          <cell r="C1721" t="str">
            <v xml:space="preserve">Marketing Research and Public Opinion PollingT </v>
          </cell>
        </row>
        <row r="1722">
          <cell r="B1722">
            <v>541910</v>
          </cell>
          <cell r="C1722" t="str">
            <v>Marketing Research and Public Opinion Polling</v>
          </cell>
        </row>
        <row r="1723">
          <cell r="B1723">
            <v>54192</v>
          </cell>
          <cell r="C1723" t="str">
            <v xml:space="preserve">Photographic ServicesT </v>
          </cell>
        </row>
        <row r="1724">
          <cell r="B1724">
            <v>541921</v>
          </cell>
          <cell r="C1724" t="str">
            <v xml:space="preserve">Photography Studios, Portrait </v>
          </cell>
        </row>
        <row r="1725">
          <cell r="B1725">
            <v>541922</v>
          </cell>
          <cell r="C1725" t="str">
            <v xml:space="preserve">Commercial Photography </v>
          </cell>
        </row>
        <row r="1726">
          <cell r="B1726">
            <v>54193</v>
          </cell>
          <cell r="C1726" t="str">
            <v xml:space="preserve">Translation and Interpretation ServicesT </v>
          </cell>
        </row>
        <row r="1727">
          <cell r="B1727">
            <v>541930</v>
          </cell>
          <cell r="C1727" t="str">
            <v>Translation and Interpretation Services</v>
          </cell>
        </row>
        <row r="1728">
          <cell r="B1728">
            <v>54194</v>
          </cell>
          <cell r="C1728" t="str">
            <v xml:space="preserve">Veterinary ServicesT </v>
          </cell>
        </row>
        <row r="1729">
          <cell r="B1729">
            <v>541940</v>
          </cell>
          <cell r="C1729" t="str">
            <v xml:space="preserve">Veterinary Services </v>
          </cell>
        </row>
        <row r="1730">
          <cell r="B1730">
            <v>54199</v>
          </cell>
          <cell r="C1730" t="str">
            <v xml:space="preserve">All Other Professional, Scientific, and Technical ServicesT </v>
          </cell>
        </row>
        <row r="1731">
          <cell r="B1731">
            <v>541990</v>
          </cell>
          <cell r="C1731" t="str">
            <v>All Other Professional, Scientific, and Technical Services</v>
          </cell>
        </row>
        <row r="1732">
          <cell r="B1732"/>
          <cell r="C1732"/>
        </row>
        <row r="1733">
          <cell r="B1733">
            <v>55</v>
          </cell>
          <cell r="C1733" t="str">
            <v xml:space="preserve">Management of Companies and EnterprisesT </v>
          </cell>
        </row>
        <row r="1734">
          <cell r="B1734">
            <v>551</v>
          </cell>
          <cell r="C1734" t="str">
            <v xml:space="preserve">Management of Companies and EnterprisesT </v>
          </cell>
        </row>
        <row r="1735">
          <cell r="B1735">
            <v>5511</v>
          </cell>
          <cell r="C1735" t="str">
            <v xml:space="preserve">Management of Companies and EnterprisesT </v>
          </cell>
        </row>
        <row r="1736">
          <cell r="B1736">
            <v>55111</v>
          </cell>
          <cell r="C1736" t="str">
            <v xml:space="preserve">Management of Companies and EnterprisesT </v>
          </cell>
        </row>
        <row r="1737">
          <cell r="B1737">
            <v>551111</v>
          </cell>
          <cell r="C1737" t="str">
            <v xml:space="preserve">Offices of Bank Holding Companies </v>
          </cell>
        </row>
        <row r="1738">
          <cell r="B1738">
            <v>551112</v>
          </cell>
          <cell r="C1738" t="str">
            <v xml:space="preserve">Offices of Other Holding Companies </v>
          </cell>
        </row>
        <row r="1739">
          <cell r="B1739">
            <v>551114</v>
          </cell>
          <cell r="C1739" t="str">
            <v xml:space="preserve">Corporate, Subsidiary, and Regional Managing Offices </v>
          </cell>
        </row>
        <row r="1740">
          <cell r="B1740"/>
          <cell r="C1740"/>
        </row>
        <row r="1741">
          <cell r="B1741">
            <v>56</v>
          </cell>
          <cell r="C1741" t="str">
            <v>Administrative and Support and Waste Management and Remediation ServicesT</v>
          </cell>
        </row>
        <row r="1742">
          <cell r="B1742">
            <v>561</v>
          </cell>
          <cell r="C1742" t="str">
            <v xml:space="preserve">Administrative and Support ServicesT </v>
          </cell>
        </row>
        <row r="1743">
          <cell r="B1743">
            <v>5611</v>
          </cell>
          <cell r="C1743" t="str">
            <v xml:space="preserve">Office Administrative ServicesT </v>
          </cell>
        </row>
        <row r="1744">
          <cell r="B1744">
            <v>56111</v>
          </cell>
          <cell r="C1744" t="str">
            <v xml:space="preserve">Office Administrative ServicesT </v>
          </cell>
        </row>
        <row r="1745">
          <cell r="B1745">
            <v>561110</v>
          </cell>
          <cell r="C1745" t="str">
            <v>Office Administrative Services</v>
          </cell>
        </row>
        <row r="1746">
          <cell r="B1746">
            <v>5612</v>
          </cell>
          <cell r="C1746" t="str">
            <v xml:space="preserve">Facilities Support ServicesT </v>
          </cell>
        </row>
        <row r="1747">
          <cell r="B1747">
            <v>56121</v>
          </cell>
          <cell r="C1747" t="str">
            <v xml:space="preserve">Facilities Support ServicesT </v>
          </cell>
        </row>
        <row r="1748">
          <cell r="B1748">
            <v>561210</v>
          </cell>
          <cell r="C1748" t="str">
            <v>Facilities Support Services</v>
          </cell>
        </row>
        <row r="1749">
          <cell r="B1749">
            <v>5613</v>
          </cell>
          <cell r="C1749" t="str">
            <v xml:space="preserve">Employment ServicesT </v>
          </cell>
        </row>
        <row r="1750">
          <cell r="B1750">
            <v>56131</v>
          </cell>
          <cell r="C1750" t="str">
            <v xml:space="preserve">Employment Placement Agencies and Executive Search ServicesT </v>
          </cell>
        </row>
        <row r="1751">
          <cell r="B1751">
            <v>561311</v>
          </cell>
          <cell r="C1751" t="str">
            <v xml:space="preserve">Employment Placement Agencies </v>
          </cell>
        </row>
        <row r="1752">
          <cell r="B1752">
            <v>561312</v>
          </cell>
          <cell r="C1752" t="str">
            <v xml:space="preserve">Executive Search Services </v>
          </cell>
        </row>
        <row r="1753">
          <cell r="B1753">
            <v>56132</v>
          </cell>
          <cell r="C1753" t="str">
            <v xml:space="preserve">Temporary Help ServicesT </v>
          </cell>
        </row>
        <row r="1754">
          <cell r="B1754">
            <v>561320</v>
          </cell>
          <cell r="C1754" t="str">
            <v>Temporary Help Services</v>
          </cell>
        </row>
        <row r="1755">
          <cell r="B1755">
            <v>56133</v>
          </cell>
          <cell r="C1755" t="str">
            <v xml:space="preserve">Professional Employer OrganizationsT </v>
          </cell>
        </row>
        <row r="1756">
          <cell r="B1756">
            <v>561330</v>
          </cell>
          <cell r="C1756" t="str">
            <v>Professional Employer Organizations</v>
          </cell>
        </row>
        <row r="1757">
          <cell r="B1757">
            <v>5614</v>
          </cell>
          <cell r="C1757" t="str">
            <v xml:space="preserve">Business Support ServicesT </v>
          </cell>
        </row>
        <row r="1758">
          <cell r="B1758">
            <v>56141</v>
          </cell>
          <cell r="C1758" t="str">
            <v xml:space="preserve">Document Preparation ServicesT </v>
          </cell>
        </row>
        <row r="1759">
          <cell r="B1759">
            <v>561410</v>
          </cell>
          <cell r="C1759" t="str">
            <v>Document Preparation Services</v>
          </cell>
        </row>
        <row r="1760">
          <cell r="B1760">
            <v>56142</v>
          </cell>
          <cell r="C1760" t="str">
            <v xml:space="preserve">Telephone Call CentersT </v>
          </cell>
        </row>
        <row r="1761">
          <cell r="B1761">
            <v>561421</v>
          </cell>
          <cell r="C1761" t="str">
            <v xml:space="preserve">Telephone Answering Services </v>
          </cell>
        </row>
        <row r="1762">
          <cell r="B1762">
            <v>561422</v>
          </cell>
          <cell r="C1762" t="str">
            <v xml:space="preserve">Telemarketing Bureaus and Other Contact Centers </v>
          </cell>
        </row>
        <row r="1763">
          <cell r="B1763">
            <v>56143</v>
          </cell>
          <cell r="C1763" t="str">
            <v xml:space="preserve">Business Service CentersT </v>
          </cell>
        </row>
        <row r="1764">
          <cell r="B1764">
            <v>561431</v>
          </cell>
          <cell r="C1764" t="str">
            <v xml:space="preserve">Private Mail Centers </v>
          </cell>
        </row>
        <row r="1765">
          <cell r="B1765">
            <v>561439</v>
          </cell>
          <cell r="C1765" t="str">
            <v xml:space="preserve">Other Business Service Centers (including Copy Shops) </v>
          </cell>
        </row>
        <row r="1766">
          <cell r="B1766">
            <v>56144</v>
          </cell>
          <cell r="C1766" t="str">
            <v xml:space="preserve">Collection AgenciesT </v>
          </cell>
        </row>
        <row r="1767">
          <cell r="B1767">
            <v>561440</v>
          </cell>
          <cell r="C1767" t="str">
            <v>Collection Agencies</v>
          </cell>
        </row>
        <row r="1768">
          <cell r="B1768">
            <v>56145</v>
          </cell>
          <cell r="C1768" t="str">
            <v xml:space="preserve">Credit BureausT </v>
          </cell>
        </row>
        <row r="1769">
          <cell r="B1769">
            <v>561450</v>
          </cell>
          <cell r="C1769" t="str">
            <v>Credit Bureaus</v>
          </cell>
        </row>
        <row r="1770">
          <cell r="B1770">
            <v>56149</v>
          </cell>
          <cell r="C1770" t="str">
            <v xml:space="preserve">Other Business Support ServicesT </v>
          </cell>
        </row>
        <row r="1771">
          <cell r="B1771">
            <v>561491</v>
          </cell>
          <cell r="C1771" t="str">
            <v xml:space="preserve">Repossession Services </v>
          </cell>
        </row>
        <row r="1772">
          <cell r="B1772">
            <v>561492</v>
          </cell>
          <cell r="C1772" t="str">
            <v xml:space="preserve">Court Reporting and Stenotype Services </v>
          </cell>
        </row>
        <row r="1773">
          <cell r="B1773">
            <v>561499</v>
          </cell>
          <cell r="C1773" t="str">
            <v xml:space="preserve">All Other Business Support Services </v>
          </cell>
        </row>
        <row r="1774">
          <cell r="B1774">
            <v>5615</v>
          </cell>
          <cell r="C1774" t="str">
            <v xml:space="preserve">Travel Arrangement and Reservation ServicesT </v>
          </cell>
        </row>
        <row r="1775">
          <cell r="B1775">
            <v>56151</v>
          </cell>
          <cell r="C1775" t="str">
            <v xml:space="preserve">Travel AgenciesT </v>
          </cell>
        </row>
        <row r="1776">
          <cell r="B1776">
            <v>561510</v>
          </cell>
          <cell r="C1776" t="str">
            <v>Travel Agencies</v>
          </cell>
        </row>
        <row r="1777">
          <cell r="B1777">
            <v>56152</v>
          </cell>
          <cell r="C1777" t="str">
            <v xml:space="preserve">Tour OperatorsT </v>
          </cell>
        </row>
        <row r="1778">
          <cell r="B1778">
            <v>561520</v>
          </cell>
          <cell r="C1778" t="str">
            <v>Tour Operators</v>
          </cell>
        </row>
        <row r="1779">
          <cell r="B1779">
            <v>56159</v>
          </cell>
          <cell r="C1779" t="str">
            <v xml:space="preserve">Other Travel Arrangement and Reservation ServicesT </v>
          </cell>
        </row>
        <row r="1780">
          <cell r="B1780">
            <v>561591</v>
          </cell>
          <cell r="C1780" t="str">
            <v xml:space="preserve">Convention and Visitors Bureaus </v>
          </cell>
        </row>
        <row r="1781">
          <cell r="B1781">
            <v>561599</v>
          </cell>
          <cell r="C1781" t="str">
            <v xml:space="preserve">All Other Travel Arrangement and Reservation Services </v>
          </cell>
        </row>
        <row r="1782">
          <cell r="B1782">
            <v>5616</v>
          </cell>
          <cell r="C1782" t="str">
            <v xml:space="preserve">Investigation and Security ServicesT </v>
          </cell>
        </row>
        <row r="1783">
          <cell r="B1783">
            <v>56161</v>
          </cell>
          <cell r="C1783" t="str">
            <v xml:space="preserve">Investigation, Guard, and Armored Car ServicesT </v>
          </cell>
        </row>
        <row r="1784">
          <cell r="B1784">
            <v>561611</v>
          </cell>
          <cell r="C1784" t="str">
            <v xml:space="preserve">Investigation Services </v>
          </cell>
        </row>
        <row r="1785">
          <cell r="B1785">
            <v>561612</v>
          </cell>
          <cell r="C1785" t="str">
            <v xml:space="preserve">Security Guards and Patrol Services </v>
          </cell>
        </row>
        <row r="1786">
          <cell r="B1786">
            <v>561613</v>
          </cell>
          <cell r="C1786" t="str">
            <v xml:space="preserve">Armored Car Services </v>
          </cell>
        </row>
        <row r="1787">
          <cell r="B1787">
            <v>56162</v>
          </cell>
          <cell r="C1787" t="str">
            <v xml:space="preserve">Security Systems ServicesT </v>
          </cell>
        </row>
        <row r="1788">
          <cell r="B1788">
            <v>561621</v>
          </cell>
          <cell r="C1788" t="str">
            <v xml:space="preserve">Security Systems Services (except Locksmiths) </v>
          </cell>
        </row>
        <row r="1789">
          <cell r="B1789">
            <v>561622</v>
          </cell>
          <cell r="C1789" t="str">
            <v xml:space="preserve">Locksmiths </v>
          </cell>
        </row>
        <row r="1790">
          <cell r="B1790">
            <v>5617</v>
          </cell>
          <cell r="C1790" t="str">
            <v xml:space="preserve">Services to Buildings and DwellingsT </v>
          </cell>
        </row>
        <row r="1791">
          <cell r="B1791">
            <v>56171</v>
          </cell>
          <cell r="C1791" t="str">
            <v xml:space="preserve">Exterminating and Pest Control ServicesT </v>
          </cell>
        </row>
        <row r="1792">
          <cell r="B1792">
            <v>561710</v>
          </cell>
          <cell r="C1792" t="str">
            <v>Exterminating and Pest Control Services</v>
          </cell>
        </row>
        <row r="1793">
          <cell r="B1793">
            <v>56172</v>
          </cell>
          <cell r="C1793" t="str">
            <v xml:space="preserve">Janitorial ServicesT </v>
          </cell>
        </row>
        <row r="1794">
          <cell r="B1794">
            <v>561720</v>
          </cell>
          <cell r="C1794" t="str">
            <v xml:space="preserve">Janitorial Services </v>
          </cell>
        </row>
        <row r="1795">
          <cell r="B1795">
            <v>56173</v>
          </cell>
          <cell r="C1795" t="str">
            <v xml:space="preserve">Landscaping ServicesT </v>
          </cell>
        </row>
        <row r="1796">
          <cell r="B1796">
            <v>561730</v>
          </cell>
          <cell r="C1796" t="str">
            <v>Landscaping Services</v>
          </cell>
        </row>
        <row r="1797">
          <cell r="B1797">
            <v>56174</v>
          </cell>
          <cell r="C1797" t="str">
            <v xml:space="preserve">Carpet and Upholstery Cleaning ServicesT </v>
          </cell>
        </row>
        <row r="1798">
          <cell r="B1798">
            <v>561740</v>
          </cell>
          <cell r="C1798" t="str">
            <v>Carpet and Upholstery Cleaning Services</v>
          </cell>
        </row>
        <row r="1799">
          <cell r="B1799">
            <v>56179</v>
          </cell>
          <cell r="C1799" t="str">
            <v xml:space="preserve">Other Services to Buildings and DwellingsT </v>
          </cell>
        </row>
        <row r="1800">
          <cell r="B1800">
            <v>561790</v>
          </cell>
          <cell r="C1800" t="str">
            <v xml:space="preserve">Other Services to Buildings and Dwellings </v>
          </cell>
        </row>
        <row r="1801">
          <cell r="B1801">
            <v>5619</v>
          </cell>
          <cell r="C1801" t="str">
            <v xml:space="preserve">Other Support ServicesT </v>
          </cell>
        </row>
        <row r="1802">
          <cell r="B1802">
            <v>56191</v>
          </cell>
          <cell r="C1802" t="str">
            <v xml:space="preserve">Packaging and Labeling ServicesT </v>
          </cell>
        </row>
        <row r="1803">
          <cell r="B1803">
            <v>561910</v>
          </cell>
          <cell r="C1803" t="str">
            <v>Packaging and Labeling Services</v>
          </cell>
        </row>
        <row r="1804">
          <cell r="B1804">
            <v>56192</v>
          </cell>
          <cell r="C1804" t="str">
            <v xml:space="preserve">Convention and Trade Show OrganizersT </v>
          </cell>
        </row>
        <row r="1805">
          <cell r="B1805">
            <v>561920</v>
          </cell>
          <cell r="C1805" t="str">
            <v>Convention and Trade Show Organizers</v>
          </cell>
        </row>
        <row r="1806">
          <cell r="B1806">
            <v>56199</v>
          </cell>
          <cell r="C1806" t="str">
            <v xml:space="preserve">All Other Support ServicesT </v>
          </cell>
        </row>
        <row r="1807">
          <cell r="B1807">
            <v>561990</v>
          </cell>
          <cell r="C1807" t="str">
            <v>All Other Support Services</v>
          </cell>
        </row>
        <row r="1808">
          <cell r="B1808">
            <v>562</v>
          </cell>
          <cell r="C1808" t="str">
            <v xml:space="preserve">Waste Management and Remediation ServicesT </v>
          </cell>
        </row>
        <row r="1809">
          <cell r="B1809">
            <v>5621</v>
          </cell>
          <cell r="C1809" t="str">
            <v xml:space="preserve">Waste Collection </v>
          </cell>
        </row>
        <row r="1810">
          <cell r="B1810">
            <v>56211</v>
          </cell>
          <cell r="C1810" t="str">
            <v xml:space="preserve">Waste Collection </v>
          </cell>
        </row>
        <row r="1811">
          <cell r="B1811">
            <v>562111</v>
          </cell>
          <cell r="C1811" t="str">
            <v xml:space="preserve">Solid Waste Collection </v>
          </cell>
        </row>
        <row r="1812">
          <cell r="B1812">
            <v>562112</v>
          </cell>
          <cell r="C1812" t="str">
            <v xml:space="preserve">Hazardous Waste Collection </v>
          </cell>
        </row>
        <row r="1813">
          <cell r="B1813">
            <v>562119</v>
          </cell>
          <cell r="C1813" t="str">
            <v xml:space="preserve">Other Waste Collection </v>
          </cell>
        </row>
        <row r="1814">
          <cell r="B1814">
            <v>5622</v>
          </cell>
          <cell r="C1814" t="str">
            <v xml:space="preserve">Waste Treatment and Disposal </v>
          </cell>
        </row>
        <row r="1815">
          <cell r="B1815">
            <v>56221</v>
          </cell>
          <cell r="C1815" t="str">
            <v xml:space="preserve">Waste Treatment and Disposal </v>
          </cell>
        </row>
        <row r="1816">
          <cell r="B1816">
            <v>562211</v>
          </cell>
          <cell r="C1816" t="str">
            <v xml:space="preserve">Hazardous Waste Treatment and Disposal </v>
          </cell>
        </row>
        <row r="1817">
          <cell r="B1817">
            <v>562212</v>
          </cell>
          <cell r="C1817" t="str">
            <v xml:space="preserve">Solid Waste Landfill </v>
          </cell>
        </row>
        <row r="1818">
          <cell r="B1818">
            <v>562213</v>
          </cell>
          <cell r="C1818" t="str">
            <v xml:space="preserve">Solid Waste Combustors and Incinerators </v>
          </cell>
        </row>
        <row r="1819">
          <cell r="B1819">
            <v>562219</v>
          </cell>
          <cell r="C1819" t="str">
            <v xml:space="preserve">Other Nonhazardous Waste Treatment and Disposal </v>
          </cell>
        </row>
        <row r="1820">
          <cell r="B1820">
            <v>5629</v>
          </cell>
          <cell r="C1820" t="str">
            <v xml:space="preserve">Remediation and Other Waste Management Services </v>
          </cell>
        </row>
        <row r="1821">
          <cell r="B1821">
            <v>56291</v>
          </cell>
          <cell r="C1821" t="str">
            <v xml:space="preserve">Remediation Services </v>
          </cell>
        </row>
        <row r="1822">
          <cell r="B1822">
            <v>562910</v>
          </cell>
          <cell r="C1822" t="str">
            <v xml:space="preserve">Remediation Services </v>
          </cell>
        </row>
        <row r="1823">
          <cell r="B1823">
            <v>56292</v>
          </cell>
          <cell r="C1823" t="str">
            <v xml:space="preserve">Materials Recovery Facilities </v>
          </cell>
        </row>
        <row r="1824">
          <cell r="B1824">
            <v>562920</v>
          </cell>
          <cell r="C1824" t="str">
            <v xml:space="preserve">Materials Recovery Facilities </v>
          </cell>
        </row>
        <row r="1825">
          <cell r="B1825">
            <v>56299</v>
          </cell>
          <cell r="C1825" t="str">
            <v xml:space="preserve">All Other Waste Management Services </v>
          </cell>
        </row>
        <row r="1826">
          <cell r="B1826">
            <v>562991</v>
          </cell>
          <cell r="C1826" t="str">
            <v xml:space="preserve">Septic Tank and Related Services </v>
          </cell>
        </row>
        <row r="1827">
          <cell r="B1827">
            <v>562998</v>
          </cell>
          <cell r="C1827" t="str">
            <v xml:space="preserve">All Other Miscellaneous Waste Management Services </v>
          </cell>
        </row>
        <row r="1828">
          <cell r="B1828"/>
          <cell r="C1828"/>
        </row>
        <row r="1829">
          <cell r="B1829">
            <v>61</v>
          </cell>
          <cell r="C1829" t="str">
            <v>Educational ServicesT</v>
          </cell>
        </row>
        <row r="1830">
          <cell r="B1830">
            <v>611</v>
          </cell>
          <cell r="C1830" t="str">
            <v xml:space="preserve">Educational ServicesT </v>
          </cell>
        </row>
        <row r="1831">
          <cell r="B1831">
            <v>6111</v>
          </cell>
          <cell r="C1831" t="str">
            <v xml:space="preserve">Elementary and Secondary SchoolsT </v>
          </cell>
        </row>
        <row r="1832">
          <cell r="B1832">
            <v>61111</v>
          </cell>
          <cell r="C1832" t="str">
            <v xml:space="preserve">Elementary and Secondary Schools </v>
          </cell>
        </row>
        <row r="1833">
          <cell r="B1833">
            <v>611110</v>
          </cell>
          <cell r="C1833" t="str">
            <v xml:space="preserve">Elementary and Secondary Schools </v>
          </cell>
        </row>
        <row r="1834">
          <cell r="B1834">
            <v>6112</v>
          </cell>
          <cell r="C1834" t="str">
            <v xml:space="preserve">Junior CollegesT </v>
          </cell>
        </row>
        <row r="1835">
          <cell r="B1835">
            <v>61121</v>
          </cell>
          <cell r="C1835" t="str">
            <v xml:space="preserve">Junior CollegesT </v>
          </cell>
        </row>
        <row r="1836">
          <cell r="B1836">
            <v>611210</v>
          </cell>
          <cell r="C1836" t="str">
            <v xml:space="preserve">Junior Colleges </v>
          </cell>
        </row>
        <row r="1837">
          <cell r="B1837">
            <v>6113</v>
          </cell>
          <cell r="C1837" t="str">
            <v xml:space="preserve">Colleges, Universities, and Professional SchoolsT </v>
          </cell>
        </row>
        <row r="1838">
          <cell r="B1838">
            <v>61131</v>
          </cell>
          <cell r="C1838" t="str">
            <v xml:space="preserve">Colleges, Universities, and Professional SchoolsT </v>
          </cell>
        </row>
        <row r="1839">
          <cell r="B1839">
            <v>611310</v>
          </cell>
          <cell r="C1839" t="str">
            <v xml:space="preserve">Colleges, Universities, and Professional Schools </v>
          </cell>
        </row>
        <row r="1840">
          <cell r="B1840">
            <v>6114</v>
          </cell>
          <cell r="C1840" t="str">
            <v xml:space="preserve">Business Schools and Computer and Management TrainingT </v>
          </cell>
        </row>
        <row r="1841">
          <cell r="B1841">
            <v>61141</v>
          </cell>
          <cell r="C1841" t="str">
            <v xml:space="preserve">Business and Secretarial SchoolsT </v>
          </cell>
        </row>
        <row r="1842">
          <cell r="B1842">
            <v>611410</v>
          </cell>
          <cell r="C1842" t="str">
            <v xml:space="preserve">Business and Secretarial Schools </v>
          </cell>
        </row>
        <row r="1843">
          <cell r="B1843">
            <v>61142</v>
          </cell>
          <cell r="C1843" t="str">
            <v xml:space="preserve">Computer TrainingT </v>
          </cell>
        </row>
        <row r="1844">
          <cell r="B1844">
            <v>611420</v>
          </cell>
          <cell r="C1844" t="str">
            <v xml:space="preserve">Computer Training </v>
          </cell>
        </row>
        <row r="1845">
          <cell r="B1845">
            <v>61143</v>
          </cell>
          <cell r="C1845" t="str">
            <v xml:space="preserve">Professional and Management Development TrainingT </v>
          </cell>
        </row>
        <row r="1846">
          <cell r="B1846">
            <v>611430</v>
          </cell>
          <cell r="C1846" t="str">
            <v xml:space="preserve">Professional and Management Development Training </v>
          </cell>
        </row>
        <row r="1847">
          <cell r="B1847">
            <v>6115</v>
          </cell>
          <cell r="C1847" t="str">
            <v xml:space="preserve">Technical and Trade SchoolsT </v>
          </cell>
        </row>
        <row r="1848">
          <cell r="B1848">
            <v>61151</v>
          </cell>
          <cell r="C1848" t="str">
            <v xml:space="preserve">Technical and Trade SchoolsT </v>
          </cell>
        </row>
        <row r="1849">
          <cell r="B1849">
            <v>611511</v>
          </cell>
          <cell r="C1849" t="str">
            <v xml:space="preserve">Cosmetology and Barber Schools </v>
          </cell>
        </row>
        <row r="1850">
          <cell r="B1850">
            <v>611512</v>
          </cell>
          <cell r="C1850" t="str">
            <v xml:space="preserve">Flight Training </v>
          </cell>
        </row>
        <row r="1851">
          <cell r="B1851">
            <v>611513</v>
          </cell>
          <cell r="C1851" t="str">
            <v xml:space="preserve">Apprenticeship Training </v>
          </cell>
        </row>
        <row r="1852">
          <cell r="B1852">
            <v>611519</v>
          </cell>
          <cell r="C1852" t="str">
            <v xml:space="preserve">Other Technical and Trade Schools </v>
          </cell>
        </row>
        <row r="1853">
          <cell r="B1853">
            <v>6116</v>
          </cell>
          <cell r="C1853" t="str">
            <v xml:space="preserve">Other Schools and InstructionT </v>
          </cell>
        </row>
        <row r="1854">
          <cell r="B1854">
            <v>61161</v>
          </cell>
          <cell r="C1854" t="str">
            <v xml:space="preserve">Fine Arts SchoolsT </v>
          </cell>
        </row>
        <row r="1855">
          <cell r="B1855">
            <v>611610</v>
          </cell>
          <cell r="C1855" t="str">
            <v xml:space="preserve">Fine Arts Schools </v>
          </cell>
        </row>
        <row r="1856">
          <cell r="B1856">
            <v>61162</v>
          </cell>
          <cell r="C1856" t="str">
            <v xml:space="preserve">Sports and Recreation InstructionT </v>
          </cell>
        </row>
        <row r="1857">
          <cell r="B1857">
            <v>611620</v>
          </cell>
          <cell r="C1857" t="str">
            <v xml:space="preserve">Sports and Recreation Instruction </v>
          </cell>
        </row>
        <row r="1858">
          <cell r="B1858">
            <v>61163</v>
          </cell>
          <cell r="C1858" t="str">
            <v xml:space="preserve">Language SchoolsT </v>
          </cell>
        </row>
        <row r="1859">
          <cell r="B1859">
            <v>611630</v>
          </cell>
          <cell r="C1859" t="str">
            <v xml:space="preserve">Language Schools </v>
          </cell>
        </row>
        <row r="1860">
          <cell r="B1860">
            <v>61169</v>
          </cell>
          <cell r="C1860" t="str">
            <v xml:space="preserve">All Other Schools and InstructionT </v>
          </cell>
        </row>
        <row r="1861">
          <cell r="B1861">
            <v>611691</v>
          </cell>
          <cell r="C1861" t="str">
            <v xml:space="preserve">Exam Preparation and Tutoring </v>
          </cell>
        </row>
        <row r="1862">
          <cell r="B1862">
            <v>611692</v>
          </cell>
          <cell r="C1862" t="str">
            <v xml:space="preserve">Automobile Driving Schools </v>
          </cell>
        </row>
        <row r="1863">
          <cell r="B1863">
            <v>611699</v>
          </cell>
          <cell r="C1863" t="str">
            <v xml:space="preserve">All Other Miscellaneous Schools and Instruction </v>
          </cell>
        </row>
        <row r="1864">
          <cell r="B1864">
            <v>6117</v>
          </cell>
          <cell r="C1864" t="str">
            <v xml:space="preserve">Educational Support ServicesT </v>
          </cell>
        </row>
        <row r="1865">
          <cell r="B1865">
            <v>61171</v>
          </cell>
          <cell r="C1865" t="str">
            <v xml:space="preserve">Educational Support ServicesT </v>
          </cell>
        </row>
        <row r="1866">
          <cell r="B1866">
            <v>611710</v>
          </cell>
          <cell r="C1866" t="str">
            <v>Educational Support Services</v>
          </cell>
        </row>
        <row r="1867">
          <cell r="B1867"/>
          <cell r="C1867"/>
        </row>
        <row r="1868">
          <cell r="B1868">
            <v>62</v>
          </cell>
          <cell r="C1868" t="str">
            <v>Health Care and Social AssistanceT</v>
          </cell>
        </row>
        <row r="1869">
          <cell r="B1869">
            <v>621</v>
          </cell>
          <cell r="C1869" t="str">
            <v xml:space="preserve">Ambulatory Health Care ServicesT </v>
          </cell>
        </row>
        <row r="1870">
          <cell r="B1870">
            <v>6211</v>
          </cell>
          <cell r="C1870" t="str">
            <v xml:space="preserve">Offices of PhysiciansT </v>
          </cell>
        </row>
        <row r="1871">
          <cell r="B1871">
            <v>62111</v>
          </cell>
          <cell r="C1871" t="str">
            <v xml:space="preserve">Offices of PhysiciansT </v>
          </cell>
        </row>
        <row r="1872">
          <cell r="B1872">
            <v>621111</v>
          </cell>
          <cell r="C1872" t="str">
            <v xml:space="preserve">Offices of Physicians (except Mental Health Specialists) </v>
          </cell>
        </row>
        <row r="1873">
          <cell r="B1873">
            <v>621112</v>
          </cell>
          <cell r="C1873" t="str">
            <v xml:space="preserve">Offices of Physicians, Mental Health Specialists </v>
          </cell>
        </row>
        <row r="1874">
          <cell r="B1874">
            <v>6212</v>
          </cell>
          <cell r="C1874" t="str">
            <v xml:space="preserve">Offices of DentistsT </v>
          </cell>
        </row>
        <row r="1875">
          <cell r="B1875">
            <v>62121</v>
          </cell>
          <cell r="C1875" t="str">
            <v xml:space="preserve">Offices of DentistsT </v>
          </cell>
        </row>
        <row r="1876">
          <cell r="B1876">
            <v>621210</v>
          </cell>
          <cell r="C1876" t="str">
            <v xml:space="preserve">Offices of Dentists </v>
          </cell>
        </row>
        <row r="1877">
          <cell r="B1877">
            <v>6213</v>
          </cell>
          <cell r="C1877" t="str">
            <v xml:space="preserve">Offices of Other Health PractitionersT </v>
          </cell>
        </row>
        <row r="1878">
          <cell r="B1878">
            <v>62131</v>
          </cell>
          <cell r="C1878" t="str">
            <v xml:space="preserve">Offices of ChiropractorsT </v>
          </cell>
        </row>
        <row r="1879">
          <cell r="B1879">
            <v>621310</v>
          </cell>
          <cell r="C1879" t="str">
            <v xml:space="preserve">Offices of Chiropractors </v>
          </cell>
        </row>
        <row r="1880">
          <cell r="B1880">
            <v>62132</v>
          </cell>
          <cell r="C1880" t="str">
            <v xml:space="preserve">Offices of OptometristsT </v>
          </cell>
        </row>
        <row r="1881">
          <cell r="B1881">
            <v>621320</v>
          </cell>
          <cell r="C1881" t="str">
            <v>Offices of Optometrists</v>
          </cell>
        </row>
        <row r="1882">
          <cell r="B1882">
            <v>62133</v>
          </cell>
          <cell r="C1882" t="str">
            <v xml:space="preserve">Offices of Mental Health Practitioners (except Physicians)T </v>
          </cell>
        </row>
        <row r="1883">
          <cell r="B1883">
            <v>621330</v>
          </cell>
          <cell r="C1883" t="str">
            <v xml:space="preserve">Offices of Mental Health Practitioners (except Physicians) </v>
          </cell>
        </row>
        <row r="1884">
          <cell r="B1884">
            <v>62134</v>
          </cell>
          <cell r="C1884" t="str">
            <v xml:space="preserve">Offices of Physical, Occupational and Speech Therapists, and AudiologistsT </v>
          </cell>
        </row>
        <row r="1885">
          <cell r="B1885">
            <v>621340</v>
          </cell>
          <cell r="C1885" t="str">
            <v xml:space="preserve">Offices of Physical, Occupational and Speech Therapists, and Audiologists </v>
          </cell>
        </row>
        <row r="1886">
          <cell r="B1886">
            <v>62139</v>
          </cell>
          <cell r="C1886" t="str">
            <v xml:space="preserve">Offices of All Other Health PractitionersT </v>
          </cell>
        </row>
        <row r="1887">
          <cell r="B1887">
            <v>621391</v>
          </cell>
          <cell r="C1887" t="str">
            <v xml:space="preserve">Offices of Podiatrists </v>
          </cell>
        </row>
        <row r="1888">
          <cell r="B1888">
            <v>621399</v>
          </cell>
          <cell r="C1888" t="str">
            <v xml:space="preserve">Offices of All Other Miscellaneous Health Practitioners </v>
          </cell>
        </row>
        <row r="1889">
          <cell r="B1889">
            <v>6214</v>
          </cell>
          <cell r="C1889" t="str">
            <v xml:space="preserve">Outpatient Care CentersT </v>
          </cell>
        </row>
        <row r="1890">
          <cell r="B1890">
            <v>62141</v>
          </cell>
          <cell r="C1890" t="str">
            <v xml:space="preserve">Family Planning CentersT </v>
          </cell>
        </row>
        <row r="1891">
          <cell r="B1891">
            <v>621410</v>
          </cell>
          <cell r="C1891" t="str">
            <v xml:space="preserve">Family Planning Centers </v>
          </cell>
        </row>
        <row r="1892">
          <cell r="B1892">
            <v>62142</v>
          </cell>
          <cell r="C1892" t="str">
            <v xml:space="preserve">Outpatient Mental Health and Substance Abuse CentersT </v>
          </cell>
        </row>
        <row r="1893">
          <cell r="B1893">
            <v>621420</v>
          </cell>
          <cell r="C1893" t="str">
            <v xml:space="preserve">Outpatient Mental Health and Substance Abuse Centers </v>
          </cell>
        </row>
        <row r="1894">
          <cell r="B1894">
            <v>62149</v>
          </cell>
          <cell r="C1894" t="str">
            <v xml:space="preserve">Other Outpatient Care CentersT </v>
          </cell>
        </row>
        <row r="1895">
          <cell r="B1895">
            <v>621491</v>
          </cell>
          <cell r="C1895" t="str">
            <v xml:space="preserve">HMO Medical Centers </v>
          </cell>
        </row>
        <row r="1896">
          <cell r="B1896">
            <v>621492</v>
          </cell>
          <cell r="C1896" t="str">
            <v xml:space="preserve">Kidney Dialysis Centers </v>
          </cell>
        </row>
        <row r="1897">
          <cell r="B1897">
            <v>621493</v>
          </cell>
          <cell r="C1897" t="str">
            <v xml:space="preserve">Freestanding Ambulatory Surgical and Emergency Centers </v>
          </cell>
        </row>
        <row r="1898">
          <cell r="B1898">
            <v>621498</v>
          </cell>
          <cell r="C1898" t="str">
            <v xml:space="preserve">All Other Outpatient Care Centers </v>
          </cell>
        </row>
        <row r="1899">
          <cell r="B1899">
            <v>6215</v>
          </cell>
          <cell r="C1899" t="str">
            <v xml:space="preserve">Medical and Diagnostic LaboratoriesT </v>
          </cell>
        </row>
        <row r="1900">
          <cell r="B1900">
            <v>62151</v>
          </cell>
          <cell r="C1900" t="str">
            <v xml:space="preserve">Medical and Diagnostic LaboratoriesT </v>
          </cell>
        </row>
        <row r="1901">
          <cell r="B1901">
            <v>621511</v>
          </cell>
          <cell r="C1901" t="str">
            <v xml:space="preserve">Medical Laboratories </v>
          </cell>
        </row>
        <row r="1902">
          <cell r="B1902">
            <v>621512</v>
          </cell>
          <cell r="C1902" t="str">
            <v xml:space="preserve">Diagnostic Imaging Centers </v>
          </cell>
        </row>
        <row r="1903">
          <cell r="B1903">
            <v>6216</v>
          </cell>
          <cell r="C1903" t="str">
            <v xml:space="preserve">Home Health Care ServicesT </v>
          </cell>
        </row>
        <row r="1904">
          <cell r="B1904">
            <v>62161</v>
          </cell>
          <cell r="C1904" t="str">
            <v xml:space="preserve">Home Health Care ServicesT </v>
          </cell>
        </row>
        <row r="1905">
          <cell r="B1905">
            <v>621610</v>
          </cell>
          <cell r="C1905" t="str">
            <v>Home Health Care Services</v>
          </cell>
        </row>
        <row r="1906">
          <cell r="B1906">
            <v>6219</v>
          </cell>
          <cell r="C1906" t="str">
            <v xml:space="preserve">Other Ambulatory Health Care ServicesT </v>
          </cell>
        </row>
        <row r="1907">
          <cell r="B1907">
            <v>62191</v>
          </cell>
          <cell r="C1907" t="str">
            <v xml:space="preserve">Ambulance ServicesT </v>
          </cell>
        </row>
        <row r="1908">
          <cell r="B1908">
            <v>621910</v>
          </cell>
          <cell r="C1908" t="str">
            <v xml:space="preserve">Ambulance Services </v>
          </cell>
        </row>
        <row r="1909">
          <cell r="B1909">
            <v>62199</v>
          </cell>
          <cell r="C1909" t="str">
            <v xml:space="preserve">All Other Ambulatory Health Care ServicesT </v>
          </cell>
        </row>
        <row r="1910">
          <cell r="B1910">
            <v>621991</v>
          </cell>
          <cell r="C1910" t="str">
            <v xml:space="preserve">Blood and Organ Banks </v>
          </cell>
        </row>
        <row r="1911">
          <cell r="B1911">
            <v>621999</v>
          </cell>
          <cell r="C1911" t="str">
            <v xml:space="preserve">All Other Miscellaneous Ambulatory Health Care Services </v>
          </cell>
        </row>
        <row r="1912">
          <cell r="B1912">
            <v>622</v>
          </cell>
          <cell r="C1912" t="str">
            <v xml:space="preserve">HospitalsT </v>
          </cell>
        </row>
        <row r="1913">
          <cell r="B1913">
            <v>6221</v>
          </cell>
          <cell r="C1913" t="str">
            <v xml:space="preserve">General Medical and Surgical HospitalsT </v>
          </cell>
        </row>
        <row r="1914">
          <cell r="B1914">
            <v>62211</v>
          </cell>
          <cell r="C1914" t="str">
            <v xml:space="preserve">General Medical and Surgical HospitalsT </v>
          </cell>
        </row>
        <row r="1915">
          <cell r="B1915">
            <v>622110</v>
          </cell>
          <cell r="C1915" t="str">
            <v xml:space="preserve">General Medical and Surgical Hospitals </v>
          </cell>
        </row>
        <row r="1916">
          <cell r="B1916">
            <v>6222</v>
          </cell>
          <cell r="C1916" t="str">
            <v xml:space="preserve">Psychiatric and Substance Abuse HospitalsT </v>
          </cell>
        </row>
        <row r="1917">
          <cell r="B1917">
            <v>62221</v>
          </cell>
          <cell r="C1917" t="str">
            <v xml:space="preserve">Psychiatric and Substance Abuse HospitalsT </v>
          </cell>
        </row>
        <row r="1918">
          <cell r="B1918">
            <v>622210</v>
          </cell>
          <cell r="C1918" t="str">
            <v xml:space="preserve">Psychiatric and Substance Abuse Hospitals </v>
          </cell>
        </row>
        <row r="1919">
          <cell r="B1919">
            <v>6223</v>
          </cell>
          <cell r="C1919" t="str">
            <v xml:space="preserve">Specialty (except Psychiatric and Substance Abuse) HospitalsT </v>
          </cell>
        </row>
        <row r="1920">
          <cell r="B1920">
            <v>62231</v>
          </cell>
          <cell r="C1920" t="str">
            <v xml:space="preserve">Specialty (except Psychiatric and Substance Abuse) HospitalsT </v>
          </cell>
        </row>
        <row r="1921">
          <cell r="B1921">
            <v>622310</v>
          </cell>
          <cell r="C1921" t="str">
            <v xml:space="preserve">Specialty (except Psychiatric and Substance Abuse) Hospitals </v>
          </cell>
        </row>
        <row r="1922">
          <cell r="B1922">
            <v>623</v>
          </cell>
          <cell r="C1922" t="str">
            <v xml:space="preserve">Nursing and Residential Care FacilitiesT </v>
          </cell>
        </row>
        <row r="1923">
          <cell r="B1923">
            <v>6231</v>
          </cell>
          <cell r="C1923" t="str">
            <v xml:space="preserve">Nursing Care Facilities (Skilled Nursing Facilities)T </v>
          </cell>
        </row>
        <row r="1924">
          <cell r="B1924">
            <v>62311</v>
          </cell>
          <cell r="C1924" t="str">
            <v xml:space="preserve">Nursing Care Facilities (Skilled Nursing Facilities)T </v>
          </cell>
        </row>
        <row r="1925">
          <cell r="B1925">
            <v>623110</v>
          </cell>
          <cell r="C1925" t="str">
            <v xml:space="preserve">Nursing Care Facilities (Skilled Nursing Facilities) </v>
          </cell>
        </row>
        <row r="1926">
          <cell r="B1926">
            <v>6232</v>
          </cell>
          <cell r="C1926" t="str">
            <v>Residential Intellectual and Developmental Disability, Mental Health, and Substance Abuse FacilitiesT</v>
          </cell>
        </row>
        <row r="1927">
          <cell r="B1927">
            <v>62321</v>
          </cell>
          <cell r="C1927" t="str">
            <v xml:space="preserve">Residential Intellectual and Developmental Disability FacilitiesT </v>
          </cell>
        </row>
        <row r="1928">
          <cell r="B1928">
            <v>623210</v>
          </cell>
          <cell r="C1928" t="str">
            <v xml:space="preserve">Residential Intellectual and Developmental Disability Facilities </v>
          </cell>
        </row>
        <row r="1929">
          <cell r="B1929">
            <v>62322</v>
          </cell>
          <cell r="C1929" t="str">
            <v xml:space="preserve">Residential Mental Health and Substance Abuse FacilitiesT </v>
          </cell>
        </row>
        <row r="1930">
          <cell r="B1930">
            <v>623220</v>
          </cell>
          <cell r="C1930" t="str">
            <v xml:space="preserve">Residential Mental Health and Substance Abuse Facilities </v>
          </cell>
        </row>
        <row r="1931">
          <cell r="B1931">
            <v>6233</v>
          </cell>
          <cell r="C1931" t="str">
            <v xml:space="preserve">Continuing Care Retirement Communities and Assisted Living Facilities for the ElderlyT </v>
          </cell>
        </row>
        <row r="1932">
          <cell r="B1932">
            <v>62331</v>
          </cell>
          <cell r="C1932" t="str">
            <v xml:space="preserve">Continuing Care Retirement Communities and Assisted Living Facilities for the ElderlyT </v>
          </cell>
        </row>
        <row r="1933">
          <cell r="B1933">
            <v>623311</v>
          </cell>
          <cell r="C1933" t="str">
            <v xml:space="preserve">Continuing Care Retirement Communities </v>
          </cell>
        </row>
        <row r="1934">
          <cell r="B1934">
            <v>623312</v>
          </cell>
          <cell r="C1934" t="str">
            <v xml:space="preserve">Assisted Living Facilities for the Elderly </v>
          </cell>
        </row>
        <row r="1935">
          <cell r="B1935">
            <v>6239</v>
          </cell>
          <cell r="C1935" t="str">
            <v xml:space="preserve">Other Residential Care FacilitiesT </v>
          </cell>
        </row>
        <row r="1936">
          <cell r="B1936">
            <v>62399</v>
          </cell>
          <cell r="C1936" t="str">
            <v xml:space="preserve">Other Residential Care FacilitiesT </v>
          </cell>
        </row>
        <row r="1937">
          <cell r="B1937">
            <v>623990</v>
          </cell>
          <cell r="C1937" t="str">
            <v xml:space="preserve">Other Residential Care Facilities </v>
          </cell>
        </row>
        <row r="1938">
          <cell r="B1938">
            <v>624</v>
          </cell>
          <cell r="C1938" t="str">
            <v xml:space="preserve">Social AssistanceT </v>
          </cell>
        </row>
        <row r="1939">
          <cell r="B1939">
            <v>6241</v>
          </cell>
          <cell r="C1939" t="str">
            <v xml:space="preserve">Individual and Family ServicesT </v>
          </cell>
        </row>
        <row r="1940">
          <cell r="B1940">
            <v>62411</v>
          </cell>
          <cell r="C1940" t="str">
            <v xml:space="preserve">Child and Youth ServicesT </v>
          </cell>
        </row>
        <row r="1941">
          <cell r="B1941">
            <v>624110</v>
          </cell>
          <cell r="C1941" t="str">
            <v xml:space="preserve">Child and Youth Services </v>
          </cell>
        </row>
        <row r="1942">
          <cell r="B1942">
            <v>62412</v>
          </cell>
          <cell r="C1942" t="str">
            <v xml:space="preserve">Services for the Elderly and Persons with DisabilitiesT </v>
          </cell>
        </row>
        <row r="1943">
          <cell r="B1943">
            <v>624120</v>
          </cell>
          <cell r="C1943" t="str">
            <v xml:space="preserve">Services for the Elderly and Persons with Disabilities </v>
          </cell>
        </row>
        <row r="1944">
          <cell r="B1944">
            <v>62419</v>
          </cell>
          <cell r="C1944" t="str">
            <v xml:space="preserve">Other Individual and Family ServicesT </v>
          </cell>
        </row>
        <row r="1945">
          <cell r="B1945">
            <v>624190</v>
          </cell>
          <cell r="C1945" t="str">
            <v xml:space="preserve">Other Individual and Family Services </v>
          </cell>
        </row>
        <row r="1946">
          <cell r="B1946">
            <v>6242</v>
          </cell>
          <cell r="C1946" t="str">
            <v xml:space="preserve">Community Food and Housing, and Emergency and Other Relief ServicesT </v>
          </cell>
        </row>
        <row r="1947">
          <cell r="B1947">
            <v>62421</v>
          </cell>
          <cell r="C1947" t="str">
            <v xml:space="preserve">Community Food ServicesT </v>
          </cell>
        </row>
        <row r="1948">
          <cell r="B1948">
            <v>624210</v>
          </cell>
          <cell r="C1948" t="str">
            <v xml:space="preserve">Community Food Services </v>
          </cell>
        </row>
        <row r="1949">
          <cell r="B1949">
            <v>62422</v>
          </cell>
          <cell r="C1949" t="str">
            <v xml:space="preserve">Community Housing ServicesT </v>
          </cell>
        </row>
        <row r="1950">
          <cell r="B1950">
            <v>624221</v>
          </cell>
          <cell r="C1950" t="str">
            <v xml:space="preserve">Temporary Shelters </v>
          </cell>
        </row>
        <row r="1951">
          <cell r="B1951">
            <v>624229</v>
          </cell>
          <cell r="C1951" t="str">
            <v xml:space="preserve">Other Community Housing Services </v>
          </cell>
        </row>
        <row r="1952">
          <cell r="B1952">
            <v>62423</v>
          </cell>
          <cell r="C1952" t="str">
            <v xml:space="preserve">Emergency and Other Relief ServicesT </v>
          </cell>
        </row>
        <row r="1953">
          <cell r="B1953">
            <v>624230</v>
          </cell>
          <cell r="C1953" t="str">
            <v xml:space="preserve">Emergency and Other Relief Services </v>
          </cell>
        </row>
        <row r="1954">
          <cell r="B1954">
            <v>6243</v>
          </cell>
          <cell r="C1954" t="str">
            <v xml:space="preserve">Vocational Rehabilitation ServicesT </v>
          </cell>
        </row>
        <row r="1955">
          <cell r="B1955">
            <v>62431</v>
          </cell>
          <cell r="C1955" t="str">
            <v xml:space="preserve">Vocational Rehabilitation ServicesT </v>
          </cell>
        </row>
        <row r="1956">
          <cell r="B1956">
            <v>624310</v>
          </cell>
          <cell r="C1956" t="str">
            <v xml:space="preserve">Vocational Rehabilitation Services </v>
          </cell>
        </row>
        <row r="1957">
          <cell r="B1957">
            <v>6244</v>
          </cell>
          <cell r="C1957" t="str">
            <v xml:space="preserve">Child Day Care ServicesT </v>
          </cell>
        </row>
        <row r="1958">
          <cell r="B1958">
            <v>62441</v>
          </cell>
          <cell r="C1958" t="str">
            <v xml:space="preserve">Child Day Care ServicesT </v>
          </cell>
        </row>
        <row r="1959">
          <cell r="B1959">
            <v>624410</v>
          </cell>
          <cell r="C1959" t="str">
            <v xml:space="preserve">Child Day Care Services </v>
          </cell>
        </row>
        <row r="1960">
          <cell r="B1960"/>
          <cell r="C1960"/>
        </row>
        <row r="1961">
          <cell r="B1961">
            <v>71</v>
          </cell>
          <cell r="C1961" t="str">
            <v>Arts, Entertainment, and RecreationT</v>
          </cell>
        </row>
        <row r="1962">
          <cell r="B1962">
            <v>711</v>
          </cell>
          <cell r="C1962" t="str">
            <v xml:space="preserve">Performing Arts, Spectator Sports, and Related IndustriesT </v>
          </cell>
        </row>
        <row r="1963">
          <cell r="B1963">
            <v>7111</v>
          </cell>
          <cell r="C1963" t="str">
            <v xml:space="preserve">Performing Arts CompaniesT </v>
          </cell>
        </row>
        <row r="1964">
          <cell r="B1964">
            <v>71111</v>
          </cell>
          <cell r="C1964" t="str">
            <v xml:space="preserve">Theater Companies and Dinner TheatersT </v>
          </cell>
        </row>
        <row r="1965">
          <cell r="B1965">
            <v>711110</v>
          </cell>
          <cell r="C1965" t="str">
            <v xml:space="preserve">Theater Companies and Dinner Theaters </v>
          </cell>
        </row>
        <row r="1966">
          <cell r="B1966">
            <v>71112</v>
          </cell>
          <cell r="C1966" t="str">
            <v xml:space="preserve">Dance CompaniesT </v>
          </cell>
        </row>
        <row r="1967">
          <cell r="B1967">
            <v>711120</v>
          </cell>
          <cell r="C1967" t="str">
            <v xml:space="preserve">Dance Companies </v>
          </cell>
        </row>
        <row r="1968">
          <cell r="B1968">
            <v>71113</v>
          </cell>
          <cell r="C1968" t="str">
            <v xml:space="preserve">Musical Groups and ArtistsT </v>
          </cell>
        </row>
        <row r="1969">
          <cell r="B1969">
            <v>711130</v>
          </cell>
          <cell r="C1969" t="str">
            <v xml:space="preserve">Musical Groups and Artists </v>
          </cell>
        </row>
        <row r="1970">
          <cell r="B1970">
            <v>71119</v>
          </cell>
          <cell r="C1970" t="str">
            <v xml:space="preserve">Other Performing Arts CompaniesT </v>
          </cell>
        </row>
        <row r="1971">
          <cell r="B1971">
            <v>711190</v>
          </cell>
          <cell r="C1971" t="str">
            <v xml:space="preserve">Other Performing Arts Companies </v>
          </cell>
        </row>
        <row r="1972">
          <cell r="B1972">
            <v>7112</v>
          </cell>
          <cell r="C1972" t="str">
            <v xml:space="preserve">Spectator SportsT </v>
          </cell>
        </row>
        <row r="1973">
          <cell r="B1973">
            <v>71121</v>
          </cell>
          <cell r="C1973" t="str">
            <v xml:space="preserve">Spectator SportsT </v>
          </cell>
        </row>
        <row r="1974">
          <cell r="B1974">
            <v>711211</v>
          </cell>
          <cell r="C1974" t="str">
            <v xml:space="preserve">Sports Teams and Clubs </v>
          </cell>
        </row>
        <row r="1975">
          <cell r="B1975">
            <v>711212</v>
          </cell>
          <cell r="C1975" t="str">
            <v xml:space="preserve">Racetracks </v>
          </cell>
        </row>
        <row r="1976">
          <cell r="B1976">
            <v>711219</v>
          </cell>
          <cell r="C1976" t="str">
            <v xml:space="preserve">Other Spectator Sports </v>
          </cell>
        </row>
        <row r="1977">
          <cell r="B1977">
            <v>7113</v>
          </cell>
          <cell r="C1977" t="str">
            <v xml:space="preserve">Promoters of Performing Arts, Sports, and Similar EventsT </v>
          </cell>
        </row>
        <row r="1978">
          <cell r="B1978">
            <v>71131</v>
          </cell>
          <cell r="C1978" t="str">
            <v xml:space="preserve">Promoters of Performing Arts, Sports, and Similar Events with FacilitiesT </v>
          </cell>
        </row>
        <row r="1979">
          <cell r="B1979">
            <v>711310</v>
          </cell>
          <cell r="C1979" t="str">
            <v xml:space="preserve">Promoters of Performing Arts, Sports, and Similar Events with Facilities </v>
          </cell>
        </row>
        <row r="1980">
          <cell r="B1980">
            <v>71132</v>
          </cell>
          <cell r="C1980" t="str">
            <v xml:space="preserve">Promoters of Performing Arts, Sports, and Similar Events without FacilitiesT </v>
          </cell>
        </row>
        <row r="1981">
          <cell r="B1981">
            <v>711320</v>
          </cell>
          <cell r="C1981" t="str">
            <v xml:space="preserve">Promoters of Performing Arts, Sports, and Similar Events without Facilities </v>
          </cell>
        </row>
        <row r="1982">
          <cell r="B1982">
            <v>7114</v>
          </cell>
          <cell r="C1982" t="str">
            <v xml:space="preserve">Agents and Managers for Artists, Athletes, Entertainers, and Other Public FiguresT </v>
          </cell>
        </row>
        <row r="1983">
          <cell r="B1983">
            <v>71141</v>
          </cell>
          <cell r="C1983" t="str">
            <v xml:space="preserve">Agents and Managers for Artists, Athletes, Entertainers, and Other Public FiguresT </v>
          </cell>
        </row>
        <row r="1984">
          <cell r="B1984">
            <v>711410</v>
          </cell>
          <cell r="C1984" t="str">
            <v>Agents and Managers for Artists, Athletes, Entertainers, and Other Public Figures</v>
          </cell>
        </row>
        <row r="1985">
          <cell r="B1985">
            <v>7115</v>
          </cell>
          <cell r="C1985" t="str">
            <v xml:space="preserve">Independent Artists, Writers, and PerformersT </v>
          </cell>
        </row>
        <row r="1986">
          <cell r="B1986">
            <v>71151</v>
          </cell>
          <cell r="C1986" t="str">
            <v xml:space="preserve">Independent Artists, Writers, and PerformersT </v>
          </cell>
        </row>
        <row r="1987">
          <cell r="B1987">
            <v>711510</v>
          </cell>
          <cell r="C1987" t="str">
            <v xml:space="preserve">Independent Artists, Writers, and Performers </v>
          </cell>
        </row>
        <row r="1988">
          <cell r="B1988">
            <v>712</v>
          </cell>
          <cell r="C1988" t="str">
            <v xml:space="preserve">Museums, Historical Sites, and Similar InstitutionsT </v>
          </cell>
        </row>
        <row r="1989">
          <cell r="B1989">
            <v>7121</v>
          </cell>
          <cell r="C1989" t="str">
            <v xml:space="preserve">Museums, Historical Sites, and Similar InstitutionsT </v>
          </cell>
        </row>
        <row r="1990">
          <cell r="B1990">
            <v>71211</v>
          </cell>
          <cell r="C1990" t="str">
            <v xml:space="preserve">MuseumsT </v>
          </cell>
        </row>
        <row r="1991">
          <cell r="B1991">
            <v>712110</v>
          </cell>
          <cell r="C1991" t="str">
            <v xml:space="preserve">Museums </v>
          </cell>
        </row>
        <row r="1992">
          <cell r="B1992">
            <v>71212</v>
          </cell>
          <cell r="C1992" t="str">
            <v xml:space="preserve">Historical SitesT </v>
          </cell>
        </row>
        <row r="1993">
          <cell r="B1993">
            <v>712120</v>
          </cell>
          <cell r="C1993" t="str">
            <v>Historical Sites</v>
          </cell>
        </row>
        <row r="1994">
          <cell r="B1994">
            <v>71213</v>
          </cell>
          <cell r="C1994" t="str">
            <v xml:space="preserve">Zoos and Botanical GardensT </v>
          </cell>
        </row>
        <row r="1995">
          <cell r="B1995">
            <v>712130</v>
          </cell>
          <cell r="C1995" t="str">
            <v xml:space="preserve">Zoos and Botanical Gardens </v>
          </cell>
        </row>
        <row r="1996">
          <cell r="B1996">
            <v>71219</v>
          </cell>
          <cell r="C1996" t="str">
            <v xml:space="preserve">Nature Parks and Other Similar InstitutionsT </v>
          </cell>
        </row>
        <row r="1997">
          <cell r="B1997">
            <v>712190</v>
          </cell>
          <cell r="C1997" t="str">
            <v>Nature Parks and Other Similar Institutions</v>
          </cell>
        </row>
        <row r="1998">
          <cell r="B1998">
            <v>713</v>
          </cell>
          <cell r="C1998" t="str">
            <v xml:space="preserve">Amusement, Gambling, and Recreation IndustriesT </v>
          </cell>
        </row>
        <row r="1999">
          <cell r="B1999">
            <v>7131</v>
          </cell>
          <cell r="C1999" t="str">
            <v xml:space="preserve">Amusement Parks and ArcadesT </v>
          </cell>
        </row>
        <row r="2000">
          <cell r="B2000">
            <v>71311</v>
          </cell>
          <cell r="C2000" t="str">
            <v xml:space="preserve">Amusement and Theme ParksT </v>
          </cell>
        </row>
        <row r="2001">
          <cell r="B2001">
            <v>713110</v>
          </cell>
          <cell r="C2001" t="str">
            <v xml:space="preserve">Amusement and Theme Parks </v>
          </cell>
        </row>
        <row r="2002">
          <cell r="B2002">
            <v>71312</v>
          </cell>
          <cell r="C2002" t="str">
            <v xml:space="preserve">Amusement ArcadesT </v>
          </cell>
        </row>
        <row r="2003">
          <cell r="B2003">
            <v>713120</v>
          </cell>
          <cell r="C2003" t="str">
            <v>Amusement Arcades</v>
          </cell>
        </row>
        <row r="2004">
          <cell r="B2004">
            <v>7132</v>
          </cell>
          <cell r="C2004" t="str">
            <v xml:space="preserve">Gambling IndustriesT </v>
          </cell>
        </row>
        <row r="2005">
          <cell r="B2005">
            <v>71321</v>
          </cell>
          <cell r="C2005" t="str">
            <v xml:space="preserve">Casinos (except Casino Hotels)T </v>
          </cell>
        </row>
        <row r="2006">
          <cell r="B2006">
            <v>713210</v>
          </cell>
          <cell r="C2006" t="str">
            <v>Casinos (except Casino Hotels)</v>
          </cell>
        </row>
        <row r="2007">
          <cell r="B2007">
            <v>71329</v>
          </cell>
          <cell r="C2007" t="str">
            <v xml:space="preserve">Other Gambling IndustriesT </v>
          </cell>
        </row>
        <row r="2008">
          <cell r="B2008">
            <v>713290</v>
          </cell>
          <cell r="C2008" t="str">
            <v xml:space="preserve">Other Gambling Industries </v>
          </cell>
        </row>
        <row r="2009">
          <cell r="B2009">
            <v>7139</v>
          </cell>
          <cell r="C2009" t="str">
            <v xml:space="preserve">Other Amusement and Recreation IndustriesT </v>
          </cell>
        </row>
        <row r="2010">
          <cell r="B2010">
            <v>71391</v>
          </cell>
          <cell r="C2010" t="str">
            <v xml:space="preserve">Golf Courses and Country ClubsT </v>
          </cell>
        </row>
        <row r="2011">
          <cell r="B2011">
            <v>713910</v>
          </cell>
          <cell r="C2011" t="str">
            <v>Golf Courses and Country Clubs</v>
          </cell>
        </row>
        <row r="2012">
          <cell r="B2012">
            <v>71392</v>
          </cell>
          <cell r="C2012" t="str">
            <v xml:space="preserve">Skiing FacilitiesT </v>
          </cell>
        </row>
        <row r="2013">
          <cell r="B2013">
            <v>713920</v>
          </cell>
          <cell r="C2013" t="str">
            <v>Skiing Facilities</v>
          </cell>
        </row>
        <row r="2014">
          <cell r="B2014">
            <v>71393</v>
          </cell>
          <cell r="C2014" t="str">
            <v xml:space="preserve">MarinasT </v>
          </cell>
        </row>
        <row r="2015">
          <cell r="B2015">
            <v>713930</v>
          </cell>
          <cell r="C2015" t="str">
            <v>Marinas</v>
          </cell>
        </row>
        <row r="2016">
          <cell r="B2016">
            <v>71394</v>
          </cell>
          <cell r="C2016" t="str">
            <v xml:space="preserve">Fitness and Recreational Sports CentersT </v>
          </cell>
        </row>
        <row r="2017">
          <cell r="B2017">
            <v>713940</v>
          </cell>
          <cell r="C2017" t="str">
            <v xml:space="preserve">Fitness and Recreational Sports Centers </v>
          </cell>
        </row>
        <row r="2018">
          <cell r="B2018">
            <v>71395</v>
          </cell>
          <cell r="C2018" t="str">
            <v xml:space="preserve">Bowling CentersT </v>
          </cell>
        </row>
        <row r="2019">
          <cell r="B2019">
            <v>713950</v>
          </cell>
          <cell r="C2019" t="str">
            <v>Bowling Centers</v>
          </cell>
        </row>
        <row r="2020">
          <cell r="B2020">
            <v>71399</v>
          </cell>
          <cell r="C2020" t="str">
            <v xml:space="preserve">All Other Amusement and Recreation IndustriesT </v>
          </cell>
        </row>
        <row r="2021">
          <cell r="B2021">
            <v>713990</v>
          </cell>
          <cell r="C2021" t="str">
            <v xml:space="preserve">All Other Amusement and Recreation Industries </v>
          </cell>
        </row>
        <row r="2022">
          <cell r="B2022"/>
          <cell r="C2022"/>
        </row>
        <row r="2023">
          <cell r="B2023">
            <v>72</v>
          </cell>
          <cell r="C2023" t="str">
            <v>Accommodation and Food ServicesT</v>
          </cell>
        </row>
        <row r="2024">
          <cell r="B2024">
            <v>721</v>
          </cell>
          <cell r="C2024" t="str">
            <v xml:space="preserve">AccommodationT </v>
          </cell>
        </row>
        <row r="2025">
          <cell r="B2025">
            <v>7211</v>
          </cell>
          <cell r="C2025" t="str">
            <v xml:space="preserve">Traveler AccommodationT </v>
          </cell>
        </row>
        <row r="2026">
          <cell r="B2026">
            <v>72111</v>
          </cell>
          <cell r="C2026" t="str">
            <v xml:space="preserve">Hotels (except Casino Hotels) and MotelsT </v>
          </cell>
        </row>
        <row r="2027">
          <cell r="B2027">
            <v>721110</v>
          </cell>
          <cell r="C2027" t="str">
            <v xml:space="preserve">Hotels (except Casino Hotels) and Motels </v>
          </cell>
        </row>
        <row r="2028">
          <cell r="B2028">
            <v>72112</v>
          </cell>
          <cell r="C2028" t="str">
            <v xml:space="preserve">Casino HotelsT </v>
          </cell>
        </row>
        <row r="2029">
          <cell r="B2029">
            <v>721120</v>
          </cell>
          <cell r="C2029" t="str">
            <v>Casino Hotels</v>
          </cell>
        </row>
        <row r="2030">
          <cell r="B2030">
            <v>72119</v>
          </cell>
          <cell r="C2030" t="str">
            <v xml:space="preserve">Other Traveler AccommodationT </v>
          </cell>
        </row>
        <row r="2031">
          <cell r="B2031">
            <v>721191</v>
          </cell>
          <cell r="C2031" t="str">
            <v xml:space="preserve">Bed-and-Breakfast Inns </v>
          </cell>
        </row>
        <row r="2032">
          <cell r="B2032">
            <v>721199</v>
          </cell>
          <cell r="C2032" t="str">
            <v xml:space="preserve">All Other Traveler Accommodation </v>
          </cell>
        </row>
        <row r="2033">
          <cell r="B2033">
            <v>7212</v>
          </cell>
          <cell r="C2033" t="str">
            <v xml:space="preserve">RV (Recreational Vehicle) Parks and Recreational CampsT </v>
          </cell>
        </row>
        <row r="2034">
          <cell r="B2034">
            <v>72121</v>
          </cell>
          <cell r="C2034" t="str">
            <v xml:space="preserve">RV (Recreational Vehicle) Parks and Recreational CampsT </v>
          </cell>
        </row>
        <row r="2035">
          <cell r="B2035">
            <v>721211</v>
          </cell>
          <cell r="C2035" t="str">
            <v xml:space="preserve">RV (Recreational Vehicle) Parks and Campgrounds </v>
          </cell>
        </row>
        <row r="2036">
          <cell r="B2036">
            <v>721214</v>
          </cell>
          <cell r="C2036" t="str">
            <v xml:space="preserve">Recreational and Vacation Camps (except Campgrounds) </v>
          </cell>
        </row>
        <row r="2037">
          <cell r="B2037">
            <v>7213</v>
          </cell>
          <cell r="C2037" t="str">
            <v xml:space="preserve">Rooming and Boarding HousesT </v>
          </cell>
        </row>
        <row r="2038">
          <cell r="B2038">
            <v>72131</v>
          </cell>
          <cell r="C2038" t="str">
            <v xml:space="preserve">Rooming and Boarding HousesT </v>
          </cell>
        </row>
        <row r="2039">
          <cell r="B2039">
            <v>721310</v>
          </cell>
          <cell r="C2039" t="str">
            <v xml:space="preserve">Rooming and Boarding Houses </v>
          </cell>
        </row>
        <row r="2040">
          <cell r="B2040">
            <v>722</v>
          </cell>
          <cell r="C2040" t="str">
            <v xml:space="preserve">Food Services and Drinking PlacesT </v>
          </cell>
        </row>
        <row r="2041">
          <cell r="B2041">
            <v>7223</v>
          </cell>
          <cell r="C2041" t="str">
            <v xml:space="preserve">Special Food ServicesT </v>
          </cell>
        </row>
        <row r="2042">
          <cell r="B2042">
            <v>72231</v>
          </cell>
          <cell r="C2042" t="str">
            <v xml:space="preserve">Food Service ContractorsT </v>
          </cell>
        </row>
        <row r="2043">
          <cell r="B2043">
            <v>722310</v>
          </cell>
          <cell r="C2043" t="str">
            <v>Food Service Contractors</v>
          </cell>
        </row>
        <row r="2044">
          <cell r="B2044">
            <v>72232</v>
          </cell>
          <cell r="C2044" t="str">
            <v xml:space="preserve">CaterersT </v>
          </cell>
        </row>
        <row r="2045">
          <cell r="B2045">
            <v>722320</v>
          </cell>
          <cell r="C2045" t="str">
            <v>Caterers</v>
          </cell>
        </row>
        <row r="2046">
          <cell r="B2046">
            <v>72233</v>
          </cell>
          <cell r="C2046" t="str">
            <v xml:space="preserve">Mobile Food ServicesT </v>
          </cell>
        </row>
        <row r="2047">
          <cell r="B2047">
            <v>722330</v>
          </cell>
          <cell r="C2047" t="str">
            <v>Mobile Food Services</v>
          </cell>
        </row>
        <row r="2048">
          <cell r="B2048">
            <v>7224</v>
          </cell>
          <cell r="C2048" t="str">
            <v xml:space="preserve">Drinking Places (Alcoholic Beverages)T </v>
          </cell>
        </row>
        <row r="2049">
          <cell r="B2049">
            <v>72241</v>
          </cell>
          <cell r="C2049" t="str">
            <v xml:space="preserve">Drinking Places (Alcoholic Beverages)T </v>
          </cell>
        </row>
        <row r="2050">
          <cell r="B2050">
            <v>722410</v>
          </cell>
          <cell r="C2050" t="str">
            <v xml:space="preserve">Drinking Places (Alcoholic Beverages) </v>
          </cell>
        </row>
        <row r="2051">
          <cell r="B2051">
            <v>7225</v>
          </cell>
          <cell r="C2051" t="str">
            <v>Restaurants and Other Eating PlacesT</v>
          </cell>
        </row>
        <row r="2052">
          <cell r="B2052">
            <v>72251</v>
          </cell>
          <cell r="C2052" t="str">
            <v>Restaurants and Other Eating PlacesT</v>
          </cell>
        </row>
        <row r="2053">
          <cell r="B2053">
            <v>722511</v>
          </cell>
          <cell r="C2053" t="str">
            <v xml:space="preserve">Full-Service Restaurants </v>
          </cell>
        </row>
        <row r="2054">
          <cell r="B2054">
            <v>722513</v>
          </cell>
          <cell r="C2054" t="str">
            <v xml:space="preserve">Limited-Service Restaurants </v>
          </cell>
        </row>
        <row r="2055">
          <cell r="B2055">
            <v>722514</v>
          </cell>
          <cell r="C2055" t="str">
            <v xml:space="preserve">Cafeterias, Grill Buffets, and Buffets </v>
          </cell>
        </row>
        <row r="2056">
          <cell r="B2056">
            <v>722515</v>
          </cell>
          <cell r="C2056" t="str">
            <v xml:space="preserve">Snack and Nonalcoholic Beverage Bars </v>
          </cell>
        </row>
        <row r="2057">
          <cell r="B2057"/>
          <cell r="C2057"/>
        </row>
        <row r="2058">
          <cell r="B2058">
            <v>81</v>
          </cell>
          <cell r="C2058" t="str">
            <v>Other Services (except Public Administration)T</v>
          </cell>
        </row>
        <row r="2059">
          <cell r="B2059">
            <v>811</v>
          </cell>
          <cell r="C2059" t="str">
            <v xml:space="preserve">Repair and MaintenanceT </v>
          </cell>
        </row>
        <row r="2060">
          <cell r="B2060">
            <v>8111</v>
          </cell>
          <cell r="C2060" t="str">
            <v xml:space="preserve">Automotive Repair and MaintenanceT </v>
          </cell>
        </row>
        <row r="2061">
          <cell r="B2061">
            <v>81111</v>
          </cell>
          <cell r="C2061" t="str">
            <v xml:space="preserve">Automotive Mechanical and Electrical Repair and MaintenanceT </v>
          </cell>
        </row>
        <row r="2062">
          <cell r="B2062">
            <v>811111</v>
          </cell>
          <cell r="C2062" t="str">
            <v xml:space="preserve">General Automotive Repair </v>
          </cell>
        </row>
        <row r="2063">
          <cell r="B2063">
            <v>811112</v>
          </cell>
          <cell r="C2063" t="str">
            <v xml:space="preserve">Automotive Exhaust System Repair </v>
          </cell>
        </row>
        <row r="2064">
          <cell r="B2064">
            <v>811113</v>
          </cell>
          <cell r="C2064" t="str">
            <v xml:space="preserve">Automotive Transmission Repair </v>
          </cell>
        </row>
        <row r="2065">
          <cell r="B2065">
            <v>811118</v>
          </cell>
          <cell r="C2065" t="str">
            <v xml:space="preserve">Other Automotive Mechanical and Electrical Repair and Maintenance </v>
          </cell>
        </row>
        <row r="2066">
          <cell r="B2066">
            <v>81112</v>
          </cell>
          <cell r="C2066" t="str">
            <v>Automotive Body, Paint, Interior, and Glass RepairT</v>
          </cell>
        </row>
        <row r="2067">
          <cell r="B2067">
            <v>811121</v>
          </cell>
          <cell r="C2067" t="str">
            <v xml:space="preserve">Automotive Body, Paint, and Interior Repair and Maintenance </v>
          </cell>
        </row>
        <row r="2068">
          <cell r="B2068">
            <v>811122</v>
          </cell>
          <cell r="C2068" t="str">
            <v xml:space="preserve">Automotive Glass Replacement Shops </v>
          </cell>
        </row>
        <row r="2069">
          <cell r="B2069">
            <v>81119</v>
          </cell>
          <cell r="C2069" t="str">
            <v xml:space="preserve">Other Automotive Repair and MaintenanceT </v>
          </cell>
        </row>
        <row r="2070">
          <cell r="B2070">
            <v>811191</v>
          </cell>
          <cell r="C2070" t="str">
            <v xml:space="preserve">Automotive Oil Change and Lubrication Shops </v>
          </cell>
        </row>
        <row r="2071">
          <cell r="B2071">
            <v>811192</v>
          </cell>
          <cell r="C2071" t="str">
            <v xml:space="preserve">Car Washes </v>
          </cell>
        </row>
        <row r="2072">
          <cell r="B2072">
            <v>811198</v>
          </cell>
          <cell r="C2072" t="str">
            <v xml:space="preserve">All Other Automotive Repair and Maintenance </v>
          </cell>
        </row>
        <row r="2073">
          <cell r="B2073">
            <v>8112</v>
          </cell>
          <cell r="C2073" t="str">
            <v xml:space="preserve">Electronic and Precision Equipment Repair and MaintenanceT </v>
          </cell>
        </row>
        <row r="2074">
          <cell r="B2074">
            <v>81121</v>
          </cell>
          <cell r="C2074" t="str">
            <v xml:space="preserve">Electronic and Precision Equipment Repair and MaintenanceT </v>
          </cell>
        </row>
        <row r="2075">
          <cell r="B2075">
            <v>811211</v>
          </cell>
          <cell r="C2075" t="str">
            <v xml:space="preserve">Consumer Electronics Repair and Maintenance </v>
          </cell>
        </row>
        <row r="2076">
          <cell r="B2076">
            <v>811212</v>
          </cell>
          <cell r="C2076" t="str">
            <v xml:space="preserve">Computer and Office Machine Repair and Maintenance </v>
          </cell>
        </row>
        <row r="2077">
          <cell r="B2077">
            <v>811213</v>
          </cell>
          <cell r="C2077" t="str">
            <v xml:space="preserve">Communication Equipment Repair and Maintenance </v>
          </cell>
        </row>
        <row r="2078">
          <cell r="B2078">
            <v>811219</v>
          </cell>
          <cell r="C2078" t="str">
            <v xml:space="preserve">Other Electronic and Precision Equipment Repair and Maintenance </v>
          </cell>
        </row>
        <row r="2079">
          <cell r="B2079">
            <v>8113</v>
          </cell>
          <cell r="C2079" t="str">
            <v xml:space="preserve">Commercial and Industrial Machinery and Equipment (except Automotive and Electronic) Repair and MaintenanceT </v>
          </cell>
        </row>
        <row r="2080">
          <cell r="B2080">
            <v>81131</v>
          </cell>
          <cell r="C2080" t="str">
            <v xml:space="preserve">Commercial and Industrial Machinery and Equipment (except Automotive and Electronic) Repair and MaintenanceT </v>
          </cell>
        </row>
        <row r="2081">
          <cell r="B2081">
            <v>811310</v>
          </cell>
          <cell r="C2081" t="str">
            <v xml:space="preserve">Commercial and Industrial Machinery and Equipment (except Automotive and Electronic) Repair and Maintenance </v>
          </cell>
        </row>
        <row r="2082">
          <cell r="B2082">
            <v>8114</v>
          </cell>
          <cell r="C2082" t="str">
            <v xml:space="preserve">Personal and Household Goods Repair and MaintenanceT </v>
          </cell>
        </row>
        <row r="2083">
          <cell r="B2083">
            <v>81141</v>
          </cell>
          <cell r="C2083" t="str">
            <v xml:space="preserve">Home and Garden Equipment and Appliance Repair and MaintenanceT </v>
          </cell>
        </row>
        <row r="2084">
          <cell r="B2084">
            <v>811411</v>
          </cell>
          <cell r="C2084" t="str">
            <v xml:space="preserve">Home and Garden Equipment Repair and Maintenance </v>
          </cell>
        </row>
        <row r="2085">
          <cell r="B2085">
            <v>811412</v>
          </cell>
          <cell r="C2085" t="str">
            <v xml:space="preserve">Appliance Repair and Maintenance </v>
          </cell>
        </row>
        <row r="2086">
          <cell r="B2086">
            <v>81142</v>
          </cell>
          <cell r="C2086" t="str">
            <v xml:space="preserve">Reupholstery and Furniture RepairT </v>
          </cell>
        </row>
        <row r="2087">
          <cell r="B2087">
            <v>811420</v>
          </cell>
          <cell r="C2087" t="str">
            <v>Reupholstery and Furniture Repair</v>
          </cell>
        </row>
        <row r="2088">
          <cell r="B2088">
            <v>81143</v>
          </cell>
          <cell r="C2088" t="str">
            <v>Footwear and Leather Goods RepairT</v>
          </cell>
        </row>
        <row r="2089">
          <cell r="B2089">
            <v>811430</v>
          </cell>
          <cell r="C2089" t="str">
            <v>Footwear and Leather Goods Repair</v>
          </cell>
        </row>
        <row r="2090">
          <cell r="B2090">
            <v>81149</v>
          </cell>
          <cell r="C2090" t="str">
            <v xml:space="preserve">Other Personal and Household Goods Repair and MaintenanceT </v>
          </cell>
        </row>
        <row r="2091">
          <cell r="B2091">
            <v>811490</v>
          </cell>
          <cell r="C2091" t="str">
            <v xml:space="preserve">Other Personal and Household Goods Repair and Maintenance </v>
          </cell>
        </row>
        <row r="2092">
          <cell r="B2092">
            <v>812</v>
          </cell>
          <cell r="C2092" t="str">
            <v>Personal and Laundry ServicesT</v>
          </cell>
        </row>
        <row r="2093">
          <cell r="B2093">
            <v>8121</v>
          </cell>
          <cell r="C2093" t="str">
            <v xml:space="preserve">Personal Care Services </v>
          </cell>
        </row>
        <row r="2094">
          <cell r="B2094">
            <v>81211</v>
          </cell>
          <cell r="C2094" t="str">
            <v xml:space="preserve">Hair, Nail, and Skin Care Services </v>
          </cell>
        </row>
        <row r="2095">
          <cell r="B2095">
            <v>812111</v>
          </cell>
          <cell r="C2095" t="str">
            <v xml:space="preserve">Barber Shops </v>
          </cell>
        </row>
        <row r="2096">
          <cell r="B2096">
            <v>812112</v>
          </cell>
          <cell r="C2096" t="str">
            <v xml:space="preserve">Beauty Salons </v>
          </cell>
        </row>
        <row r="2097">
          <cell r="B2097">
            <v>812113</v>
          </cell>
          <cell r="C2097" t="str">
            <v xml:space="preserve">Nail Salons </v>
          </cell>
        </row>
        <row r="2098">
          <cell r="B2098">
            <v>81219</v>
          </cell>
          <cell r="C2098" t="str">
            <v xml:space="preserve">Other Personal Care Services </v>
          </cell>
        </row>
        <row r="2099">
          <cell r="B2099">
            <v>812191</v>
          </cell>
          <cell r="C2099" t="str">
            <v xml:space="preserve">Diet and Weight Reducing Centers </v>
          </cell>
        </row>
        <row r="2100">
          <cell r="B2100">
            <v>812199</v>
          </cell>
          <cell r="C2100" t="str">
            <v xml:space="preserve">Other Personal Care Services </v>
          </cell>
        </row>
        <row r="2101">
          <cell r="B2101">
            <v>8122</v>
          </cell>
          <cell r="C2101" t="str">
            <v xml:space="preserve">Death Care Services </v>
          </cell>
        </row>
        <row r="2102">
          <cell r="B2102">
            <v>81221</v>
          </cell>
          <cell r="C2102" t="str">
            <v xml:space="preserve">Funeral Homes and Funeral Services </v>
          </cell>
        </row>
        <row r="2103">
          <cell r="B2103">
            <v>812210</v>
          </cell>
          <cell r="C2103" t="str">
            <v xml:space="preserve">Funeral Homes and Funeral Services </v>
          </cell>
        </row>
        <row r="2104">
          <cell r="B2104">
            <v>81222</v>
          </cell>
          <cell r="C2104" t="str">
            <v xml:space="preserve">Cemeteries and Crematories </v>
          </cell>
        </row>
        <row r="2105">
          <cell r="B2105">
            <v>812220</v>
          </cell>
          <cell r="C2105" t="str">
            <v xml:space="preserve">Cemeteries and Crematories </v>
          </cell>
        </row>
        <row r="2106">
          <cell r="B2106">
            <v>8123</v>
          </cell>
          <cell r="C2106" t="str">
            <v xml:space="preserve">Drycleaning and Laundry Services </v>
          </cell>
        </row>
        <row r="2107">
          <cell r="B2107">
            <v>81231</v>
          </cell>
          <cell r="C2107" t="str">
            <v xml:space="preserve">Coin-Operated Laundries and Drycleaners </v>
          </cell>
        </row>
        <row r="2108">
          <cell r="B2108">
            <v>812310</v>
          </cell>
          <cell r="C2108" t="str">
            <v xml:space="preserve">Coin-Operated Laundries and Drycleaners </v>
          </cell>
        </row>
        <row r="2109">
          <cell r="B2109">
            <v>81232</v>
          </cell>
          <cell r="C2109" t="str">
            <v xml:space="preserve">Drycleaning and Laundry Services (except Coin-Operated) </v>
          </cell>
        </row>
        <row r="2110">
          <cell r="B2110">
            <v>812320</v>
          </cell>
          <cell r="C2110" t="str">
            <v xml:space="preserve">Drycleaning and Laundry Services (except Coin-Operated) </v>
          </cell>
        </row>
        <row r="2111">
          <cell r="B2111">
            <v>81233</v>
          </cell>
          <cell r="C2111" t="str">
            <v xml:space="preserve">Linen and Uniform Supply </v>
          </cell>
        </row>
        <row r="2112">
          <cell r="B2112">
            <v>812331</v>
          </cell>
          <cell r="C2112" t="str">
            <v xml:space="preserve">Linen Supply </v>
          </cell>
        </row>
        <row r="2113">
          <cell r="B2113">
            <v>812332</v>
          </cell>
          <cell r="C2113" t="str">
            <v xml:space="preserve">Industrial Launderers </v>
          </cell>
        </row>
        <row r="2114">
          <cell r="B2114">
            <v>8129</v>
          </cell>
          <cell r="C2114" t="str">
            <v xml:space="preserve">Other Personal Services </v>
          </cell>
        </row>
        <row r="2115">
          <cell r="B2115">
            <v>81291</v>
          </cell>
          <cell r="C2115" t="str">
            <v xml:space="preserve">Pet Care (except Veterinary) Services </v>
          </cell>
        </row>
        <row r="2116">
          <cell r="B2116">
            <v>812910</v>
          </cell>
          <cell r="C2116" t="str">
            <v xml:space="preserve">Pet Care (except Veterinary) Services </v>
          </cell>
        </row>
        <row r="2117">
          <cell r="B2117">
            <v>81292</v>
          </cell>
          <cell r="C2117" t="str">
            <v xml:space="preserve">Photofinishing </v>
          </cell>
        </row>
        <row r="2118">
          <cell r="B2118">
            <v>812921</v>
          </cell>
          <cell r="C2118" t="str">
            <v xml:space="preserve">Photofinishing Laboratories (except One-Hour) </v>
          </cell>
        </row>
        <row r="2119">
          <cell r="B2119">
            <v>812922</v>
          </cell>
          <cell r="C2119" t="str">
            <v xml:space="preserve">One-Hour Photofinishing </v>
          </cell>
        </row>
        <row r="2120">
          <cell r="B2120">
            <v>81293</v>
          </cell>
          <cell r="C2120" t="str">
            <v xml:space="preserve">Parking Lots and Garages </v>
          </cell>
        </row>
        <row r="2121">
          <cell r="B2121">
            <v>812930</v>
          </cell>
          <cell r="C2121" t="str">
            <v xml:space="preserve">Parking Lots and Garages </v>
          </cell>
        </row>
        <row r="2122">
          <cell r="B2122">
            <v>81299</v>
          </cell>
          <cell r="C2122" t="str">
            <v xml:space="preserve">All Other Personal Services </v>
          </cell>
        </row>
        <row r="2123">
          <cell r="B2123">
            <v>812990</v>
          </cell>
          <cell r="C2123" t="str">
            <v xml:space="preserve">All Other Personal Services </v>
          </cell>
        </row>
        <row r="2124">
          <cell r="B2124">
            <v>813</v>
          </cell>
          <cell r="C2124" t="str">
            <v>Religious, Grantmaking, Civic, Professional, and Similar OrganizationsT</v>
          </cell>
        </row>
        <row r="2125">
          <cell r="B2125">
            <v>8131</v>
          </cell>
          <cell r="C2125" t="str">
            <v xml:space="preserve">Religious Organizations </v>
          </cell>
        </row>
        <row r="2126">
          <cell r="B2126">
            <v>81311</v>
          </cell>
          <cell r="C2126" t="str">
            <v xml:space="preserve">Religious Organizations </v>
          </cell>
        </row>
        <row r="2127">
          <cell r="B2127">
            <v>813110</v>
          </cell>
          <cell r="C2127" t="str">
            <v xml:space="preserve">Religious Organizations </v>
          </cell>
        </row>
        <row r="2128">
          <cell r="B2128">
            <v>8132</v>
          </cell>
          <cell r="C2128" t="str">
            <v xml:space="preserve">Grantmaking and Giving Services </v>
          </cell>
        </row>
        <row r="2129">
          <cell r="B2129">
            <v>81321</v>
          </cell>
          <cell r="C2129" t="str">
            <v xml:space="preserve">Grantmaking and Giving Services </v>
          </cell>
        </row>
        <row r="2130">
          <cell r="B2130">
            <v>813211</v>
          </cell>
          <cell r="C2130" t="str">
            <v xml:space="preserve">Grantmaking Foundations </v>
          </cell>
        </row>
        <row r="2131">
          <cell r="B2131">
            <v>813212</v>
          </cell>
          <cell r="C2131" t="str">
            <v xml:space="preserve">Voluntary Health Organizations </v>
          </cell>
        </row>
        <row r="2132">
          <cell r="B2132">
            <v>813219</v>
          </cell>
          <cell r="C2132" t="str">
            <v xml:space="preserve">Other Grantmaking and Giving Services </v>
          </cell>
        </row>
        <row r="2133">
          <cell r="B2133">
            <v>8133</v>
          </cell>
          <cell r="C2133" t="str">
            <v xml:space="preserve">Social Advocacy Organizations </v>
          </cell>
        </row>
        <row r="2134">
          <cell r="B2134">
            <v>81331</v>
          </cell>
          <cell r="C2134" t="str">
            <v xml:space="preserve">Social Advocacy Organizations </v>
          </cell>
        </row>
        <row r="2135">
          <cell r="B2135">
            <v>813311</v>
          </cell>
          <cell r="C2135" t="str">
            <v xml:space="preserve">Human Rights Organizations </v>
          </cell>
        </row>
        <row r="2136">
          <cell r="B2136">
            <v>813312</v>
          </cell>
          <cell r="C2136" t="str">
            <v xml:space="preserve">Environment, Conservation and Wildlife Organizations </v>
          </cell>
        </row>
        <row r="2137">
          <cell r="B2137">
            <v>813319</v>
          </cell>
          <cell r="C2137" t="str">
            <v xml:space="preserve">Other Social Advocacy Organizations </v>
          </cell>
        </row>
        <row r="2138">
          <cell r="B2138">
            <v>8134</v>
          </cell>
          <cell r="C2138" t="str">
            <v xml:space="preserve">Civic and Social Organizations </v>
          </cell>
        </row>
        <row r="2139">
          <cell r="B2139">
            <v>81341</v>
          </cell>
          <cell r="C2139" t="str">
            <v xml:space="preserve">Civic and Social Organizations </v>
          </cell>
        </row>
        <row r="2140">
          <cell r="B2140">
            <v>813410</v>
          </cell>
          <cell r="C2140" t="str">
            <v xml:space="preserve">Civic and Social Organizations </v>
          </cell>
        </row>
        <row r="2141">
          <cell r="B2141">
            <v>8139</v>
          </cell>
          <cell r="C2141" t="str">
            <v xml:space="preserve">Business, Professional, Labor, Political, and Similar Organizations </v>
          </cell>
        </row>
        <row r="2142">
          <cell r="B2142">
            <v>81391</v>
          </cell>
          <cell r="C2142" t="str">
            <v xml:space="preserve">Business Associations </v>
          </cell>
        </row>
        <row r="2143">
          <cell r="B2143">
            <v>813910</v>
          </cell>
          <cell r="C2143" t="str">
            <v xml:space="preserve">Business Associations </v>
          </cell>
        </row>
        <row r="2144">
          <cell r="B2144">
            <v>81392</v>
          </cell>
          <cell r="C2144" t="str">
            <v xml:space="preserve">Professional Organizations </v>
          </cell>
        </row>
        <row r="2145">
          <cell r="B2145">
            <v>813920</v>
          </cell>
          <cell r="C2145" t="str">
            <v xml:space="preserve">Professional Organizations </v>
          </cell>
        </row>
        <row r="2146">
          <cell r="B2146">
            <v>81393</v>
          </cell>
          <cell r="C2146" t="str">
            <v xml:space="preserve">Labor Unions and Similar Labor Organizations </v>
          </cell>
        </row>
        <row r="2147">
          <cell r="B2147">
            <v>813930</v>
          </cell>
          <cell r="C2147" t="str">
            <v xml:space="preserve">Labor Unions and Similar Labor Organizations </v>
          </cell>
        </row>
        <row r="2148">
          <cell r="B2148">
            <v>81394</v>
          </cell>
          <cell r="C2148" t="str">
            <v xml:space="preserve">Political Organizations </v>
          </cell>
        </row>
        <row r="2149">
          <cell r="B2149">
            <v>813940</v>
          </cell>
          <cell r="C2149" t="str">
            <v xml:space="preserve">Political Organizations </v>
          </cell>
        </row>
        <row r="2150">
          <cell r="B2150">
            <v>81399</v>
          </cell>
          <cell r="C2150" t="str">
            <v xml:space="preserve">Other Similar Organizations (except Business, Professional, Labor, and Political Organizations) </v>
          </cell>
        </row>
        <row r="2151">
          <cell r="B2151">
            <v>813990</v>
          </cell>
          <cell r="C2151" t="str">
            <v xml:space="preserve">Other Similar Organizations (except Business, Professional, Labor, and Political Organizations) </v>
          </cell>
        </row>
        <row r="2152">
          <cell r="B2152">
            <v>814</v>
          </cell>
          <cell r="C2152" t="str">
            <v xml:space="preserve">Private HouseholdsT </v>
          </cell>
        </row>
        <row r="2153">
          <cell r="B2153">
            <v>8141</v>
          </cell>
          <cell r="C2153" t="str">
            <v xml:space="preserve">Private HouseholdsT </v>
          </cell>
        </row>
        <row r="2154">
          <cell r="B2154">
            <v>81411</v>
          </cell>
          <cell r="C2154" t="str">
            <v xml:space="preserve">Private HouseholdsT </v>
          </cell>
        </row>
        <row r="2155">
          <cell r="B2155">
            <v>814110</v>
          </cell>
          <cell r="C2155" t="str">
            <v>Private Households</v>
          </cell>
        </row>
        <row r="2156">
          <cell r="B2156"/>
          <cell r="C2156"/>
        </row>
        <row r="2157">
          <cell r="B2157">
            <v>92</v>
          </cell>
          <cell r="C2157" t="str">
            <v>Public AdministrationT</v>
          </cell>
        </row>
        <row r="2158">
          <cell r="B2158">
            <v>921</v>
          </cell>
          <cell r="C2158" t="str">
            <v xml:space="preserve">Executive, Legislative, and Other General Government Support </v>
          </cell>
        </row>
        <row r="2159">
          <cell r="B2159">
            <v>9211</v>
          </cell>
          <cell r="C2159" t="str">
            <v xml:space="preserve">Executive, Legislative, and Other General Government Support </v>
          </cell>
        </row>
        <row r="2160">
          <cell r="B2160">
            <v>92111</v>
          </cell>
          <cell r="C2160" t="str">
            <v xml:space="preserve">Executive Offices </v>
          </cell>
        </row>
        <row r="2161">
          <cell r="B2161">
            <v>921110</v>
          </cell>
          <cell r="C2161" t="str">
            <v xml:space="preserve">Executive Offices </v>
          </cell>
        </row>
        <row r="2162">
          <cell r="B2162">
            <v>92112</v>
          </cell>
          <cell r="C2162" t="str">
            <v xml:space="preserve">Legislative Bodies </v>
          </cell>
        </row>
        <row r="2163">
          <cell r="B2163">
            <v>921120</v>
          </cell>
          <cell r="C2163" t="str">
            <v xml:space="preserve">Legislative Bodies </v>
          </cell>
        </row>
        <row r="2164">
          <cell r="B2164">
            <v>92113</v>
          </cell>
          <cell r="C2164" t="str">
            <v xml:space="preserve">Public Finance Activities </v>
          </cell>
        </row>
        <row r="2165">
          <cell r="B2165">
            <v>921130</v>
          </cell>
          <cell r="C2165" t="str">
            <v xml:space="preserve">Public Finance Activities </v>
          </cell>
        </row>
        <row r="2166">
          <cell r="B2166">
            <v>92114</v>
          </cell>
          <cell r="C2166" t="str">
            <v xml:space="preserve">Executive and Legislative Offices, Combined </v>
          </cell>
        </row>
        <row r="2167">
          <cell r="B2167">
            <v>921140</v>
          </cell>
          <cell r="C2167" t="str">
            <v xml:space="preserve">Executive and Legislative Offices, Combined </v>
          </cell>
        </row>
        <row r="2168">
          <cell r="B2168">
            <v>92115</v>
          </cell>
          <cell r="C2168" t="str">
            <v xml:space="preserve">American Indian and Alaska Native Tribal Governments </v>
          </cell>
        </row>
        <row r="2169">
          <cell r="B2169">
            <v>921150</v>
          </cell>
          <cell r="C2169" t="str">
            <v xml:space="preserve">American Indian and Alaska Native Tribal Governments </v>
          </cell>
        </row>
        <row r="2170">
          <cell r="B2170">
            <v>92119</v>
          </cell>
          <cell r="C2170" t="str">
            <v xml:space="preserve">Other General Government Support </v>
          </cell>
        </row>
        <row r="2171">
          <cell r="B2171">
            <v>921190</v>
          </cell>
          <cell r="C2171" t="str">
            <v xml:space="preserve">Other General Government Support </v>
          </cell>
        </row>
        <row r="2172">
          <cell r="B2172">
            <v>922</v>
          </cell>
          <cell r="C2172" t="str">
            <v xml:space="preserve">Justice, Public Order, and Safety Activities </v>
          </cell>
        </row>
        <row r="2173">
          <cell r="B2173">
            <v>9221</v>
          </cell>
          <cell r="C2173" t="str">
            <v xml:space="preserve">Justice, Public Order, and Safety Activities </v>
          </cell>
        </row>
        <row r="2174">
          <cell r="B2174">
            <v>92211</v>
          </cell>
          <cell r="C2174" t="str">
            <v xml:space="preserve">Courts </v>
          </cell>
        </row>
        <row r="2175">
          <cell r="B2175">
            <v>922110</v>
          </cell>
          <cell r="C2175" t="str">
            <v xml:space="preserve">Courts </v>
          </cell>
        </row>
        <row r="2176">
          <cell r="B2176">
            <v>92212</v>
          </cell>
          <cell r="C2176" t="str">
            <v xml:space="preserve">Police Protection </v>
          </cell>
        </row>
        <row r="2177">
          <cell r="B2177">
            <v>922120</v>
          </cell>
          <cell r="C2177" t="str">
            <v xml:space="preserve">Police Protection </v>
          </cell>
        </row>
        <row r="2178">
          <cell r="B2178">
            <v>92213</v>
          </cell>
          <cell r="C2178" t="str">
            <v xml:space="preserve">Legal Counsel and Prosecution </v>
          </cell>
        </row>
        <row r="2179">
          <cell r="B2179">
            <v>922130</v>
          </cell>
          <cell r="C2179" t="str">
            <v xml:space="preserve">Legal Counsel and Prosecution </v>
          </cell>
        </row>
        <row r="2180">
          <cell r="B2180">
            <v>92214</v>
          </cell>
          <cell r="C2180" t="str">
            <v xml:space="preserve">Correctional Institutions </v>
          </cell>
        </row>
        <row r="2181">
          <cell r="B2181">
            <v>922140</v>
          </cell>
          <cell r="C2181" t="str">
            <v xml:space="preserve">Correctional Institutions </v>
          </cell>
        </row>
        <row r="2182">
          <cell r="B2182">
            <v>92215</v>
          </cell>
          <cell r="C2182" t="str">
            <v xml:space="preserve">Parole Offices and Probation Offices </v>
          </cell>
        </row>
        <row r="2183">
          <cell r="B2183">
            <v>922150</v>
          </cell>
          <cell r="C2183" t="str">
            <v xml:space="preserve">Parole Offices and Probation Offices </v>
          </cell>
        </row>
        <row r="2184">
          <cell r="B2184">
            <v>92216</v>
          </cell>
          <cell r="C2184" t="str">
            <v xml:space="preserve">Fire Protection </v>
          </cell>
        </row>
        <row r="2185">
          <cell r="B2185">
            <v>922160</v>
          </cell>
          <cell r="C2185" t="str">
            <v xml:space="preserve">Fire Protection </v>
          </cell>
        </row>
        <row r="2186">
          <cell r="B2186">
            <v>92219</v>
          </cell>
          <cell r="C2186" t="str">
            <v xml:space="preserve">Other Justice, Public Order, and Safety Activities </v>
          </cell>
        </row>
        <row r="2187">
          <cell r="B2187">
            <v>922190</v>
          </cell>
          <cell r="C2187" t="str">
            <v xml:space="preserve">Other Justice, Public Order, and Safety Activities </v>
          </cell>
        </row>
        <row r="2188">
          <cell r="B2188">
            <v>923</v>
          </cell>
          <cell r="C2188" t="str">
            <v xml:space="preserve">Administration of Human Resource Programs </v>
          </cell>
        </row>
        <row r="2189">
          <cell r="B2189">
            <v>9231</v>
          </cell>
          <cell r="C2189" t="str">
            <v xml:space="preserve">Administration of Human Resource Programs </v>
          </cell>
        </row>
        <row r="2190">
          <cell r="B2190">
            <v>92311</v>
          </cell>
          <cell r="C2190" t="str">
            <v xml:space="preserve">Administration of Education Programs </v>
          </cell>
        </row>
        <row r="2191">
          <cell r="B2191">
            <v>923110</v>
          </cell>
          <cell r="C2191" t="str">
            <v xml:space="preserve">Administration of Education Programs </v>
          </cell>
        </row>
        <row r="2192">
          <cell r="B2192">
            <v>92312</v>
          </cell>
          <cell r="C2192" t="str">
            <v xml:space="preserve">Administration of Public Health Programs </v>
          </cell>
        </row>
        <row r="2193">
          <cell r="B2193">
            <v>923120</v>
          </cell>
          <cell r="C2193" t="str">
            <v xml:space="preserve">Administration of Public Health Programs </v>
          </cell>
        </row>
        <row r="2194">
          <cell r="B2194">
            <v>92313</v>
          </cell>
          <cell r="C2194" t="str">
            <v xml:space="preserve">Administration of Human Resource Programs (except Education, Public Health, and Veterans' Affairs Programs) </v>
          </cell>
        </row>
        <row r="2195">
          <cell r="B2195">
            <v>923130</v>
          </cell>
          <cell r="C2195" t="str">
            <v xml:space="preserve">Administration of Human Resource Programs (except Education, Public Health, and Veterans' Affairs Programs) </v>
          </cell>
        </row>
        <row r="2196">
          <cell r="B2196">
            <v>92314</v>
          </cell>
          <cell r="C2196" t="str">
            <v xml:space="preserve">Administration of Veterans' Affairs </v>
          </cell>
        </row>
        <row r="2197">
          <cell r="B2197">
            <v>923140</v>
          </cell>
          <cell r="C2197" t="str">
            <v xml:space="preserve">Administration of Veterans' Affairs </v>
          </cell>
        </row>
        <row r="2198">
          <cell r="B2198">
            <v>924</v>
          </cell>
          <cell r="C2198" t="str">
            <v xml:space="preserve">Administration of Environmental Quality Programs </v>
          </cell>
        </row>
        <row r="2199">
          <cell r="B2199">
            <v>9241</v>
          </cell>
          <cell r="C2199" t="str">
            <v xml:space="preserve">Administration of Environmental Quality Programs </v>
          </cell>
        </row>
        <row r="2200">
          <cell r="B2200">
            <v>92411</v>
          </cell>
          <cell r="C2200" t="str">
            <v xml:space="preserve">Administration of Air and Water Resource and Solid Waste Management Programs </v>
          </cell>
        </row>
        <row r="2201">
          <cell r="B2201">
            <v>924110</v>
          </cell>
          <cell r="C2201" t="str">
            <v xml:space="preserve">Administration of Air and Water Resource and Solid Waste Management Programs </v>
          </cell>
        </row>
        <row r="2202">
          <cell r="B2202">
            <v>92412</v>
          </cell>
          <cell r="C2202" t="str">
            <v xml:space="preserve">Administration of Conservation Programs </v>
          </cell>
        </row>
        <row r="2203">
          <cell r="B2203">
            <v>924120</v>
          </cell>
          <cell r="C2203" t="str">
            <v xml:space="preserve">Administration of Conservation Programs </v>
          </cell>
        </row>
        <row r="2204">
          <cell r="B2204">
            <v>925</v>
          </cell>
          <cell r="C2204" t="str">
            <v xml:space="preserve">Administration of Housing Programs, Urban Planning, and Community Development </v>
          </cell>
        </row>
        <row r="2205">
          <cell r="B2205">
            <v>9251</v>
          </cell>
          <cell r="C2205" t="str">
            <v xml:space="preserve">Administration of Housing Programs, Urban Planning, and Community Development </v>
          </cell>
        </row>
        <row r="2206">
          <cell r="B2206">
            <v>92511</v>
          </cell>
          <cell r="C2206" t="str">
            <v xml:space="preserve">Administration of Housing Programs </v>
          </cell>
        </row>
        <row r="2207">
          <cell r="B2207">
            <v>925110</v>
          </cell>
          <cell r="C2207" t="str">
            <v xml:space="preserve">Administration of Housing Programs </v>
          </cell>
        </row>
        <row r="2208">
          <cell r="B2208">
            <v>92512</v>
          </cell>
          <cell r="C2208" t="str">
            <v xml:space="preserve">Administration of Urban Planning and Community and Rural Development </v>
          </cell>
        </row>
        <row r="2209">
          <cell r="B2209">
            <v>925120</v>
          </cell>
          <cell r="C2209" t="str">
            <v xml:space="preserve">Administration of Urban Planning and Community and Rural Development </v>
          </cell>
        </row>
        <row r="2210">
          <cell r="B2210">
            <v>926</v>
          </cell>
          <cell r="C2210" t="str">
            <v xml:space="preserve">Administration of Economic Programs </v>
          </cell>
        </row>
        <row r="2211">
          <cell r="B2211">
            <v>9261</v>
          </cell>
          <cell r="C2211" t="str">
            <v xml:space="preserve">Administration of Economic Programs </v>
          </cell>
        </row>
        <row r="2212">
          <cell r="B2212">
            <v>92611</v>
          </cell>
          <cell r="C2212" t="str">
            <v xml:space="preserve">Administration of General Economic Programs </v>
          </cell>
        </row>
        <row r="2213">
          <cell r="B2213">
            <v>926110</v>
          </cell>
          <cell r="C2213" t="str">
            <v xml:space="preserve">Administration of General Economic Programs </v>
          </cell>
        </row>
        <row r="2214">
          <cell r="B2214">
            <v>92612</v>
          </cell>
          <cell r="C2214" t="str">
            <v xml:space="preserve">Regulation and Administration of Transportation Programs </v>
          </cell>
        </row>
        <row r="2215">
          <cell r="B2215">
            <v>926120</v>
          </cell>
          <cell r="C2215" t="str">
            <v xml:space="preserve">Regulation and Administration of Transportation Programs </v>
          </cell>
        </row>
        <row r="2216">
          <cell r="B2216">
            <v>92613</v>
          </cell>
          <cell r="C2216" t="str">
            <v xml:space="preserve">Regulation and Administration of Communications, Electric, Gas, and Other Utilities </v>
          </cell>
        </row>
        <row r="2217">
          <cell r="B2217">
            <v>926130</v>
          </cell>
          <cell r="C2217" t="str">
            <v xml:space="preserve">Regulation and Administration of Communications, Electric, Gas, and Other Utilities </v>
          </cell>
        </row>
        <row r="2218">
          <cell r="B2218">
            <v>92614</v>
          </cell>
          <cell r="C2218" t="str">
            <v xml:space="preserve">Regulation of Agricultural Marketing and Commodities </v>
          </cell>
        </row>
        <row r="2219">
          <cell r="B2219">
            <v>926140</v>
          </cell>
          <cell r="C2219" t="str">
            <v xml:space="preserve">Regulation of Agricultural Marketing and Commodities </v>
          </cell>
        </row>
        <row r="2220">
          <cell r="B2220">
            <v>92615</v>
          </cell>
          <cell r="C2220" t="str">
            <v xml:space="preserve">Regulation, Licensing, and Inspection of Miscellaneous Commercial Sectors </v>
          </cell>
        </row>
        <row r="2221">
          <cell r="B2221">
            <v>926150</v>
          </cell>
          <cell r="C2221" t="str">
            <v xml:space="preserve">Regulation, Licensing, and Inspection of Miscellaneous Commercial Sectors </v>
          </cell>
        </row>
        <row r="2222">
          <cell r="B2222">
            <v>927</v>
          </cell>
          <cell r="C2222" t="str">
            <v xml:space="preserve">Space Research and Technology </v>
          </cell>
        </row>
        <row r="2223">
          <cell r="B2223">
            <v>9271</v>
          </cell>
          <cell r="C2223" t="str">
            <v xml:space="preserve">Space Research and Technology </v>
          </cell>
        </row>
        <row r="2224">
          <cell r="B2224">
            <v>92711</v>
          </cell>
          <cell r="C2224" t="str">
            <v xml:space="preserve">Space Research and Technology </v>
          </cell>
        </row>
        <row r="2225">
          <cell r="B2225">
            <v>927110</v>
          </cell>
          <cell r="C2225" t="str">
            <v xml:space="preserve">Space Research and Technology </v>
          </cell>
        </row>
        <row r="2226">
          <cell r="B2226">
            <v>928</v>
          </cell>
          <cell r="C2226" t="str">
            <v xml:space="preserve">National Security and International Affairs </v>
          </cell>
        </row>
        <row r="2227">
          <cell r="B2227">
            <v>9281</v>
          </cell>
          <cell r="C2227" t="str">
            <v xml:space="preserve">National Security and International Affairs </v>
          </cell>
        </row>
        <row r="2228">
          <cell r="B2228">
            <v>92811</v>
          </cell>
          <cell r="C2228" t="str">
            <v xml:space="preserve">National Security </v>
          </cell>
        </row>
        <row r="2229">
          <cell r="B2229">
            <v>928110</v>
          </cell>
          <cell r="C2229" t="str">
            <v xml:space="preserve">National Security </v>
          </cell>
        </row>
        <row r="2230">
          <cell r="B2230">
            <v>92812</v>
          </cell>
          <cell r="C2230" t="str">
            <v xml:space="preserve">International Affairs </v>
          </cell>
        </row>
        <row r="2231">
          <cell r="B2231">
            <v>928120</v>
          </cell>
          <cell r="C2231" t="str">
            <v xml:space="preserve">International Affairs </v>
          </cell>
        </row>
      </sheetData>
      <sheetData sheetId="34">
        <row r="4">
          <cell r="A4">
            <v>111</v>
          </cell>
          <cell r="B4" t="str">
            <v>Wheat</v>
          </cell>
        </row>
        <row r="5">
          <cell r="A5">
            <v>112</v>
          </cell>
          <cell r="B5" t="str">
            <v>Rice</v>
          </cell>
        </row>
        <row r="6">
          <cell r="A6">
            <v>115</v>
          </cell>
          <cell r="B6" t="str">
            <v>Corn</v>
          </cell>
        </row>
        <row r="7">
          <cell r="A7">
            <v>116</v>
          </cell>
          <cell r="B7" t="str">
            <v>Soybeans</v>
          </cell>
        </row>
        <row r="8">
          <cell r="A8">
            <v>119</v>
          </cell>
          <cell r="B8" t="str">
            <v>Cash grains, nec</v>
          </cell>
        </row>
        <row r="9">
          <cell r="A9">
            <v>131</v>
          </cell>
          <cell r="B9" t="str">
            <v>Cotton</v>
          </cell>
        </row>
        <row r="10">
          <cell r="A10">
            <v>132</v>
          </cell>
          <cell r="B10" t="str">
            <v>Tobacco</v>
          </cell>
        </row>
        <row r="11">
          <cell r="A11">
            <v>133</v>
          </cell>
          <cell r="B11" t="str">
            <v>Sugarcane and sugar beets</v>
          </cell>
        </row>
        <row r="12">
          <cell r="A12">
            <v>134</v>
          </cell>
          <cell r="B12" t="str">
            <v>Irish potatoes</v>
          </cell>
        </row>
        <row r="13">
          <cell r="A13">
            <v>139</v>
          </cell>
          <cell r="B13" t="str">
            <v>Field crops, except cash grain</v>
          </cell>
        </row>
        <row r="14">
          <cell r="A14">
            <v>161</v>
          </cell>
          <cell r="B14" t="str">
            <v>Vegetables and melons</v>
          </cell>
        </row>
        <row r="15">
          <cell r="A15">
            <v>171</v>
          </cell>
          <cell r="B15" t="str">
            <v>Berry crops</v>
          </cell>
        </row>
        <row r="16">
          <cell r="A16">
            <v>172</v>
          </cell>
          <cell r="B16" t="str">
            <v>Grapes</v>
          </cell>
        </row>
        <row r="17">
          <cell r="A17">
            <v>173</v>
          </cell>
          <cell r="B17" t="str">
            <v>Tree nuts</v>
          </cell>
        </row>
        <row r="18">
          <cell r="A18">
            <v>174</v>
          </cell>
          <cell r="B18" t="str">
            <v>Citrus fruits</v>
          </cell>
        </row>
        <row r="19">
          <cell r="A19">
            <v>175</v>
          </cell>
          <cell r="B19" t="str">
            <v>Deciduous tree fruits</v>
          </cell>
        </row>
        <row r="20">
          <cell r="A20">
            <v>179</v>
          </cell>
          <cell r="B20" t="str">
            <v>Fruits and tree nuts, nec</v>
          </cell>
        </row>
        <row r="21">
          <cell r="A21">
            <v>181</v>
          </cell>
          <cell r="B21" t="str">
            <v>Ornamental nursery products</v>
          </cell>
        </row>
        <row r="22">
          <cell r="A22">
            <v>182</v>
          </cell>
          <cell r="B22" t="str">
            <v>Food crops grown under cover</v>
          </cell>
        </row>
        <row r="23">
          <cell r="A23">
            <v>191</v>
          </cell>
          <cell r="B23" t="str">
            <v>General farms, primarily crop</v>
          </cell>
        </row>
        <row r="24">
          <cell r="A24">
            <v>211</v>
          </cell>
          <cell r="B24" t="str">
            <v>Beef cattle feedlots</v>
          </cell>
        </row>
        <row r="25">
          <cell r="A25">
            <v>212</v>
          </cell>
          <cell r="B25" t="str">
            <v>Beef cattle, except feedlots</v>
          </cell>
        </row>
        <row r="26">
          <cell r="A26">
            <v>213</v>
          </cell>
          <cell r="B26" t="str">
            <v>Hogs</v>
          </cell>
        </row>
        <row r="27">
          <cell r="A27">
            <v>214</v>
          </cell>
          <cell r="B27" t="str">
            <v>Sheep and goats</v>
          </cell>
        </row>
        <row r="28">
          <cell r="A28">
            <v>219</v>
          </cell>
          <cell r="B28" t="str">
            <v>General livestock, nec</v>
          </cell>
        </row>
        <row r="29">
          <cell r="A29">
            <v>241</v>
          </cell>
          <cell r="B29" t="str">
            <v>Dairy farms</v>
          </cell>
        </row>
        <row r="30">
          <cell r="A30">
            <v>251</v>
          </cell>
          <cell r="B30" t="str">
            <v>Broiler, fryer, and roaster chickens</v>
          </cell>
        </row>
        <row r="31">
          <cell r="A31">
            <v>252</v>
          </cell>
          <cell r="B31" t="str">
            <v>Chicken eggs</v>
          </cell>
        </row>
        <row r="32">
          <cell r="A32">
            <v>253</v>
          </cell>
          <cell r="B32" t="str">
            <v>Turkeys and turkey eggs</v>
          </cell>
        </row>
        <row r="33">
          <cell r="A33">
            <v>254</v>
          </cell>
          <cell r="B33" t="str">
            <v>Poultry hatcheries</v>
          </cell>
        </row>
        <row r="34">
          <cell r="A34">
            <v>259</v>
          </cell>
          <cell r="B34" t="str">
            <v>Poultry and eggs, nec</v>
          </cell>
        </row>
        <row r="35">
          <cell r="A35">
            <v>271</v>
          </cell>
          <cell r="B35" t="str">
            <v>Fur-bearing animals and rabbits</v>
          </cell>
        </row>
        <row r="36">
          <cell r="A36">
            <v>272</v>
          </cell>
          <cell r="B36" t="str">
            <v>Horses and other equines</v>
          </cell>
        </row>
        <row r="37">
          <cell r="A37">
            <v>273</v>
          </cell>
          <cell r="B37" t="str">
            <v>Animal aquaculture</v>
          </cell>
        </row>
        <row r="38">
          <cell r="A38">
            <v>279</v>
          </cell>
          <cell r="B38" t="str">
            <v>Animal specialties, nec</v>
          </cell>
        </row>
        <row r="39">
          <cell r="A39">
            <v>291</v>
          </cell>
          <cell r="B39" t="str">
            <v>General farms, primarily animals</v>
          </cell>
        </row>
        <row r="40">
          <cell r="A40">
            <v>711</v>
          </cell>
          <cell r="B40" t="str">
            <v>Soil preparation services</v>
          </cell>
        </row>
        <row r="41">
          <cell r="A41">
            <v>721</v>
          </cell>
          <cell r="B41" t="str">
            <v>Crop planting and protection</v>
          </cell>
        </row>
        <row r="42">
          <cell r="A42">
            <v>722</v>
          </cell>
          <cell r="B42" t="str">
            <v>Crop harvesting</v>
          </cell>
        </row>
        <row r="43">
          <cell r="A43">
            <v>723</v>
          </cell>
          <cell r="B43" t="str">
            <v>Crop preparation services for market</v>
          </cell>
        </row>
        <row r="44">
          <cell r="A44">
            <v>724</v>
          </cell>
          <cell r="B44" t="str">
            <v>Cotton ginning</v>
          </cell>
        </row>
        <row r="45">
          <cell r="A45">
            <v>741</v>
          </cell>
          <cell r="B45" t="str">
            <v>Veterinary services for livestock</v>
          </cell>
        </row>
        <row r="46">
          <cell r="A46">
            <v>742</v>
          </cell>
          <cell r="B46" t="str">
            <v>Veterinary services, specialties</v>
          </cell>
        </row>
        <row r="47">
          <cell r="A47">
            <v>751</v>
          </cell>
          <cell r="B47" t="str">
            <v>Livestock services, except veterinary</v>
          </cell>
        </row>
        <row r="48">
          <cell r="A48">
            <v>752</v>
          </cell>
          <cell r="B48" t="str">
            <v>Animal specialty services</v>
          </cell>
        </row>
        <row r="49">
          <cell r="A49">
            <v>761</v>
          </cell>
          <cell r="B49" t="str">
            <v>Farm labor contractors</v>
          </cell>
        </row>
        <row r="50">
          <cell r="A50">
            <v>762</v>
          </cell>
          <cell r="B50" t="str">
            <v>Farm management services</v>
          </cell>
        </row>
        <row r="51">
          <cell r="A51">
            <v>781</v>
          </cell>
          <cell r="B51" t="str">
            <v>Landscape counseling and planning</v>
          </cell>
        </row>
        <row r="52">
          <cell r="A52">
            <v>782</v>
          </cell>
          <cell r="B52" t="str">
            <v>Lawn and garden services</v>
          </cell>
        </row>
        <row r="53">
          <cell r="A53">
            <v>783</v>
          </cell>
          <cell r="B53" t="str">
            <v>Ornamental shrub and tree services</v>
          </cell>
        </row>
        <row r="54">
          <cell r="A54">
            <v>811</v>
          </cell>
          <cell r="B54" t="str">
            <v>Timber tracts</v>
          </cell>
        </row>
        <row r="55">
          <cell r="A55">
            <v>831</v>
          </cell>
          <cell r="B55" t="str">
            <v>Forest products</v>
          </cell>
        </row>
        <row r="56">
          <cell r="A56">
            <v>851</v>
          </cell>
          <cell r="B56" t="str">
            <v>Forestry services</v>
          </cell>
        </row>
        <row r="57">
          <cell r="A57">
            <v>912</v>
          </cell>
          <cell r="B57" t="str">
            <v>Finfish</v>
          </cell>
        </row>
        <row r="58">
          <cell r="A58">
            <v>913</v>
          </cell>
          <cell r="B58" t="str">
            <v>Shellfish</v>
          </cell>
        </row>
        <row r="59">
          <cell r="A59">
            <v>919</v>
          </cell>
          <cell r="B59" t="str">
            <v>Miscellaneous marine products</v>
          </cell>
        </row>
        <row r="60">
          <cell r="A60">
            <v>921</v>
          </cell>
          <cell r="B60" t="str">
            <v>Fish hatcheries and preserves</v>
          </cell>
        </row>
        <row r="61">
          <cell r="A61">
            <v>971</v>
          </cell>
          <cell r="B61" t="str">
            <v>Hunting, trapping, game propagation</v>
          </cell>
        </row>
        <row r="62">
          <cell r="A62">
            <v>1011</v>
          </cell>
          <cell r="B62" t="str">
            <v>Iron ores</v>
          </cell>
        </row>
        <row r="63">
          <cell r="A63">
            <v>1021</v>
          </cell>
          <cell r="B63" t="str">
            <v>Copper ores</v>
          </cell>
        </row>
        <row r="64">
          <cell r="A64">
            <v>1031</v>
          </cell>
          <cell r="B64" t="str">
            <v>Lead and zinc ores</v>
          </cell>
        </row>
        <row r="65">
          <cell r="A65">
            <v>1041</v>
          </cell>
          <cell r="B65" t="str">
            <v>Gold ores</v>
          </cell>
        </row>
        <row r="66">
          <cell r="A66">
            <v>1044</v>
          </cell>
          <cell r="B66" t="str">
            <v>Silver ores</v>
          </cell>
        </row>
        <row r="67">
          <cell r="A67">
            <v>1061</v>
          </cell>
          <cell r="B67" t="str">
            <v>Ferroalloy ores, except vanadium</v>
          </cell>
        </row>
        <row r="68">
          <cell r="A68">
            <v>1081</v>
          </cell>
          <cell r="B68" t="str">
            <v>Metal mining services</v>
          </cell>
        </row>
        <row r="69">
          <cell r="A69">
            <v>1094</v>
          </cell>
          <cell r="B69" t="str">
            <v>Uranium-radium-vanadium ores</v>
          </cell>
        </row>
        <row r="70">
          <cell r="A70">
            <v>1099</v>
          </cell>
          <cell r="B70" t="str">
            <v>Metal ores, nec</v>
          </cell>
        </row>
        <row r="71">
          <cell r="A71">
            <v>1221</v>
          </cell>
          <cell r="B71" t="str">
            <v>Bituminous coal and lignite-surface mining</v>
          </cell>
        </row>
        <row r="72">
          <cell r="A72">
            <v>1222</v>
          </cell>
          <cell r="B72" t="str">
            <v>Bituminous coal-underground mining</v>
          </cell>
        </row>
        <row r="73">
          <cell r="A73">
            <v>1231</v>
          </cell>
          <cell r="B73" t="str">
            <v>Anthracite mining</v>
          </cell>
        </row>
        <row r="74">
          <cell r="A74">
            <v>1241</v>
          </cell>
          <cell r="B74" t="str">
            <v>Coal mining services</v>
          </cell>
        </row>
        <row r="75">
          <cell r="A75">
            <v>1311</v>
          </cell>
          <cell r="B75" t="str">
            <v>Crude petroleum and natural gas</v>
          </cell>
        </row>
        <row r="76">
          <cell r="A76">
            <v>1321</v>
          </cell>
          <cell r="B76" t="str">
            <v>Natural gas liquids</v>
          </cell>
        </row>
        <row r="77">
          <cell r="A77">
            <v>1381</v>
          </cell>
          <cell r="B77" t="str">
            <v>Drilling oil and gas wells</v>
          </cell>
        </row>
        <row r="78">
          <cell r="A78">
            <v>1382</v>
          </cell>
          <cell r="B78" t="str">
            <v>Oil and gas exploration services</v>
          </cell>
        </row>
        <row r="79">
          <cell r="A79">
            <v>1389</v>
          </cell>
          <cell r="B79" t="str">
            <v>Oil and gas field services, nec</v>
          </cell>
        </row>
        <row r="80">
          <cell r="A80">
            <v>1411</v>
          </cell>
          <cell r="B80" t="str">
            <v>Dimension stone</v>
          </cell>
        </row>
        <row r="81">
          <cell r="A81">
            <v>1422</v>
          </cell>
          <cell r="B81" t="str">
            <v>Crushed and broken limestone</v>
          </cell>
        </row>
        <row r="82">
          <cell r="A82">
            <v>1423</v>
          </cell>
          <cell r="B82" t="str">
            <v>Crushed and broken granite</v>
          </cell>
        </row>
        <row r="83">
          <cell r="A83">
            <v>1429</v>
          </cell>
          <cell r="B83" t="str">
            <v>Crushed and broken stone, nec</v>
          </cell>
        </row>
        <row r="84">
          <cell r="A84">
            <v>1442</v>
          </cell>
          <cell r="B84" t="str">
            <v>Construction sand and gravel</v>
          </cell>
        </row>
        <row r="85">
          <cell r="A85">
            <v>1446</v>
          </cell>
          <cell r="B85" t="str">
            <v>Industrial sand</v>
          </cell>
        </row>
        <row r="86">
          <cell r="A86">
            <v>1455</v>
          </cell>
          <cell r="B86" t="str">
            <v>Kaolin and ball clay</v>
          </cell>
        </row>
        <row r="87">
          <cell r="A87">
            <v>1459</v>
          </cell>
          <cell r="B87" t="str">
            <v>Clay and related minerals, nec</v>
          </cell>
        </row>
        <row r="88">
          <cell r="A88">
            <v>1474</v>
          </cell>
          <cell r="B88" t="str">
            <v>Potash, soda, and borate minerals</v>
          </cell>
        </row>
        <row r="89">
          <cell r="A89">
            <v>1475</v>
          </cell>
          <cell r="B89" t="str">
            <v>Phosphate rock</v>
          </cell>
        </row>
        <row r="90">
          <cell r="A90">
            <v>1479</v>
          </cell>
          <cell r="B90" t="str">
            <v>Chemical and fertilizer mining</v>
          </cell>
        </row>
        <row r="91">
          <cell r="A91">
            <v>1481</v>
          </cell>
          <cell r="B91" t="str">
            <v>Nonmetallic mineral services</v>
          </cell>
        </row>
        <row r="92">
          <cell r="A92">
            <v>1499</v>
          </cell>
          <cell r="B92" t="str">
            <v>Miscellaneous nonmetallic mining</v>
          </cell>
        </row>
        <row r="93">
          <cell r="A93">
            <v>1521</v>
          </cell>
          <cell r="B93" t="str">
            <v>Single-family housing construction</v>
          </cell>
        </row>
        <row r="94">
          <cell r="A94">
            <v>1522</v>
          </cell>
          <cell r="B94" t="str">
            <v>Residential construction, nec</v>
          </cell>
        </row>
        <row r="95">
          <cell r="A95">
            <v>1531</v>
          </cell>
          <cell r="B95" t="str">
            <v>Operative builders</v>
          </cell>
        </row>
        <row r="96">
          <cell r="A96">
            <v>1541</v>
          </cell>
          <cell r="B96" t="str">
            <v>Industrial buildings and warehouses</v>
          </cell>
        </row>
        <row r="97">
          <cell r="A97">
            <v>1542</v>
          </cell>
          <cell r="B97" t="str">
            <v>Nonresidential construction, nec</v>
          </cell>
        </row>
        <row r="98">
          <cell r="A98">
            <v>1611</v>
          </cell>
          <cell r="B98" t="str">
            <v>Highway and street construction</v>
          </cell>
        </row>
        <row r="99">
          <cell r="A99">
            <v>1622</v>
          </cell>
          <cell r="B99" t="str">
            <v>Bridge, tunnel, and elevated highway</v>
          </cell>
        </row>
        <row r="100">
          <cell r="A100">
            <v>1623</v>
          </cell>
          <cell r="B100" t="str">
            <v>Water, sewer, and utility lines</v>
          </cell>
        </row>
        <row r="101">
          <cell r="A101">
            <v>1629</v>
          </cell>
          <cell r="B101" t="str">
            <v>Heavy construction, nec</v>
          </cell>
        </row>
        <row r="102">
          <cell r="A102">
            <v>1711</v>
          </cell>
          <cell r="B102" t="str">
            <v>Plumbing, heating, air-conditioning</v>
          </cell>
        </row>
        <row r="103">
          <cell r="A103">
            <v>1721</v>
          </cell>
          <cell r="B103" t="str">
            <v>Painting and paper hanging</v>
          </cell>
        </row>
        <row r="104">
          <cell r="A104">
            <v>1731</v>
          </cell>
          <cell r="B104" t="str">
            <v>Electrical work</v>
          </cell>
        </row>
        <row r="105">
          <cell r="A105">
            <v>1741</v>
          </cell>
          <cell r="B105" t="str">
            <v>Masonry and other stonework</v>
          </cell>
        </row>
        <row r="106">
          <cell r="A106">
            <v>1742</v>
          </cell>
          <cell r="B106" t="str">
            <v>Plastering, drywall, and insulation</v>
          </cell>
        </row>
        <row r="107">
          <cell r="A107">
            <v>1743</v>
          </cell>
          <cell r="B107" t="str">
            <v>Terrazzo, tile, marble, mosaic work</v>
          </cell>
        </row>
        <row r="108">
          <cell r="A108">
            <v>1751</v>
          </cell>
          <cell r="B108" t="str">
            <v>Carpentry work</v>
          </cell>
        </row>
        <row r="109">
          <cell r="A109">
            <v>1752</v>
          </cell>
          <cell r="B109" t="str">
            <v>Floor laying and floor work, nec</v>
          </cell>
        </row>
        <row r="110">
          <cell r="A110">
            <v>1761</v>
          </cell>
          <cell r="B110" t="str">
            <v>Roofing, siding, and sheetmetal work</v>
          </cell>
        </row>
        <row r="111">
          <cell r="A111">
            <v>1771</v>
          </cell>
          <cell r="B111" t="str">
            <v>Concrete work</v>
          </cell>
        </row>
        <row r="112">
          <cell r="A112">
            <v>1781</v>
          </cell>
          <cell r="B112" t="str">
            <v>Water well drilling</v>
          </cell>
        </row>
        <row r="113">
          <cell r="A113">
            <v>1791</v>
          </cell>
          <cell r="B113" t="str">
            <v>Structural steel erection</v>
          </cell>
        </row>
        <row r="114">
          <cell r="A114">
            <v>1793</v>
          </cell>
          <cell r="B114" t="str">
            <v>Glass and glazing work</v>
          </cell>
        </row>
        <row r="115">
          <cell r="A115">
            <v>1794</v>
          </cell>
          <cell r="B115" t="str">
            <v>Excavation work</v>
          </cell>
        </row>
        <row r="116">
          <cell r="A116">
            <v>1795</v>
          </cell>
          <cell r="B116" t="str">
            <v>Wrecking and demolition work</v>
          </cell>
        </row>
        <row r="117">
          <cell r="A117">
            <v>1796</v>
          </cell>
          <cell r="B117" t="str">
            <v>Installing building equipment</v>
          </cell>
        </row>
        <row r="118">
          <cell r="A118">
            <v>1799</v>
          </cell>
          <cell r="B118" t="str">
            <v>Special trade contractors, nec</v>
          </cell>
        </row>
        <row r="119">
          <cell r="A119">
            <v>2011</v>
          </cell>
          <cell r="B119" t="str">
            <v>Meat packing plants</v>
          </cell>
        </row>
        <row r="120">
          <cell r="A120">
            <v>2013</v>
          </cell>
          <cell r="B120" t="str">
            <v>Sausages and other prepared meats</v>
          </cell>
        </row>
        <row r="121">
          <cell r="A121">
            <v>2015</v>
          </cell>
          <cell r="B121" t="str">
            <v>Poultry slaughtering and processing</v>
          </cell>
        </row>
        <row r="122">
          <cell r="A122">
            <v>2021</v>
          </cell>
          <cell r="B122" t="str">
            <v>Creamery butter</v>
          </cell>
        </row>
        <row r="123">
          <cell r="A123">
            <v>2022</v>
          </cell>
          <cell r="B123" t="str">
            <v>Cheese; natural and processed</v>
          </cell>
        </row>
        <row r="124">
          <cell r="A124">
            <v>2023</v>
          </cell>
          <cell r="B124" t="str">
            <v>Dry, condensed, evaporated products</v>
          </cell>
        </row>
        <row r="125">
          <cell r="A125">
            <v>2024</v>
          </cell>
          <cell r="B125" t="str">
            <v>Ice cream and frozen deserts</v>
          </cell>
        </row>
        <row r="126">
          <cell r="A126">
            <v>2026</v>
          </cell>
          <cell r="B126" t="str">
            <v>Fluid milk</v>
          </cell>
        </row>
        <row r="127">
          <cell r="A127">
            <v>2032</v>
          </cell>
          <cell r="B127" t="str">
            <v>Canned specialties</v>
          </cell>
        </row>
        <row r="128">
          <cell r="A128">
            <v>2033</v>
          </cell>
          <cell r="B128" t="str">
            <v>Canned fruits and specialties</v>
          </cell>
        </row>
        <row r="129">
          <cell r="A129">
            <v>2034</v>
          </cell>
          <cell r="B129" t="str">
            <v>Dehydrated fruits, vegetables, soups</v>
          </cell>
        </row>
        <row r="130">
          <cell r="A130">
            <v>2035</v>
          </cell>
          <cell r="B130" t="str">
            <v>Pickles, sauces, and salad dressings</v>
          </cell>
        </row>
        <row r="131">
          <cell r="A131">
            <v>2037</v>
          </cell>
          <cell r="B131" t="str">
            <v>Frozen fruits and vegetables</v>
          </cell>
        </row>
        <row r="132">
          <cell r="A132">
            <v>2038</v>
          </cell>
          <cell r="B132" t="str">
            <v>Frozen specialties, nec</v>
          </cell>
        </row>
        <row r="133">
          <cell r="A133">
            <v>2041</v>
          </cell>
          <cell r="B133" t="str">
            <v>Flour and other grain mill products</v>
          </cell>
        </row>
        <row r="134">
          <cell r="A134">
            <v>2043</v>
          </cell>
          <cell r="B134" t="str">
            <v>Cereal breakfast foods</v>
          </cell>
        </row>
        <row r="135">
          <cell r="A135">
            <v>2044</v>
          </cell>
          <cell r="B135" t="str">
            <v>Rice milling</v>
          </cell>
        </row>
        <row r="136">
          <cell r="A136">
            <v>2045</v>
          </cell>
          <cell r="B136" t="str">
            <v>Prepared flour mixes and doughs</v>
          </cell>
        </row>
        <row r="137">
          <cell r="A137">
            <v>2046</v>
          </cell>
          <cell r="B137" t="str">
            <v>Wet corn milling</v>
          </cell>
        </row>
        <row r="138">
          <cell r="A138">
            <v>2047</v>
          </cell>
          <cell r="B138" t="str">
            <v>Dog and cat food</v>
          </cell>
        </row>
        <row r="139">
          <cell r="A139">
            <v>2048</v>
          </cell>
          <cell r="B139" t="str">
            <v>Prepared feeds, nec</v>
          </cell>
        </row>
        <row r="140">
          <cell r="A140">
            <v>2051</v>
          </cell>
          <cell r="B140" t="str">
            <v>Bread, cake, and related products</v>
          </cell>
        </row>
        <row r="141">
          <cell r="A141">
            <v>2052</v>
          </cell>
          <cell r="B141" t="str">
            <v>Cookies and crackers</v>
          </cell>
        </row>
        <row r="142">
          <cell r="A142">
            <v>2053</v>
          </cell>
          <cell r="B142" t="str">
            <v>Frozen bakery products, except bread</v>
          </cell>
        </row>
        <row r="143">
          <cell r="A143">
            <v>2061</v>
          </cell>
          <cell r="B143" t="str">
            <v>Raw cane sugar</v>
          </cell>
        </row>
        <row r="144">
          <cell r="A144">
            <v>2062</v>
          </cell>
          <cell r="B144" t="str">
            <v>Cane sugar refining</v>
          </cell>
        </row>
        <row r="145">
          <cell r="A145">
            <v>2063</v>
          </cell>
          <cell r="B145" t="str">
            <v>Beet sugar</v>
          </cell>
        </row>
        <row r="146">
          <cell r="A146">
            <v>2064</v>
          </cell>
          <cell r="B146" t="str">
            <v>Candy and other confectionery products</v>
          </cell>
        </row>
        <row r="147">
          <cell r="A147">
            <v>2066</v>
          </cell>
          <cell r="B147" t="str">
            <v>Chocolate and cocoa products</v>
          </cell>
        </row>
        <row r="148">
          <cell r="A148">
            <v>2067</v>
          </cell>
          <cell r="B148" t="str">
            <v>Chewing gum</v>
          </cell>
        </row>
        <row r="149">
          <cell r="A149">
            <v>2068</v>
          </cell>
          <cell r="B149" t="str">
            <v>Salted and roasted nuts and seeds</v>
          </cell>
        </row>
        <row r="150">
          <cell r="A150">
            <v>2074</v>
          </cell>
          <cell r="B150" t="str">
            <v>Cottonseed oil mills</v>
          </cell>
        </row>
        <row r="151">
          <cell r="A151">
            <v>2075</v>
          </cell>
          <cell r="B151" t="str">
            <v>Soybean oil mills</v>
          </cell>
        </row>
        <row r="152">
          <cell r="A152">
            <v>2076</v>
          </cell>
          <cell r="B152" t="str">
            <v>Vegetable oil mills, nec</v>
          </cell>
        </row>
        <row r="153">
          <cell r="A153">
            <v>2077</v>
          </cell>
          <cell r="B153" t="str">
            <v>Animal and marine fats and oils</v>
          </cell>
        </row>
        <row r="154">
          <cell r="A154">
            <v>2079</v>
          </cell>
          <cell r="B154" t="str">
            <v>Edible fats and oils</v>
          </cell>
        </row>
        <row r="155">
          <cell r="A155">
            <v>2082</v>
          </cell>
          <cell r="B155" t="str">
            <v>Malt beverages</v>
          </cell>
        </row>
        <row r="156">
          <cell r="A156">
            <v>2083</v>
          </cell>
          <cell r="B156" t="str">
            <v>Malt</v>
          </cell>
        </row>
        <row r="157">
          <cell r="A157">
            <v>2084</v>
          </cell>
          <cell r="B157" t="str">
            <v>Wines, brandy, and brandy spirits</v>
          </cell>
        </row>
        <row r="158">
          <cell r="A158">
            <v>2085</v>
          </cell>
          <cell r="B158" t="str">
            <v>Distilled and blended liquors</v>
          </cell>
        </row>
        <row r="159">
          <cell r="A159">
            <v>2086</v>
          </cell>
          <cell r="B159" t="str">
            <v>Bottled and canned soft drinks</v>
          </cell>
        </row>
        <row r="160">
          <cell r="A160">
            <v>2087</v>
          </cell>
          <cell r="B160" t="str">
            <v>Flavoring extracts and syrups, nec</v>
          </cell>
        </row>
        <row r="161">
          <cell r="A161">
            <v>2091</v>
          </cell>
          <cell r="B161" t="str">
            <v>Canned and cured fish and seafoods</v>
          </cell>
        </row>
        <row r="162">
          <cell r="A162">
            <v>2092</v>
          </cell>
          <cell r="B162" t="str">
            <v>Fresh or frozen packaged fish</v>
          </cell>
        </row>
        <row r="163">
          <cell r="A163">
            <v>2095</v>
          </cell>
          <cell r="B163" t="str">
            <v>Roasted coffee</v>
          </cell>
        </row>
        <row r="164">
          <cell r="A164">
            <v>2096</v>
          </cell>
          <cell r="B164" t="str">
            <v>Potato chips and similar snacks</v>
          </cell>
        </row>
        <row r="165">
          <cell r="A165">
            <v>2097</v>
          </cell>
          <cell r="B165" t="str">
            <v>Manufactured ice</v>
          </cell>
        </row>
        <row r="166">
          <cell r="A166">
            <v>2098</v>
          </cell>
          <cell r="B166" t="str">
            <v>Macaroni and spaghetti</v>
          </cell>
        </row>
        <row r="167">
          <cell r="A167">
            <v>2099</v>
          </cell>
          <cell r="B167" t="str">
            <v>Food preparations, nec</v>
          </cell>
        </row>
        <row r="168">
          <cell r="A168">
            <v>2111</v>
          </cell>
          <cell r="B168" t="str">
            <v>Cigarettes</v>
          </cell>
        </row>
        <row r="169">
          <cell r="A169">
            <v>2121</v>
          </cell>
          <cell r="B169" t="str">
            <v>Cigars</v>
          </cell>
        </row>
        <row r="170">
          <cell r="A170">
            <v>2131</v>
          </cell>
          <cell r="B170" t="str">
            <v>Chewing and smoking tobacco</v>
          </cell>
        </row>
        <row r="171">
          <cell r="A171">
            <v>2141</v>
          </cell>
          <cell r="B171" t="str">
            <v>Tobacco stemming and redrying</v>
          </cell>
        </row>
        <row r="172">
          <cell r="A172">
            <v>2211</v>
          </cell>
          <cell r="B172" t="str">
            <v>Broadwoven fabric mills, cotton</v>
          </cell>
        </row>
        <row r="173">
          <cell r="A173">
            <v>2221</v>
          </cell>
          <cell r="B173" t="str">
            <v>Broadwoven fabric mills, manmade</v>
          </cell>
        </row>
        <row r="174">
          <cell r="A174">
            <v>2231</v>
          </cell>
          <cell r="B174" t="str">
            <v>Broadwoven fabric mills, wool</v>
          </cell>
        </row>
        <row r="175">
          <cell r="A175">
            <v>2241</v>
          </cell>
          <cell r="B175" t="str">
            <v>Narrow fabric mills</v>
          </cell>
        </row>
        <row r="176">
          <cell r="A176">
            <v>2251</v>
          </cell>
          <cell r="B176" t="str">
            <v>Women's hosiery, except socks</v>
          </cell>
        </row>
        <row r="177">
          <cell r="A177">
            <v>2252</v>
          </cell>
          <cell r="B177" t="str">
            <v>Hosiery, nec</v>
          </cell>
        </row>
        <row r="178">
          <cell r="A178">
            <v>2253</v>
          </cell>
          <cell r="B178" t="str">
            <v>Knit outerwear mills</v>
          </cell>
        </row>
        <row r="179">
          <cell r="A179">
            <v>2254</v>
          </cell>
          <cell r="B179" t="str">
            <v>Knit underwear mills</v>
          </cell>
        </row>
        <row r="180">
          <cell r="A180">
            <v>2257</v>
          </cell>
          <cell r="B180" t="str">
            <v>Weft knit fabric mills</v>
          </cell>
        </row>
        <row r="181">
          <cell r="A181">
            <v>2258</v>
          </cell>
          <cell r="B181" t="str">
            <v>Lace and warp knit fabric mills</v>
          </cell>
        </row>
        <row r="182">
          <cell r="A182">
            <v>2259</v>
          </cell>
          <cell r="B182" t="str">
            <v>Knitting mills, nec</v>
          </cell>
        </row>
        <row r="183">
          <cell r="A183">
            <v>2261</v>
          </cell>
          <cell r="B183" t="str">
            <v>Finishing plants, cotton</v>
          </cell>
        </row>
        <row r="184">
          <cell r="A184">
            <v>2262</v>
          </cell>
          <cell r="B184" t="str">
            <v>Finishing plants, manmade</v>
          </cell>
        </row>
        <row r="185">
          <cell r="A185">
            <v>2269</v>
          </cell>
          <cell r="B185" t="str">
            <v>Finishing plants, nec</v>
          </cell>
        </row>
        <row r="186">
          <cell r="A186">
            <v>2273</v>
          </cell>
          <cell r="B186" t="str">
            <v>Carpets and rugs</v>
          </cell>
        </row>
        <row r="187">
          <cell r="A187">
            <v>2281</v>
          </cell>
          <cell r="B187" t="str">
            <v>Yarn spinning mills</v>
          </cell>
        </row>
        <row r="188">
          <cell r="A188">
            <v>2282</v>
          </cell>
          <cell r="B188" t="str">
            <v>Throwing and winding mills</v>
          </cell>
        </row>
        <row r="189">
          <cell r="A189">
            <v>2284</v>
          </cell>
          <cell r="B189" t="str">
            <v>Thread mills</v>
          </cell>
        </row>
        <row r="190">
          <cell r="A190">
            <v>2295</v>
          </cell>
          <cell r="B190" t="str">
            <v>Coated fabrics, not rubberized</v>
          </cell>
        </row>
        <row r="191">
          <cell r="A191">
            <v>2296</v>
          </cell>
          <cell r="B191" t="str">
            <v>Tire cord and fabrics</v>
          </cell>
        </row>
        <row r="192">
          <cell r="A192">
            <v>2297</v>
          </cell>
          <cell r="B192" t="str">
            <v>Nonwoven fabrics</v>
          </cell>
        </row>
        <row r="193">
          <cell r="A193">
            <v>2298</v>
          </cell>
          <cell r="B193" t="str">
            <v>Cordage and twine</v>
          </cell>
        </row>
        <row r="194">
          <cell r="A194">
            <v>2299</v>
          </cell>
          <cell r="B194" t="str">
            <v>Textile goods, nec</v>
          </cell>
        </row>
        <row r="195">
          <cell r="A195">
            <v>2311</v>
          </cell>
          <cell r="B195" t="str">
            <v>Men's and boy's suits and coats</v>
          </cell>
        </row>
        <row r="196">
          <cell r="A196">
            <v>2321</v>
          </cell>
          <cell r="B196" t="str">
            <v>Men's and boy's furnishings</v>
          </cell>
        </row>
        <row r="197">
          <cell r="A197">
            <v>2322</v>
          </cell>
          <cell r="B197" t="str">
            <v>Men's and boy's underwear and nightwear</v>
          </cell>
        </row>
        <row r="198">
          <cell r="A198">
            <v>2323</v>
          </cell>
          <cell r="B198" t="str">
            <v>Men's and boy's neckwear</v>
          </cell>
        </row>
        <row r="199">
          <cell r="A199">
            <v>2325</v>
          </cell>
          <cell r="B199" t="str">
            <v>Men's and boy's trousers and slacks</v>
          </cell>
        </row>
        <row r="200">
          <cell r="A200">
            <v>2326</v>
          </cell>
          <cell r="B200" t="str">
            <v>Men's and boy's work clothing</v>
          </cell>
        </row>
        <row r="201">
          <cell r="A201">
            <v>2329</v>
          </cell>
          <cell r="B201" t="str">
            <v>Men's and boy's clothing, nec</v>
          </cell>
        </row>
        <row r="202">
          <cell r="A202">
            <v>2331</v>
          </cell>
          <cell r="B202" t="str">
            <v>Women's and misses' blouses and shirts</v>
          </cell>
        </row>
        <row r="203">
          <cell r="A203">
            <v>2335</v>
          </cell>
          <cell r="B203" t="str">
            <v>Women's, junior's, and misses' dresses</v>
          </cell>
        </row>
        <row r="204">
          <cell r="A204">
            <v>2337</v>
          </cell>
          <cell r="B204" t="str">
            <v>Women's and misses' suits and coats</v>
          </cell>
        </row>
        <row r="205">
          <cell r="A205">
            <v>2339</v>
          </cell>
          <cell r="B205" t="str">
            <v>Women's and misses' outerwear, nec</v>
          </cell>
        </row>
        <row r="206">
          <cell r="A206">
            <v>2341</v>
          </cell>
          <cell r="B206" t="str">
            <v>Women's and children's underwear</v>
          </cell>
        </row>
        <row r="207">
          <cell r="A207">
            <v>2342</v>
          </cell>
          <cell r="B207" t="str">
            <v>Bras, girdles, and allied garments</v>
          </cell>
        </row>
        <row r="208">
          <cell r="A208">
            <v>2353</v>
          </cell>
          <cell r="B208" t="str">
            <v>Hats, caps, and millinery</v>
          </cell>
        </row>
        <row r="209">
          <cell r="A209">
            <v>2361</v>
          </cell>
          <cell r="B209" t="str">
            <v>Girl's and children's dresses, blouses</v>
          </cell>
        </row>
        <row r="210">
          <cell r="A210">
            <v>2369</v>
          </cell>
          <cell r="B210" t="str">
            <v>Girl's and children's outerwear, nec</v>
          </cell>
        </row>
        <row r="211">
          <cell r="A211">
            <v>2371</v>
          </cell>
          <cell r="B211" t="str">
            <v>Fur goods</v>
          </cell>
        </row>
        <row r="212">
          <cell r="A212">
            <v>2381</v>
          </cell>
          <cell r="B212" t="str">
            <v>Fabric dress and work gloves</v>
          </cell>
        </row>
        <row r="213">
          <cell r="A213">
            <v>2384</v>
          </cell>
          <cell r="B213" t="str">
            <v>Robes and dressing gowns</v>
          </cell>
        </row>
        <row r="214">
          <cell r="A214">
            <v>2385</v>
          </cell>
          <cell r="B214" t="str">
            <v>Waterproof outerwear</v>
          </cell>
        </row>
        <row r="215">
          <cell r="A215">
            <v>2386</v>
          </cell>
          <cell r="B215" t="str">
            <v>Leather and sheep-lined clothing</v>
          </cell>
        </row>
        <row r="216">
          <cell r="A216">
            <v>2387</v>
          </cell>
          <cell r="B216" t="str">
            <v>Apparel belts</v>
          </cell>
        </row>
        <row r="217">
          <cell r="A217">
            <v>2389</v>
          </cell>
          <cell r="B217" t="str">
            <v>Apparel and accessories, nec</v>
          </cell>
        </row>
        <row r="218">
          <cell r="A218">
            <v>2391</v>
          </cell>
          <cell r="B218" t="str">
            <v>Curtains and draperies</v>
          </cell>
        </row>
        <row r="219">
          <cell r="A219">
            <v>2392</v>
          </cell>
          <cell r="B219" t="str">
            <v>Household furnishings, nec</v>
          </cell>
        </row>
        <row r="220">
          <cell r="A220">
            <v>2393</v>
          </cell>
          <cell r="B220" t="str">
            <v>Textile bags</v>
          </cell>
        </row>
        <row r="221">
          <cell r="A221">
            <v>2394</v>
          </cell>
          <cell r="B221" t="str">
            <v>Canvas and related products</v>
          </cell>
        </row>
        <row r="222">
          <cell r="A222">
            <v>2395</v>
          </cell>
          <cell r="B222" t="str">
            <v>Pleating and stitching</v>
          </cell>
        </row>
        <row r="223">
          <cell r="A223">
            <v>2396</v>
          </cell>
          <cell r="B223" t="str">
            <v>Automotive and apparel trimmings</v>
          </cell>
        </row>
        <row r="224">
          <cell r="A224">
            <v>2397</v>
          </cell>
          <cell r="B224" t="str">
            <v>Schiffli machine embroideries</v>
          </cell>
        </row>
        <row r="225">
          <cell r="A225">
            <v>2399</v>
          </cell>
          <cell r="B225" t="str">
            <v>Fabricated textile products, nec</v>
          </cell>
        </row>
        <row r="226">
          <cell r="A226">
            <v>2411</v>
          </cell>
          <cell r="B226" t="str">
            <v>Logging</v>
          </cell>
        </row>
        <row r="227">
          <cell r="A227">
            <v>2421</v>
          </cell>
          <cell r="B227" t="str">
            <v>Sawmills and planing mills, general</v>
          </cell>
        </row>
        <row r="228">
          <cell r="A228">
            <v>2426</v>
          </cell>
          <cell r="B228" t="str">
            <v>Hardwood dimension and flooring mills</v>
          </cell>
        </row>
        <row r="229">
          <cell r="A229">
            <v>2429</v>
          </cell>
          <cell r="B229" t="str">
            <v>Special product sawmills, nec</v>
          </cell>
        </row>
        <row r="230">
          <cell r="A230">
            <v>2431</v>
          </cell>
          <cell r="B230" t="str">
            <v>Millwork</v>
          </cell>
        </row>
        <row r="231">
          <cell r="A231">
            <v>2434</v>
          </cell>
          <cell r="B231" t="str">
            <v>Wood kitchen cabinets</v>
          </cell>
        </row>
        <row r="232">
          <cell r="A232">
            <v>2435</v>
          </cell>
          <cell r="B232" t="str">
            <v>Hardwood veneer and plywood</v>
          </cell>
        </row>
        <row r="233">
          <cell r="A233">
            <v>2436</v>
          </cell>
          <cell r="B233" t="str">
            <v>Softwood veneer and plywood</v>
          </cell>
        </row>
        <row r="234">
          <cell r="A234">
            <v>2439</v>
          </cell>
          <cell r="B234" t="str">
            <v>Structural wood members, nec</v>
          </cell>
        </row>
        <row r="235">
          <cell r="A235">
            <v>2441</v>
          </cell>
          <cell r="B235" t="str">
            <v>Nailed wood boxes and shook</v>
          </cell>
        </row>
        <row r="236">
          <cell r="A236">
            <v>2448</v>
          </cell>
          <cell r="B236" t="str">
            <v>Wood pallets and skids</v>
          </cell>
        </row>
        <row r="237">
          <cell r="A237">
            <v>2449</v>
          </cell>
          <cell r="B237" t="str">
            <v>Wood containers, nec</v>
          </cell>
        </row>
        <row r="238">
          <cell r="A238">
            <v>2451</v>
          </cell>
          <cell r="B238" t="str">
            <v>Mobile homes</v>
          </cell>
        </row>
        <row r="239">
          <cell r="A239">
            <v>2452</v>
          </cell>
          <cell r="B239" t="str">
            <v>Prefabricated wood buildings</v>
          </cell>
        </row>
        <row r="240">
          <cell r="A240">
            <v>2491</v>
          </cell>
          <cell r="B240" t="str">
            <v>Wood preserving</v>
          </cell>
        </row>
        <row r="241">
          <cell r="A241">
            <v>2493</v>
          </cell>
          <cell r="B241" t="str">
            <v>Reconstituted wood products</v>
          </cell>
        </row>
        <row r="242">
          <cell r="A242">
            <v>2499</v>
          </cell>
          <cell r="B242" t="str">
            <v>Wood products, nec</v>
          </cell>
        </row>
        <row r="243">
          <cell r="A243">
            <v>2511</v>
          </cell>
          <cell r="B243" t="str">
            <v>Wood household furniture</v>
          </cell>
        </row>
        <row r="244">
          <cell r="A244">
            <v>2512</v>
          </cell>
          <cell r="B244" t="str">
            <v>Upholstered household furniture</v>
          </cell>
        </row>
        <row r="245">
          <cell r="A245">
            <v>2514</v>
          </cell>
          <cell r="B245" t="str">
            <v>Metal household furniture</v>
          </cell>
        </row>
        <row r="246">
          <cell r="A246">
            <v>2515</v>
          </cell>
          <cell r="B246" t="str">
            <v>Mattresses and bedsprings</v>
          </cell>
        </row>
        <row r="247">
          <cell r="A247">
            <v>2517</v>
          </cell>
          <cell r="B247" t="str">
            <v>Wood television and radio cabinets</v>
          </cell>
        </row>
        <row r="248">
          <cell r="A248">
            <v>2519</v>
          </cell>
          <cell r="B248" t="str">
            <v>Household furniture, nec</v>
          </cell>
        </row>
        <row r="249">
          <cell r="A249">
            <v>2521</v>
          </cell>
          <cell r="B249" t="str">
            <v>Wood office furniture</v>
          </cell>
        </row>
        <row r="250">
          <cell r="A250">
            <v>2522</v>
          </cell>
          <cell r="B250" t="str">
            <v>Office furniture, except wood</v>
          </cell>
        </row>
        <row r="251">
          <cell r="A251">
            <v>2531</v>
          </cell>
          <cell r="B251" t="str">
            <v>Public building and related furniture</v>
          </cell>
        </row>
        <row r="252">
          <cell r="A252">
            <v>2541</v>
          </cell>
          <cell r="B252" t="str">
            <v>Wood partitions and fixtures</v>
          </cell>
        </row>
        <row r="253">
          <cell r="A253">
            <v>2542</v>
          </cell>
          <cell r="B253" t="str">
            <v>Partitions and fixtures, except wood</v>
          </cell>
        </row>
        <row r="254">
          <cell r="A254">
            <v>2591</v>
          </cell>
          <cell r="B254" t="str">
            <v>Drapery hardware and blinds and shades</v>
          </cell>
        </row>
        <row r="255">
          <cell r="A255">
            <v>2599</v>
          </cell>
          <cell r="B255" t="str">
            <v>Furniture and fixtures, nec</v>
          </cell>
        </row>
        <row r="256">
          <cell r="A256">
            <v>2611</v>
          </cell>
          <cell r="B256" t="str">
            <v>Pulp mills</v>
          </cell>
        </row>
        <row r="257">
          <cell r="A257">
            <v>2621</v>
          </cell>
          <cell r="B257" t="str">
            <v>Paper mills</v>
          </cell>
        </row>
        <row r="258">
          <cell r="A258">
            <v>2631</v>
          </cell>
          <cell r="B258" t="str">
            <v>Paperboard mills</v>
          </cell>
        </row>
        <row r="259">
          <cell r="A259">
            <v>2652</v>
          </cell>
          <cell r="B259" t="str">
            <v>Setup paperboard boxes</v>
          </cell>
        </row>
        <row r="260">
          <cell r="A260">
            <v>2653</v>
          </cell>
          <cell r="B260" t="str">
            <v>Corrugated and solid fiber boxes</v>
          </cell>
        </row>
        <row r="261">
          <cell r="A261">
            <v>2655</v>
          </cell>
          <cell r="B261" t="str">
            <v>Fiber cans, drums, and similar products</v>
          </cell>
        </row>
        <row r="262">
          <cell r="A262">
            <v>2656</v>
          </cell>
          <cell r="B262" t="str">
            <v>Sanitary food containers</v>
          </cell>
        </row>
        <row r="263">
          <cell r="A263">
            <v>2657</v>
          </cell>
          <cell r="B263" t="str">
            <v>Folding paperboard boxes</v>
          </cell>
        </row>
        <row r="264">
          <cell r="A264">
            <v>2671</v>
          </cell>
          <cell r="B264" t="str">
            <v>Paper; coated and laminated packaging</v>
          </cell>
        </row>
        <row r="265">
          <cell r="A265">
            <v>2672</v>
          </cell>
          <cell r="B265" t="str">
            <v>Paper; coated and laminated, nec</v>
          </cell>
        </row>
        <row r="266">
          <cell r="A266">
            <v>2673</v>
          </cell>
          <cell r="B266" t="str">
            <v>Bags: plastic, laminated, and coated</v>
          </cell>
        </row>
        <row r="267">
          <cell r="A267">
            <v>2674</v>
          </cell>
          <cell r="B267" t="str">
            <v>Bags: uncoated paper and multiwall</v>
          </cell>
        </row>
        <row r="268">
          <cell r="A268">
            <v>2675</v>
          </cell>
          <cell r="B268" t="str">
            <v>Die-cut paper and board</v>
          </cell>
        </row>
        <row r="269">
          <cell r="A269">
            <v>2676</v>
          </cell>
          <cell r="B269" t="str">
            <v>Sanitary paper products</v>
          </cell>
        </row>
        <row r="270">
          <cell r="A270">
            <v>2677</v>
          </cell>
          <cell r="B270" t="str">
            <v>Envelopes</v>
          </cell>
        </row>
        <row r="271">
          <cell r="A271">
            <v>2678</v>
          </cell>
          <cell r="B271" t="str">
            <v>Stationery products</v>
          </cell>
        </row>
        <row r="272">
          <cell r="A272">
            <v>2679</v>
          </cell>
          <cell r="B272" t="str">
            <v>Converted paper products, nec</v>
          </cell>
        </row>
        <row r="273">
          <cell r="A273">
            <v>2711</v>
          </cell>
          <cell r="B273" t="str">
            <v>Newspapers</v>
          </cell>
        </row>
        <row r="274">
          <cell r="A274">
            <v>2721</v>
          </cell>
          <cell r="B274" t="str">
            <v>Periodicals</v>
          </cell>
        </row>
        <row r="275">
          <cell r="A275">
            <v>2731</v>
          </cell>
          <cell r="B275" t="str">
            <v>Book publishing</v>
          </cell>
        </row>
        <row r="276">
          <cell r="A276">
            <v>2732</v>
          </cell>
          <cell r="B276" t="str">
            <v>Book printing</v>
          </cell>
        </row>
        <row r="277">
          <cell r="A277">
            <v>2741</v>
          </cell>
          <cell r="B277" t="str">
            <v>Miscellaneous publishing</v>
          </cell>
        </row>
        <row r="278">
          <cell r="A278">
            <v>2752</v>
          </cell>
          <cell r="B278" t="str">
            <v>Commercial printing, lithographic</v>
          </cell>
        </row>
        <row r="279">
          <cell r="A279">
            <v>2754</v>
          </cell>
          <cell r="B279" t="str">
            <v>Commercial printing, gravure</v>
          </cell>
        </row>
        <row r="280">
          <cell r="A280">
            <v>2759</v>
          </cell>
          <cell r="B280" t="str">
            <v>Commercial printing, nec</v>
          </cell>
        </row>
        <row r="281">
          <cell r="A281">
            <v>2761</v>
          </cell>
          <cell r="B281" t="str">
            <v>Manifold business forms</v>
          </cell>
        </row>
        <row r="282">
          <cell r="A282">
            <v>2771</v>
          </cell>
          <cell r="B282" t="str">
            <v>Greeting cards</v>
          </cell>
        </row>
        <row r="283">
          <cell r="A283">
            <v>2782</v>
          </cell>
          <cell r="B283" t="str">
            <v>Blankbooks and looseleaf binders</v>
          </cell>
        </row>
        <row r="284">
          <cell r="A284">
            <v>2789</v>
          </cell>
          <cell r="B284" t="str">
            <v>Bookbinding and related work</v>
          </cell>
        </row>
        <row r="285">
          <cell r="A285">
            <v>2791</v>
          </cell>
          <cell r="B285" t="str">
            <v>Typesetting</v>
          </cell>
        </row>
        <row r="286">
          <cell r="A286">
            <v>2796</v>
          </cell>
          <cell r="B286" t="str">
            <v>Platemaking services</v>
          </cell>
        </row>
        <row r="287">
          <cell r="A287">
            <v>2812</v>
          </cell>
          <cell r="B287" t="str">
            <v>Alkalies and chlorine</v>
          </cell>
        </row>
        <row r="288">
          <cell r="A288">
            <v>2813</v>
          </cell>
          <cell r="B288" t="str">
            <v>Industrial gases</v>
          </cell>
        </row>
        <row r="289">
          <cell r="A289">
            <v>2816</v>
          </cell>
          <cell r="B289" t="str">
            <v>Inorganic pigments</v>
          </cell>
        </row>
        <row r="290">
          <cell r="A290">
            <v>2819</v>
          </cell>
          <cell r="B290" t="str">
            <v>Industrial inorganic chemicals, nec</v>
          </cell>
        </row>
        <row r="291">
          <cell r="A291">
            <v>2821</v>
          </cell>
          <cell r="B291" t="str">
            <v>Plastics materials and resins</v>
          </cell>
        </row>
        <row r="292">
          <cell r="A292">
            <v>2822</v>
          </cell>
          <cell r="B292" t="str">
            <v>Synthetic rubber</v>
          </cell>
        </row>
        <row r="293">
          <cell r="A293">
            <v>2823</v>
          </cell>
          <cell r="B293" t="str">
            <v>Cellulosic manmade fibers</v>
          </cell>
        </row>
        <row r="294">
          <cell r="A294">
            <v>2824</v>
          </cell>
          <cell r="B294" t="str">
            <v>Organic fibers, noncellulosic</v>
          </cell>
        </row>
        <row r="295">
          <cell r="A295">
            <v>2833</v>
          </cell>
          <cell r="B295" t="str">
            <v>Medicinals and botanicals</v>
          </cell>
        </row>
        <row r="296">
          <cell r="A296">
            <v>2834</v>
          </cell>
          <cell r="B296" t="str">
            <v>Pharmaceutical preparations</v>
          </cell>
        </row>
        <row r="297">
          <cell r="A297">
            <v>2835</v>
          </cell>
          <cell r="B297" t="str">
            <v>Diagnostic substances</v>
          </cell>
        </row>
        <row r="298">
          <cell r="A298">
            <v>2836</v>
          </cell>
          <cell r="B298" t="str">
            <v>Biological products, except diagnostic</v>
          </cell>
        </row>
        <row r="299">
          <cell r="A299">
            <v>2841</v>
          </cell>
          <cell r="B299" t="str">
            <v>Soap and other detergents</v>
          </cell>
        </row>
        <row r="300">
          <cell r="A300">
            <v>2842</v>
          </cell>
          <cell r="B300" t="str">
            <v>Polishes and sanitation goods</v>
          </cell>
        </row>
        <row r="301">
          <cell r="A301">
            <v>2843</v>
          </cell>
          <cell r="B301" t="str">
            <v>Surface active agents</v>
          </cell>
        </row>
        <row r="302">
          <cell r="A302">
            <v>2844</v>
          </cell>
          <cell r="B302" t="str">
            <v>Toilet preparations</v>
          </cell>
        </row>
        <row r="303">
          <cell r="A303">
            <v>2851</v>
          </cell>
          <cell r="B303" t="str">
            <v>Paints and allied products</v>
          </cell>
        </row>
        <row r="304">
          <cell r="A304">
            <v>2861</v>
          </cell>
          <cell r="B304" t="str">
            <v>Gum and wood chemicals</v>
          </cell>
        </row>
        <row r="305">
          <cell r="A305">
            <v>2865</v>
          </cell>
          <cell r="B305" t="str">
            <v>Cyclic crudes and intermediates</v>
          </cell>
        </row>
        <row r="306">
          <cell r="A306">
            <v>2869</v>
          </cell>
          <cell r="B306" t="str">
            <v>Industrial organic chemicals, nec</v>
          </cell>
        </row>
        <row r="307">
          <cell r="A307">
            <v>2873</v>
          </cell>
          <cell r="B307" t="str">
            <v>Nitrogenous fertilizers</v>
          </cell>
        </row>
        <row r="308">
          <cell r="A308">
            <v>2874</v>
          </cell>
          <cell r="B308" t="str">
            <v>Phosphatic fertilizers</v>
          </cell>
        </row>
        <row r="309">
          <cell r="A309">
            <v>2875</v>
          </cell>
          <cell r="B309" t="str">
            <v>Fertilizers, mixing only</v>
          </cell>
        </row>
        <row r="310">
          <cell r="A310">
            <v>2879</v>
          </cell>
          <cell r="B310" t="str">
            <v>Agricultural chemicals, nec</v>
          </cell>
        </row>
        <row r="311">
          <cell r="A311">
            <v>2891</v>
          </cell>
          <cell r="B311" t="str">
            <v>Adhesives and sealants</v>
          </cell>
        </row>
        <row r="312">
          <cell r="A312">
            <v>2892</v>
          </cell>
          <cell r="B312" t="str">
            <v>Explosives</v>
          </cell>
        </row>
        <row r="313">
          <cell r="A313">
            <v>2893</v>
          </cell>
          <cell r="B313" t="str">
            <v>Printing ink</v>
          </cell>
        </row>
        <row r="314">
          <cell r="A314">
            <v>2895</v>
          </cell>
          <cell r="B314" t="str">
            <v>Carbon black</v>
          </cell>
        </row>
        <row r="315">
          <cell r="A315">
            <v>2899</v>
          </cell>
          <cell r="B315" t="str">
            <v>Chemical preparations, nec</v>
          </cell>
        </row>
        <row r="316">
          <cell r="A316">
            <v>2911</v>
          </cell>
          <cell r="B316" t="str">
            <v>Petroleum refining</v>
          </cell>
        </row>
        <row r="317">
          <cell r="A317">
            <v>2951</v>
          </cell>
          <cell r="B317" t="str">
            <v>Asphalt paving mixtures and blocks</v>
          </cell>
        </row>
        <row r="318">
          <cell r="A318">
            <v>2952</v>
          </cell>
          <cell r="B318" t="str">
            <v>Asphalt felts and coatings</v>
          </cell>
        </row>
        <row r="319">
          <cell r="A319">
            <v>2992</v>
          </cell>
          <cell r="B319" t="str">
            <v>Lubricating oils and greases</v>
          </cell>
        </row>
        <row r="320">
          <cell r="A320">
            <v>2999</v>
          </cell>
          <cell r="B320" t="str">
            <v>Petroleum and coal products, nec</v>
          </cell>
        </row>
        <row r="321">
          <cell r="A321">
            <v>3011</v>
          </cell>
          <cell r="B321" t="str">
            <v>Tires and inner tubes</v>
          </cell>
        </row>
        <row r="322">
          <cell r="A322">
            <v>3021</v>
          </cell>
          <cell r="B322" t="str">
            <v>Rubber and plastics footwear</v>
          </cell>
        </row>
        <row r="323">
          <cell r="A323">
            <v>3052</v>
          </cell>
          <cell r="B323" t="str">
            <v>Rubber and plastics hose and beltings</v>
          </cell>
        </row>
        <row r="324">
          <cell r="A324">
            <v>3053</v>
          </cell>
          <cell r="B324" t="str">
            <v>Gaskets; packing and sealing devices</v>
          </cell>
        </row>
        <row r="325">
          <cell r="A325">
            <v>3061</v>
          </cell>
          <cell r="B325" t="str">
            <v>Mechanical rubber goods</v>
          </cell>
        </row>
        <row r="326">
          <cell r="A326">
            <v>3069</v>
          </cell>
          <cell r="B326" t="str">
            <v>Fabricated rubber products, nec</v>
          </cell>
        </row>
        <row r="327">
          <cell r="A327">
            <v>3081</v>
          </cell>
          <cell r="B327" t="str">
            <v>Unsupported plastics film and sheet</v>
          </cell>
        </row>
        <row r="328">
          <cell r="A328">
            <v>3082</v>
          </cell>
          <cell r="B328" t="str">
            <v>Unsupported plastics profile shapes</v>
          </cell>
        </row>
        <row r="329">
          <cell r="A329">
            <v>3083</v>
          </cell>
          <cell r="B329" t="str">
            <v>Laminated plastics plate and sheet</v>
          </cell>
        </row>
        <row r="330">
          <cell r="A330">
            <v>3084</v>
          </cell>
          <cell r="B330" t="str">
            <v>Plastics pipe</v>
          </cell>
        </row>
        <row r="331">
          <cell r="A331">
            <v>3085</v>
          </cell>
          <cell r="B331" t="str">
            <v>Plastics bottles</v>
          </cell>
        </row>
        <row r="332">
          <cell r="A332">
            <v>3086</v>
          </cell>
          <cell r="B332" t="str">
            <v>Plastics foam products</v>
          </cell>
        </row>
        <row r="333">
          <cell r="A333">
            <v>3087</v>
          </cell>
          <cell r="B333" t="str">
            <v>Custom compound purchased resins</v>
          </cell>
        </row>
        <row r="334">
          <cell r="A334">
            <v>3088</v>
          </cell>
          <cell r="B334" t="str">
            <v>Plastics plumbing fixtures</v>
          </cell>
        </row>
        <row r="335">
          <cell r="A335">
            <v>3089</v>
          </cell>
          <cell r="B335" t="str">
            <v>Plastics products, nec</v>
          </cell>
        </row>
        <row r="336">
          <cell r="A336">
            <v>3111</v>
          </cell>
          <cell r="B336" t="str">
            <v>Leather tanning and finishing</v>
          </cell>
        </row>
        <row r="337">
          <cell r="A337">
            <v>3131</v>
          </cell>
          <cell r="B337" t="str">
            <v>Footwear cut stock</v>
          </cell>
        </row>
        <row r="338">
          <cell r="A338">
            <v>3142</v>
          </cell>
          <cell r="B338" t="str">
            <v>House slippers</v>
          </cell>
        </row>
        <row r="339">
          <cell r="A339">
            <v>3143</v>
          </cell>
          <cell r="B339" t="str">
            <v>Men's footwear, except athletic</v>
          </cell>
        </row>
        <row r="340">
          <cell r="A340">
            <v>3144</v>
          </cell>
          <cell r="B340" t="str">
            <v>Women's footwear, except athletic</v>
          </cell>
        </row>
        <row r="341">
          <cell r="A341">
            <v>3149</v>
          </cell>
          <cell r="B341" t="str">
            <v>Footwear, except rubber, nec</v>
          </cell>
        </row>
        <row r="342">
          <cell r="A342">
            <v>3151</v>
          </cell>
          <cell r="B342" t="str">
            <v>Leather gloves and mittens</v>
          </cell>
        </row>
        <row r="343">
          <cell r="A343">
            <v>3161</v>
          </cell>
          <cell r="B343" t="str">
            <v>Luggage</v>
          </cell>
        </row>
        <row r="344">
          <cell r="A344">
            <v>3171</v>
          </cell>
          <cell r="B344" t="str">
            <v>Women's handbags and purses</v>
          </cell>
        </row>
        <row r="345">
          <cell r="A345">
            <v>3172</v>
          </cell>
          <cell r="B345" t="str">
            <v>Personal leather goods, nec</v>
          </cell>
        </row>
        <row r="346">
          <cell r="A346">
            <v>3199</v>
          </cell>
          <cell r="B346" t="str">
            <v>Leather goods, nec</v>
          </cell>
        </row>
        <row r="347">
          <cell r="A347">
            <v>3211</v>
          </cell>
          <cell r="B347" t="str">
            <v>Flat glass</v>
          </cell>
        </row>
        <row r="348">
          <cell r="A348">
            <v>3221</v>
          </cell>
          <cell r="B348" t="str">
            <v>Glass containers</v>
          </cell>
        </row>
        <row r="349">
          <cell r="A349">
            <v>3229</v>
          </cell>
          <cell r="B349" t="str">
            <v>Pressed and blown glass, nec</v>
          </cell>
        </row>
        <row r="350">
          <cell r="A350">
            <v>3231</v>
          </cell>
          <cell r="B350" t="str">
            <v>Products of purchased glass</v>
          </cell>
        </row>
        <row r="351">
          <cell r="A351">
            <v>3241</v>
          </cell>
          <cell r="B351" t="str">
            <v>Cement, hydraulic</v>
          </cell>
        </row>
        <row r="352">
          <cell r="A352">
            <v>3251</v>
          </cell>
          <cell r="B352" t="str">
            <v>Brick and structural clay tile</v>
          </cell>
        </row>
        <row r="353">
          <cell r="A353">
            <v>3253</v>
          </cell>
          <cell r="B353" t="str">
            <v>Ceramic wall and floor tile</v>
          </cell>
        </row>
        <row r="354">
          <cell r="A354">
            <v>3255</v>
          </cell>
          <cell r="B354" t="str">
            <v>Clay refractories</v>
          </cell>
        </row>
        <row r="355">
          <cell r="A355">
            <v>3259</v>
          </cell>
          <cell r="B355" t="str">
            <v>Structural clay products, nec</v>
          </cell>
        </row>
        <row r="356">
          <cell r="A356">
            <v>3261</v>
          </cell>
          <cell r="B356" t="str">
            <v>Vitreous plumbing fixtures</v>
          </cell>
        </row>
        <row r="357">
          <cell r="A357">
            <v>3262</v>
          </cell>
          <cell r="B357" t="str">
            <v>Vitreous china table and kitchenware</v>
          </cell>
        </row>
        <row r="358">
          <cell r="A358">
            <v>3263</v>
          </cell>
          <cell r="B358" t="str">
            <v>Semivitreous table and kitchenware</v>
          </cell>
        </row>
        <row r="359">
          <cell r="A359">
            <v>3264</v>
          </cell>
          <cell r="B359" t="str">
            <v>Porcelain electrical supplies</v>
          </cell>
        </row>
        <row r="360">
          <cell r="A360">
            <v>3269</v>
          </cell>
          <cell r="B360" t="str">
            <v>Pottery products, nec</v>
          </cell>
        </row>
        <row r="361">
          <cell r="A361">
            <v>3271</v>
          </cell>
          <cell r="B361" t="str">
            <v>Concrete block and brick</v>
          </cell>
        </row>
        <row r="362">
          <cell r="A362">
            <v>3272</v>
          </cell>
          <cell r="B362" t="str">
            <v>Concrete products, nec</v>
          </cell>
        </row>
        <row r="363">
          <cell r="A363">
            <v>3273</v>
          </cell>
          <cell r="B363" t="str">
            <v>Ready-mixed concrete</v>
          </cell>
        </row>
        <row r="364">
          <cell r="A364">
            <v>3274</v>
          </cell>
          <cell r="B364" t="str">
            <v>Lime</v>
          </cell>
        </row>
        <row r="365">
          <cell r="A365">
            <v>3275</v>
          </cell>
          <cell r="B365" t="str">
            <v>Gypsum products</v>
          </cell>
        </row>
        <row r="366">
          <cell r="A366">
            <v>3281</v>
          </cell>
          <cell r="B366" t="str">
            <v>Cut stone and stone products</v>
          </cell>
        </row>
        <row r="367">
          <cell r="A367">
            <v>3291</v>
          </cell>
          <cell r="B367" t="str">
            <v>Abrasive products</v>
          </cell>
        </row>
        <row r="368">
          <cell r="A368">
            <v>3292</v>
          </cell>
          <cell r="B368" t="str">
            <v>Asbestos products</v>
          </cell>
        </row>
        <row r="369">
          <cell r="A369">
            <v>3295</v>
          </cell>
          <cell r="B369" t="str">
            <v>Minerals, ground or treated</v>
          </cell>
        </row>
        <row r="370">
          <cell r="A370">
            <v>3296</v>
          </cell>
          <cell r="B370" t="str">
            <v>Mineral wool</v>
          </cell>
        </row>
        <row r="371">
          <cell r="A371">
            <v>3297</v>
          </cell>
          <cell r="B371" t="str">
            <v>Nonclay refractories</v>
          </cell>
        </row>
        <row r="372">
          <cell r="A372">
            <v>3299</v>
          </cell>
          <cell r="B372" t="str">
            <v>Nonmetallic mineral products,</v>
          </cell>
        </row>
        <row r="373">
          <cell r="A373">
            <v>3312</v>
          </cell>
          <cell r="B373" t="str">
            <v>Blast furnaces and steel mills</v>
          </cell>
        </row>
        <row r="374">
          <cell r="A374">
            <v>3313</v>
          </cell>
          <cell r="B374" t="str">
            <v>Electrometallurgical products</v>
          </cell>
        </row>
        <row r="375">
          <cell r="A375">
            <v>3315</v>
          </cell>
          <cell r="B375" t="str">
            <v>Steel wire and related products</v>
          </cell>
        </row>
        <row r="376">
          <cell r="A376">
            <v>3316</v>
          </cell>
          <cell r="B376" t="str">
            <v>Cold finishing of steel shapes</v>
          </cell>
        </row>
        <row r="377">
          <cell r="A377">
            <v>3317</v>
          </cell>
          <cell r="B377" t="str">
            <v>Steel pipe and tubes</v>
          </cell>
        </row>
        <row r="378">
          <cell r="A378">
            <v>3321</v>
          </cell>
          <cell r="B378" t="str">
            <v>Gray and ductile iron foundries</v>
          </cell>
        </row>
        <row r="379">
          <cell r="A379">
            <v>3322</v>
          </cell>
          <cell r="B379" t="str">
            <v>Malleable iron foundries</v>
          </cell>
        </row>
        <row r="380">
          <cell r="A380">
            <v>3324</v>
          </cell>
          <cell r="B380" t="str">
            <v>Steel investment foundries</v>
          </cell>
        </row>
        <row r="381">
          <cell r="A381">
            <v>3325</v>
          </cell>
          <cell r="B381" t="str">
            <v>Steel foundries, nec</v>
          </cell>
        </row>
        <row r="382">
          <cell r="A382">
            <v>3331</v>
          </cell>
          <cell r="B382" t="str">
            <v>Primary copper</v>
          </cell>
        </row>
        <row r="383">
          <cell r="A383">
            <v>3334</v>
          </cell>
          <cell r="B383" t="str">
            <v>Primary aluminum</v>
          </cell>
        </row>
        <row r="384">
          <cell r="A384">
            <v>3339</v>
          </cell>
          <cell r="B384" t="str">
            <v>Primary nonferrous metals, nec</v>
          </cell>
        </row>
        <row r="385">
          <cell r="A385">
            <v>3341</v>
          </cell>
          <cell r="B385" t="str">
            <v>Secondary nonferrous metals</v>
          </cell>
        </row>
        <row r="386">
          <cell r="A386">
            <v>3351</v>
          </cell>
          <cell r="B386" t="str">
            <v>Copper rolling and drawing</v>
          </cell>
        </row>
        <row r="387">
          <cell r="A387">
            <v>3353</v>
          </cell>
          <cell r="B387" t="str">
            <v>Aluminum sheet, plate, and foil</v>
          </cell>
        </row>
        <row r="388">
          <cell r="A388">
            <v>3354</v>
          </cell>
          <cell r="B388" t="str">
            <v>Aluminum extruded products</v>
          </cell>
        </row>
        <row r="389">
          <cell r="A389">
            <v>3355</v>
          </cell>
          <cell r="B389" t="str">
            <v>Aluminum rolling and drawing, nec</v>
          </cell>
        </row>
        <row r="390">
          <cell r="A390">
            <v>3356</v>
          </cell>
          <cell r="B390" t="str">
            <v>Nonferrous rolling and drawing, nec</v>
          </cell>
        </row>
        <row r="391">
          <cell r="A391">
            <v>3357</v>
          </cell>
          <cell r="B391" t="str">
            <v>Nonferrous wiredrawing and insulating</v>
          </cell>
        </row>
        <row r="392">
          <cell r="A392">
            <v>3363</v>
          </cell>
          <cell r="B392" t="str">
            <v>Aluminum die-castings</v>
          </cell>
        </row>
        <row r="393">
          <cell r="A393">
            <v>3364</v>
          </cell>
          <cell r="B393" t="str">
            <v>Nonferrous die-castings except aluminum</v>
          </cell>
        </row>
        <row r="394">
          <cell r="A394">
            <v>3365</v>
          </cell>
          <cell r="B394" t="str">
            <v>Aluminum foundries</v>
          </cell>
        </row>
        <row r="395">
          <cell r="A395">
            <v>3366</v>
          </cell>
          <cell r="B395" t="str">
            <v>Copper foundries</v>
          </cell>
        </row>
        <row r="396">
          <cell r="A396">
            <v>3369</v>
          </cell>
          <cell r="B396" t="str">
            <v>Nonferrous foundries, nec</v>
          </cell>
        </row>
        <row r="397">
          <cell r="A397">
            <v>3398</v>
          </cell>
          <cell r="B397" t="str">
            <v>Metal heat treating</v>
          </cell>
        </row>
        <row r="398">
          <cell r="A398">
            <v>3399</v>
          </cell>
          <cell r="B398" t="str">
            <v>Primary metal products</v>
          </cell>
        </row>
        <row r="399">
          <cell r="A399">
            <v>3411</v>
          </cell>
          <cell r="B399" t="str">
            <v>Metal cans</v>
          </cell>
        </row>
        <row r="400">
          <cell r="A400">
            <v>3412</v>
          </cell>
          <cell r="B400" t="str">
            <v>Metal barrels, drums, and pails</v>
          </cell>
        </row>
        <row r="401">
          <cell r="A401">
            <v>3421</v>
          </cell>
          <cell r="B401" t="str">
            <v>Cutlery</v>
          </cell>
        </row>
        <row r="402">
          <cell r="A402">
            <v>3423</v>
          </cell>
          <cell r="B402" t="str">
            <v>Hand and edge tools, nec</v>
          </cell>
        </row>
        <row r="403">
          <cell r="A403">
            <v>3425</v>
          </cell>
          <cell r="B403" t="str">
            <v>Saw blades and handsaws</v>
          </cell>
        </row>
        <row r="404">
          <cell r="A404">
            <v>3429</v>
          </cell>
          <cell r="B404" t="str">
            <v>Hardware, nec</v>
          </cell>
        </row>
        <row r="405">
          <cell r="A405">
            <v>3431</v>
          </cell>
          <cell r="B405" t="str">
            <v>Metal sanitary ware</v>
          </cell>
        </row>
        <row r="406">
          <cell r="A406">
            <v>3432</v>
          </cell>
          <cell r="B406" t="str">
            <v>Plumbing fixture fittings and trim</v>
          </cell>
        </row>
        <row r="407">
          <cell r="A407">
            <v>3433</v>
          </cell>
          <cell r="B407" t="str">
            <v>Heating equipment, except electric</v>
          </cell>
        </row>
        <row r="408">
          <cell r="A408">
            <v>3441</v>
          </cell>
          <cell r="B408" t="str">
            <v>Fabricated structural metal</v>
          </cell>
        </row>
        <row r="409">
          <cell r="A409">
            <v>3442</v>
          </cell>
          <cell r="B409" t="str">
            <v>Metal doors, sash, and trim</v>
          </cell>
        </row>
        <row r="410">
          <cell r="A410">
            <v>3443</v>
          </cell>
          <cell r="B410" t="str">
            <v>Fabricated plate work (boiler shop)</v>
          </cell>
        </row>
        <row r="411">
          <cell r="A411">
            <v>3444</v>
          </cell>
          <cell r="B411" t="str">
            <v>Sheet metalwork</v>
          </cell>
        </row>
        <row r="412">
          <cell r="A412">
            <v>3446</v>
          </cell>
          <cell r="B412" t="str">
            <v>Architectural metalwork</v>
          </cell>
        </row>
        <row r="413">
          <cell r="A413">
            <v>3448</v>
          </cell>
          <cell r="B413" t="str">
            <v>Prefabricated metal buildings</v>
          </cell>
        </row>
        <row r="414">
          <cell r="A414">
            <v>3449</v>
          </cell>
          <cell r="B414" t="str">
            <v>Miscellaneous metalwork</v>
          </cell>
        </row>
        <row r="415">
          <cell r="A415">
            <v>3451</v>
          </cell>
          <cell r="B415" t="str">
            <v>Screw machine products</v>
          </cell>
        </row>
        <row r="416">
          <cell r="A416">
            <v>3452</v>
          </cell>
          <cell r="B416" t="str">
            <v>Bolts, nuts, rivets, and washers</v>
          </cell>
        </row>
        <row r="417">
          <cell r="A417">
            <v>3462</v>
          </cell>
          <cell r="B417" t="str">
            <v>Iron and steel forgings</v>
          </cell>
        </row>
        <row r="418">
          <cell r="A418">
            <v>3463</v>
          </cell>
          <cell r="B418" t="str">
            <v>Nonferrous forgings</v>
          </cell>
        </row>
        <row r="419">
          <cell r="A419">
            <v>3465</v>
          </cell>
          <cell r="B419" t="str">
            <v>Automotive stampings</v>
          </cell>
        </row>
        <row r="420">
          <cell r="A420">
            <v>3466</v>
          </cell>
          <cell r="B420" t="str">
            <v>Crowns and closures</v>
          </cell>
        </row>
        <row r="421">
          <cell r="A421">
            <v>3469</v>
          </cell>
          <cell r="B421" t="str">
            <v>Metal stampings, nec</v>
          </cell>
        </row>
        <row r="422">
          <cell r="A422">
            <v>3471</v>
          </cell>
          <cell r="B422" t="str">
            <v>Plating and polishing</v>
          </cell>
        </row>
        <row r="423">
          <cell r="A423">
            <v>3479</v>
          </cell>
          <cell r="B423" t="str">
            <v>Metal coating and allied services</v>
          </cell>
        </row>
        <row r="424">
          <cell r="A424">
            <v>3482</v>
          </cell>
          <cell r="B424" t="str">
            <v>Small arms ammunition</v>
          </cell>
        </row>
        <row r="425">
          <cell r="A425">
            <v>3483</v>
          </cell>
          <cell r="B425" t="str">
            <v>Ammunition, except for small arms, nec</v>
          </cell>
        </row>
        <row r="426">
          <cell r="A426">
            <v>3484</v>
          </cell>
          <cell r="B426" t="str">
            <v>Small arms</v>
          </cell>
        </row>
        <row r="427">
          <cell r="A427">
            <v>3489</v>
          </cell>
          <cell r="B427" t="str">
            <v>Ordnance and accessories, nec</v>
          </cell>
        </row>
        <row r="428">
          <cell r="A428">
            <v>3491</v>
          </cell>
          <cell r="B428" t="str">
            <v>Industrial valves</v>
          </cell>
        </row>
        <row r="429">
          <cell r="A429">
            <v>3492</v>
          </cell>
          <cell r="B429" t="str">
            <v>Fluid power valves and hose fittings</v>
          </cell>
        </row>
        <row r="430">
          <cell r="A430">
            <v>3493</v>
          </cell>
          <cell r="B430" t="str">
            <v>Steel springs, except wire</v>
          </cell>
        </row>
        <row r="431">
          <cell r="A431">
            <v>3494</v>
          </cell>
          <cell r="B431" t="str">
            <v>Valves and pipe fittings, nec</v>
          </cell>
        </row>
        <row r="432">
          <cell r="A432">
            <v>3495</v>
          </cell>
          <cell r="B432" t="str">
            <v>Wire springs</v>
          </cell>
        </row>
        <row r="433">
          <cell r="A433">
            <v>3496</v>
          </cell>
          <cell r="B433" t="str">
            <v>Miscellaneous fabricated wire products</v>
          </cell>
        </row>
        <row r="434">
          <cell r="A434">
            <v>3497</v>
          </cell>
          <cell r="B434" t="str">
            <v>Metal foil and leaf</v>
          </cell>
        </row>
        <row r="435">
          <cell r="A435">
            <v>3498</v>
          </cell>
          <cell r="B435" t="str">
            <v>Fabricated pipe and fittings</v>
          </cell>
        </row>
        <row r="436">
          <cell r="A436">
            <v>3499</v>
          </cell>
          <cell r="B436" t="str">
            <v>Fabricated metal products, nec</v>
          </cell>
        </row>
        <row r="437">
          <cell r="A437">
            <v>3511</v>
          </cell>
          <cell r="B437" t="str">
            <v>Turbines and turbine generator sets</v>
          </cell>
        </row>
        <row r="438">
          <cell r="A438">
            <v>3519</v>
          </cell>
          <cell r="B438" t="str">
            <v>Internal combustion engines, nec</v>
          </cell>
        </row>
        <row r="439">
          <cell r="A439">
            <v>3523</v>
          </cell>
          <cell r="B439" t="str">
            <v>Farm machinery and equipment</v>
          </cell>
        </row>
        <row r="440">
          <cell r="A440">
            <v>3524</v>
          </cell>
          <cell r="B440" t="str">
            <v>Lawn and garden equipment</v>
          </cell>
        </row>
        <row r="441">
          <cell r="A441">
            <v>3531</v>
          </cell>
          <cell r="B441" t="str">
            <v>Construction machinery</v>
          </cell>
        </row>
        <row r="442">
          <cell r="A442">
            <v>3532</v>
          </cell>
          <cell r="B442" t="str">
            <v>Mining machinery</v>
          </cell>
        </row>
        <row r="443">
          <cell r="A443">
            <v>3533</v>
          </cell>
          <cell r="B443" t="str">
            <v>Oil and gas field machinery</v>
          </cell>
        </row>
        <row r="444">
          <cell r="A444">
            <v>3534</v>
          </cell>
          <cell r="B444" t="str">
            <v>Elevators and moving stairways</v>
          </cell>
        </row>
        <row r="445">
          <cell r="A445">
            <v>3535</v>
          </cell>
          <cell r="B445" t="str">
            <v>Conveyors and conveying equipment</v>
          </cell>
        </row>
        <row r="446">
          <cell r="A446">
            <v>3536</v>
          </cell>
          <cell r="B446" t="str">
            <v>Hoists, cranes, and monorails</v>
          </cell>
        </row>
        <row r="447">
          <cell r="A447">
            <v>3537</v>
          </cell>
          <cell r="B447" t="str">
            <v>Industrial trucks and tractors</v>
          </cell>
        </row>
        <row r="448">
          <cell r="A448">
            <v>3541</v>
          </cell>
          <cell r="B448" t="str">
            <v>Machine tools, metal cutting type</v>
          </cell>
        </row>
        <row r="449">
          <cell r="A449">
            <v>3542</v>
          </cell>
          <cell r="B449" t="str">
            <v>Machine tools, metal forming type</v>
          </cell>
        </row>
        <row r="450">
          <cell r="A450">
            <v>3543</v>
          </cell>
          <cell r="B450" t="str">
            <v>Industrial patterns</v>
          </cell>
        </row>
        <row r="451">
          <cell r="A451">
            <v>3544</v>
          </cell>
          <cell r="B451" t="str">
            <v>Special dies, tools, jigs, and fixtures</v>
          </cell>
        </row>
        <row r="452">
          <cell r="A452">
            <v>3545</v>
          </cell>
          <cell r="B452" t="str">
            <v>Machine tool accessories</v>
          </cell>
        </row>
        <row r="453">
          <cell r="A453">
            <v>3546</v>
          </cell>
          <cell r="B453" t="str">
            <v>Power-driven handtools</v>
          </cell>
        </row>
        <row r="454">
          <cell r="A454">
            <v>3547</v>
          </cell>
          <cell r="B454" t="str">
            <v>Rolling mill machinery</v>
          </cell>
        </row>
        <row r="455">
          <cell r="A455">
            <v>3548</v>
          </cell>
          <cell r="B455" t="str">
            <v>Welding apparatus</v>
          </cell>
        </row>
        <row r="456">
          <cell r="A456">
            <v>3549</v>
          </cell>
          <cell r="B456" t="str">
            <v>Metalworking machinery, nec</v>
          </cell>
        </row>
        <row r="457">
          <cell r="A457">
            <v>3552</v>
          </cell>
          <cell r="B457" t="str">
            <v>Textile machinery</v>
          </cell>
        </row>
        <row r="458">
          <cell r="A458">
            <v>3553</v>
          </cell>
          <cell r="B458" t="str">
            <v>Woodworking machinery</v>
          </cell>
        </row>
        <row r="459">
          <cell r="A459">
            <v>3554</v>
          </cell>
          <cell r="B459" t="str">
            <v>Paper industries machinery</v>
          </cell>
        </row>
        <row r="460">
          <cell r="A460">
            <v>3555</v>
          </cell>
          <cell r="B460" t="str">
            <v>Printing trades machinery</v>
          </cell>
        </row>
        <row r="461">
          <cell r="A461">
            <v>3556</v>
          </cell>
          <cell r="B461" t="str">
            <v>Food products machinery</v>
          </cell>
        </row>
        <row r="462">
          <cell r="A462">
            <v>3559</v>
          </cell>
          <cell r="B462" t="str">
            <v>Special industry machinery, nec</v>
          </cell>
        </row>
        <row r="463">
          <cell r="A463">
            <v>3561</v>
          </cell>
          <cell r="B463" t="str">
            <v>Pumps and pumping equipment</v>
          </cell>
        </row>
        <row r="464">
          <cell r="A464">
            <v>3562</v>
          </cell>
          <cell r="B464" t="str">
            <v>Ball and roller bearings</v>
          </cell>
        </row>
        <row r="465">
          <cell r="A465">
            <v>3563</v>
          </cell>
          <cell r="B465" t="str">
            <v>Air and gas compressors</v>
          </cell>
        </row>
        <row r="466">
          <cell r="A466">
            <v>3564</v>
          </cell>
          <cell r="B466" t="str">
            <v>Blowers and fans</v>
          </cell>
        </row>
        <row r="467">
          <cell r="A467">
            <v>3565</v>
          </cell>
          <cell r="B467" t="str">
            <v>Packaging machinery</v>
          </cell>
        </row>
        <row r="468">
          <cell r="A468">
            <v>3566</v>
          </cell>
          <cell r="B468" t="str">
            <v>Speed changers, drives, and gears</v>
          </cell>
        </row>
        <row r="469">
          <cell r="A469">
            <v>3567</v>
          </cell>
          <cell r="B469" t="str">
            <v>Industrial furnaces and ovens</v>
          </cell>
        </row>
        <row r="470">
          <cell r="A470">
            <v>3568</v>
          </cell>
          <cell r="B470" t="str">
            <v>Power transmission equipment, nec</v>
          </cell>
        </row>
        <row r="471">
          <cell r="A471">
            <v>3569</v>
          </cell>
          <cell r="B471" t="str">
            <v>General industrial machinery,</v>
          </cell>
        </row>
        <row r="472">
          <cell r="A472">
            <v>3571</v>
          </cell>
          <cell r="B472" t="str">
            <v>Electronic computers</v>
          </cell>
        </row>
        <row r="473">
          <cell r="A473">
            <v>3572</v>
          </cell>
          <cell r="B473" t="str">
            <v>Computer storage devices</v>
          </cell>
        </row>
        <row r="474">
          <cell r="A474">
            <v>3575</v>
          </cell>
          <cell r="B474" t="str">
            <v>Computer terminals</v>
          </cell>
        </row>
        <row r="475">
          <cell r="A475">
            <v>3577</v>
          </cell>
          <cell r="B475" t="str">
            <v>Computer peripheral equipment, nec</v>
          </cell>
        </row>
        <row r="476">
          <cell r="A476">
            <v>3578</v>
          </cell>
          <cell r="B476" t="str">
            <v>Calculating and accounting equipment</v>
          </cell>
        </row>
        <row r="477">
          <cell r="A477">
            <v>3579</v>
          </cell>
          <cell r="B477" t="str">
            <v>Office machines, nec</v>
          </cell>
        </row>
        <row r="478">
          <cell r="A478">
            <v>3581</v>
          </cell>
          <cell r="B478" t="str">
            <v>Automatic vending machines</v>
          </cell>
        </row>
        <row r="479">
          <cell r="A479">
            <v>3582</v>
          </cell>
          <cell r="B479" t="str">
            <v>Commercial laundry equipment</v>
          </cell>
        </row>
        <row r="480">
          <cell r="A480">
            <v>3585</v>
          </cell>
          <cell r="B480" t="str">
            <v>Refrigeration and heating equipment</v>
          </cell>
        </row>
        <row r="481">
          <cell r="A481">
            <v>3586</v>
          </cell>
          <cell r="B481" t="str">
            <v>Measuring and dispensing pumps</v>
          </cell>
        </row>
        <row r="482">
          <cell r="A482">
            <v>3589</v>
          </cell>
          <cell r="B482" t="str">
            <v>Service industry machinery, nec</v>
          </cell>
        </row>
        <row r="483">
          <cell r="A483">
            <v>3592</v>
          </cell>
          <cell r="B483" t="str">
            <v>Carburetors, pistons, rings, valves</v>
          </cell>
        </row>
        <row r="484">
          <cell r="A484">
            <v>3593</v>
          </cell>
          <cell r="B484" t="str">
            <v>Fluid power cylinders and actuators</v>
          </cell>
        </row>
        <row r="485">
          <cell r="A485">
            <v>3594</v>
          </cell>
          <cell r="B485" t="str">
            <v>Fluid power pumps and motors</v>
          </cell>
        </row>
        <row r="486">
          <cell r="A486">
            <v>3596</v>
          </cell>
          <cell r="B486" t="str">
            <v>Scales and balances, except laboratory</v>
          </cell>
        </row>
        <row r="487">
          <cell r="A487">
            <v>3599</v>
          </cell>
          <cell r="B487" t="str">
            <v>Industrial machinery, nec</v>
          </cell>
        </row>
        <row r="488">
          <cell r="A488">
            <v>3612</v>
          </cell>
          <cell r="B488" t="str">
            <v>Transformers, except electric</v>
          </cell>
        </row>
        <row r="489">
          <cell r="A489">
            <v>3613</v>
          </cell>
          <cell r="B489" t="str">
            <v>Switchgear and switchboard apparatus</v>
          </cell>
        </row>
        <row r="490">
          <cell r="A490">
            <v>3621</v>
          </cell>
          <cell r="B490" t="str">
            <v>Motors and generators</v>
          </cell>
        </row>
        <row r="491">
          <cell r="A491">
            <v>3624</v>
          </cell>
          <cell r="B491" t="str">
            <v>Carbon and graphite products</v>
          </cell>
        </row>
        <row r="492">
          <cell r="A492">
            <v>3625</v>
          </cell>
          <cell r="B492" t="str">
            <v>Relays and industrial controls</v>
          </cell>
        </row>
        <row r="493">
          <cell r="A493">
            <v>3629</v>
          </cell>
          <cell r="B493" t="str">
            <v>Electrical industrial apparatus</v>
          </cell>
        </row>
        <row r="494">
          <cell r="A494">
            <v>3631</v>
          </cell>
          <cell r="B494" t="str">
            <v>Household cooking equipment</v>
          </cell>
        </row>
        <row r="495">
          <cell r="A495">
            <v>3632</v>
          </cell>
          <cell r="B495" t="str">
            <v>Household refrigerators and freezers</v>
          </cell>
        </row>
        <row r="496">
          <cell r="A496">
            <v>3633</v>
          </cell>
          <cell r="B496" t="str">
            <v>Household laundry equipment</v>
          </cell>
        </row>
        <row r="497">
          <cell r="A497">
            <v>3634</v>
          </cell>
          <cell r="B497" t="str">
            <v>Electric housewares and fans</v>
          </cell>
        </row>
        <row r="498">
          <cell r="A498">
            <v>3635</v>
          </cell>
          <cell r="B498" t="str">
            <v>Household vacuum cleaners</v>
          </cell>
        </row>
        <row r="499">
          <cell r="A499">
            <v>3639</v>
          </cell>
          <cell r="B499" t="str">
            <v>Household appliances, nec</v>
          </cell>
        </row>
        <row r="500">
          <cell r="A500">
            <v>3641</v>
          </cell>
          <cell r="B500" t="str">
            <v>Electric lamps</v>
          </cell>
        </row>
        <row r="501">
          <cell r="A501">
            <v>3643</v>
          </cell>
          <cell r="B501" t="str">
            <v>Current-carrying wiring devices</v>
          </cell>
        </row>
        <row r="502">
          <cell r="A502">
            <v>3644</v>
          </cell>
          <cell r="B502" t="str">
            <v>Noncurrent-carrying wiring devices</v>
          </cell>
        </row>
        <row r="503">
          <cell r="A503">
            <v>3645</v>
          </cell>
          <cell r="B503" t="str">
            <v>Residential lighting fixtures</v>
          </cell>
        </row>
        <row r="504">
          <cell r="A504">
            <v>3646</v>
          </cell>
          <cell r="B504" t="str">
            <v>Commercial lighting fixtures</v>
          </cell>
        </row>
        <row r="505">
          <cell r="A505">
            <v>3647</v>
          </cell>
          <cell r="B505" t="str">
            <v>Vehicular lighting equipment</v>
          </cell>
        </row>
        <row r="506">
          <cell r="A506">
            <v>3648</v>
          </cell>
          <cell r="B506" t="str">
            <v>Lighting equipment, nec</v>
          </cell>
        </row>
        <row r="507">
          <cell r="A507">
            <v>3651</v>
          </cell>
          <cell r="B507" t="str">
            <v>Household audio and video equipment</v>
          </cell>
        </row>
        <row r="508">
          <cell r="A508">
            <v>3652</v>
          </cell>
          <cell r="B508" t="str">
            <v>Prerecorded records and tapes</v>
          </cell>
        </row>
        <row r="509">
          <cell r="A509">
            <v>3661</v>
          </cell>
          <cell r="B509" t="str">
            <v>Telephone and telegraph apparatus</v>
          </cell>
        </row>
        <row r="510">
          <cell r="A510">
            <v>3663</v>
          </cell>
          <cell r="B510" t="str">
            <v>Radio and t.v. communications equipment</v>
          </cell>
        </row>
        <row r="511">
          <cell r="A511">
            <v>3669</v>
          </cell>
          <cell r="B511" t="str">
            <v>Communications equipment, nec</v>
          </cell>
        </row>
        <row r="512">
          <cell r="A512">
            <v>3671</v>
          </cell>
          <cell r="B512" t="str">
            <v>Electron tubes</v>
          </cell>
        </row>
        <row r="513">
          <cell r="A513">
            <v>3672</v>
          </cell>
          <cell r="B513" t="str">
            <v>Printed circuit boards</v>
          </cell>
        </row>
        <row r="514">
          <cell r="A514">
            <v>3674</v>
          </cell>
          <cell r="B514" t="str">
            <v>Semiconductors and related devices</v>
          </cell>
        </row>
        <row r="515">
          <cell r="A515">
            <v>3675</v>
          </cell>
          <cell r="B515" t="str">
            <v>Electronic capacitors</v>
          </cell>
        </row>
        <row r="516">
          <cell r="A516">
            <v>3676</v>
          </cell>
          <cell r="B516" t="str">
            <v>Electronic resistors</v>
          </cell>
        </row>
        <row r="517">
          <cell r="A517">
            <v>3677</v>
          </cell>
          <cell r="B517" t="str">
            <v>Electronic coils and transformers</v>
          </cell>
        </row>
        <row r="518">
          <cell r="A518">
            <v>3678</v>
          </cell>
          <cell r="B518" t="str">
            <v>Electronic connectors</v>
          </cell>
        </row>
        <row r="519">
          <cell r="A519">
            <v>3679</v>
          </cell>
          <cell r="B519" t="str">
            <v>Electronic components, nec</v>
          </cell>
        </row>
        <row r="520">
          <cell r="A520">
            <v>3691</v>
          </cell>
          <cell r="B520" t="str">
            <v>Storage batteries</v>
          </cell>
        </row>
        <row r="521">
          <cell r="A521">
            <v>3692</v>
          </cell>
          <cell r="B521" t="str">
            <v>Primary batteries, dry and wet</v>
          </cell>
        </row>
        <row r="522">
          <cell r="A522">
            <v>3694</v>
          </cell>
          <cell r="B522" t="str">
            <v>Engine electrical equipment</v>
          </cell>
        </row>
        <row r="523">
          <cell r="A523">
            <v>3695</v>
          </cell>
          <cell r="B523" t="str">
            <v>Magnetic and optical recording media</v>
          </cell>
        </row>
        <row r="524">
          <cell r="A524">
            <v>3699</v>
          </cell>
          <cell r="B524" t="str">
            <v>Electrical equipment and supplies, nec</v>
          </cell>
        </row>
        <row r="525">
          <cell r="A525">
            <v>3711</v>
          </cell>
          <cell r="B525" t="str">
            <v>Motor vehicles and car bodies</v>
          </cell>
        </row>
        <row r="526">
          <cell r="A526">
            <v>3713</v>
          </cell>
          <cell r="B526" t="str">
            <v>Truck and bus bodies</v>
          </cell>
        </row>
        <row r="527">
          <cell r="A527">
            <v>3714</v>
          </cell>
          <cell r="B527" t="str">
            <v>Motor vehicle parts and accessories</v>
          </cell>
        </row>
        <row r="528">
          <cell r="A528">
            <v>3715</v>
          </cell>
          <cell r="B528" t="str">
            <v>Truck trailers</v>
          </cell>
        </row>
        <row r="529">
          <cell r="A529">
            <v>3716</v>
          </cell>
          <cell r="B529" t="str">
            <v>Motor homes</v>
          </cell>
        </row>
        <row r="530">
          <cell r="A530">
            <v>3721</v>
          </cell>
          <cell r="B530" t="str">
            <v>Aircraft</v>
          </cell>
        </row>
        <row r="531">
          <cell r="A531">
            <v>3724</v>
          </cell>
          <cell r="B531" t="str">
            <v>Aircraft engines and engine parts</v>
          </cell>
        </row>
        <row r="532">
          <cell r="A532">
            <v>3728</v>
          </cell>
          <cell r="B532" t="str">
            <v>Aircraft parts and equipment, nec</v>
          </cell>
        </row>
        <row r="533">
          <cell r="A533">
            <v>3731</v>
          </cell>
          <cell r="B533" t="str">
            <v>Shipbuilding and repairing</v>
          </cell>
        </row>
        <row r="534">
          <cell r="A534">
            <v>3732</v>
          </cell>
          <cell r="B534" t="str">
            <v>Boatbuilding and repairing</v>
          </cell>
        </row>
        <row r="535">
          <cell r="A535">
            <v>3743</v>
          </cell>
          <cell r="B535" t="str">
            <v>Railroad equipment</v>
          </cell>
        </row>
        <row r="536">
          <cell r="A536">
            <v>3751</v>
          </cell>
          <cell r="B536" t="str">
            <v>Motorcycles, bicycles, and parts</v>
          </cell>
        </row>
        <row r="537">
          <cell r="A537">
            <v>3761</v>
          </cell>
          <cell r="B537" t="str">
            <v>Guided missiles and space vehicles</v>
          </cell>
        </row>
        <row r="538">
          <cell r="A538">
            <v>3764</v>
          </cell>
          <cell r="B538" t="str">
            <v>Space propulsion units and parts</v>
          </cell>
        </row>
        <row r="539">
          <cell r="A539">
            <v>3769</v>
          </cell>
          <cell r="B539" t="str">
            <v>Space vehicle equipment, nec</v>
          </cell>
        </row>
        <row r="540">
          <cell r="A540">
            <v>3792</v>
          </cell>
          <cell r="B540" t="str">
            <v>Travel trailers and campers</v>
          </cell>
        </row>
        <row r="541">
          <cell r="A541">
            <v>3795</v>
          </cell>
          <cell r="B541" t="str">
            <v>Tanks and tank components</v>
          </cell>
        </row>
        <row r="542">
          <cell r="A542">
            <v>3799</v>
          </cell>
          <cell r="B542" t="str">
            <v>Transportation equipment, nec</v>
          </cell>
        </row>
        <row r="543">
          <cell r="A543">
            <v>3812</v>
          </cell>
          <cell r="B543" t="str">
            <v>Search and navigation equipment</v>
          </cell>
        </row>
        <row r="544">
          <cell r="A544">
            <v>3821</v>
          </cell>
          <cell r="B544" t="str">
            <v>Laboratory apparatus and furniture</v>
          </cell>
        </row>
        <row r="545">
          <cell r="A545">
            <v>3822</v>
          </cell>
          <cell r="B545" t="str">
            <v>Environmental controls</v>
          </cell>
        </row>
        <row r="546">
          <cell r="A546">
            <v>3823</v>
          </cell>
          <cell r="B546" t="str">
            <v>Process control instruments</v>
          </cell>
        </row>
        <row r="547">
          <cell r="A547">
            <v>3824</v>
          </cell>
          <cell r="B547" t="str">
            <v>Fluid meters and counting devices</v>
          </cell>
        </row>
        <row r="548">
          <cell r="A548">
            <v>3825</v>
          </cell>
          <cell r="B548" t="str">
            <v>Instruments to measure electricity</v>
          </cell>
        </row>
        <row r="549">
          <cell r="A549">
            <v>3826</v>
          </cell>
          <cell r="B549" t="str">
            <v>Analytical instruments</v>
          </cell>
        </row>
        <row r="550">
          <cell r="A550">
            <v>3827</v>
          </cell>
          <cell r="B550" t="str">
            <v>Optical instruments and lenses</v>
          </cell>
        </row>
        <row r="551">
          <cell r="A551">
            <v>3829</v>
          </cell>
          <cell r="B551" t="str">
            <v>Measuring and controlling devices, nec</v>
          </cell>
        </row>
        <row r="552">
          <cell r="A552">
            <v>3841</v>
          </cell>
          <cell r="B552" t="str">
            <v>Surgical and medical instruments</v>
          </cell>
        </row>
        <row r="553">
          <cell r="A553">
            <v>3842</v>
          </cell>
          <cell r="B553" t="str">
            <v>Surgical appliances and supplies</v>
          </cell>
        </row>
        <row r="554">
          <cell r="A554">
            <v>3843</v>
          </cell>
          <cell r="B554" t="str">
            <v>Dental equipment and supplies</v>
          </cell>
        </row>
        <row r="555">
          <cell r="A555">
            <v>3844</v>
          </cell>
          <cell r="B555" t="str">
            <v>X-ray apparatus and tubes</v>
          </cell>
        </row>
        <row r="556">
          <cell r="A556">
            <v>3845</v>
          </cell>
          <cell r="B556" t="str">
            <v>Electromedical equipment</v>
          </cell>
        </row>
        <row r="557">
          <cell r="A557">
            <v>3851</v>
          </cell>
          <cell r="B557" t="str">
            <v>Ophthalmic goods</v>
          </cell>
        </row>
        <row r="558">
          <cell r="A558">
            <v>3861</v>
          </cell>
          <cell r="B558" t="str">
            <v>Photographic equipment and supplies</v>
          </cell>
        </row>
        <row r="559">
          <cell r="A559">
            <v>3873</v>
          </cell>
          <cell r="B559" t="str">
            <v>Watches, clocks, watchcases, and parts</v>
          </cell>
        </row>
        <row r="560">
          <cell r="A560">
            <v>3911</v>
          </cell>
          <cell r="B560" t="str">
            <v>Jewelry, precious metal</v>
          </cell>
        </row>
        <row r="561">
          <cell r="A561">
            <v>3914</v>
          </cell>
          <cell r="B561" t="str">
            <v>Silverware and plated ware</v>
          </cell>
        </row>
        <row r="562">
          <cell r="A562">
            <v>3915</v>
          </cell>
          <cell r="B562" t="str">
            <v>Jewelers' materials and lapidary work</v>
          </cell>
        </row>
        <row r="563">
          <cell r="A563">
            <v>3931</v>
          </cell>
          <cell r="B563" t="str">
            <v>Musical instruments</v>
          </cell>
        </row>
        <row r="564">
          <cell r="A564">
            <v>3942</v>
          </cell>
          <cell r="B564" t="str">
            <v>Dolls and stuffed toys</v>
          </cell>
        </row>
        <row r="565">
          <cell r="A565">
            <v>3944</v>
          </cell>
          <cell r="B565" t="str">
            <v>Games, toys, and children's vehicles</v>
          </cell>
        </row>
        <row r="566">
          <cell r="A566">
            <v>3949</v>
          </cell>
          <cell r="B566" t="str">
            <v>Sporting and athletic goods, nec</v>
          </cell>
        </row>
        <row r="567">
          <cell r="A567">
            <v>3951</v>
          </cell>
          <cell r="B567" t="str">
            <v>Pens and mechanical pencils</v>
          </cell>
        </row>
        <row r="568">
          <cell r="A568">
            <v>3952</v>
          </cell>
          <cell r="B568" t="str">
            <v>Lead pencils and art goods</v>
          </cell>
        </row>
        <row r="569">
          <cell r="A569">
            <v>3953</v>
          </cell>
          <cell r="B569" t="str">
            <v>Marking devices</v>
          </cell>
        </row>
        <row r="570">
          <cell r="A570">
            <v>3955</v>
          </cell>
          <cell r="B570" t="str">
            <v>Carbon paper and inked ribbons</v>
          </cell>
        </row>
        <row r="571">
          <cell r="A571">
            <v>3961</v>
          </cell>
          <cell r="B571" t="str">
            <v>Costume jewelry</v>
          </cell>
        </row>
        <row r="572">
          <cell r="A572">
            <v>3965</v>
          </cell>
          <cell r="B572" t="str">
            <v>Fasteners, buttons, needles, and pins</v>
          </cell>
        </row>
        <row r="573">
          <cell r="A573">
            <v>3991</v>
          </cell>
          <cell r="B573" t="str">
            <v>Brooms and brushes</v>
          </cell>
        </row>
        <row r="574">
          <cell r="A574">
            <v>3993</v>
          </cell>
          <cell r="B574" t="str">
            <v>Signs and advertising specialties</v>
          </cell>
        </row>
        <row r="575">
          <cell r="A575">
            <v>3995</v>
          </cell>
          <cell r="B575" t="str">
            <v>Burial caskets</v>
          </cell>
        </row>
        <row r="576">
          <cell r="A576">
            <v>3996</v>
          </cell>
          <cell r="B576" t="str">
            <v>Hard surface floor coverings, nec</v>
          </cell>
        </row>
        <row r="577">
          <cell r="A577">
            <v>3999</v>
          </cell>
          <cell r="B577" t="str">
            <v>Manufacturing industries, nec</v>
          </cell>
        </row>
        <row r="578">
          <cell r="A578">
            <v>4011</v>
          </cell>
          <cell r="B578" t="str">
            <v>Railroads, line-haul operating</v>
          </cell>
        </row>
        <row r="579">
          <cell r="A579">
            <v>4013</v>
          </cell>
          <cell r="B579" t="str">
            <v>Switching and terminal services</v>
          </cell>
        </row>
        <row r="580">
          <cell r="A580">
            <v>4111</v>
          </cell>
          <cell r="B580" t="str">
            <v>Local and suburban transit</v>
          </cell>
        </row>
        <row r="581">
          <cell r="A581">
            <v>4119</v>
          </cell>
          <cell r="B581" t="str">
            <v>Local passenger transportation, nec</v>
          </cell>
        </row>
        <row r="582">
          <cell r="A582">
            <v>4121</v>
          </cell>
          <cell r="B582" t="str">
            <v>Taxicabs</v>
          </cell>
        </row>
        <row r="583">
          <cell r="A583">
            <v>4131</v>
          </cell>
          <cell r="B583" t="str">
            <v>Intercity and rural bus transportation</v>
          </cell>
        </row>
        <row r="584">
          <cell r="A584">
            <v>4141</v>
          </cell>
          <cell r="B584" t="str">
            <v>Local bus charter service</v>
          </cell>
        </row>
        <row r="585">
          <cell r="A585">
            <v>4142</v>
          </cell>
          <cell r="B585" t="str">
            <v>Bus charter service, except local</v>
          </cell>
        </row>
        <row r="586">
          <cell r="A586">
            <v>4151</v>
          </cell>
          <cell r="B586" t="str">
            <v>School buses</v>
          </cell>
        </row>
        <row r="587">
          <cell r="A587">
            <v>4173</v>
          </cell>
          <cell r="B587" t="str">
            <v>Bus terminal and service facilities</v>
          </cell>
        </row>
        <row r="588">
          <cell r="A588">
            <v>4212</v>
          </cell>
          <cell r="B588" t="str">
            <v>Local trucking, without storage</v>
          </cell>
        </row>
        <row r="589">
          <cell r="A589">
            <v>4213</v>
          </cell>
          <cell r="B589" t="str">
            <v>Trucking, except local</v>
          </cell>
        </row>
        <row r="590">
          <cell r="A590">
            <v>4214</v>
          </cell>
          <cell r="B590" t="str">
            <v>Local trucking with storage</v>
          </cell>
        </row>
        <row r="591">
          <cell r="A591">
            <v>4215</v>
          </cell>
          <cell r="B591" t="str">
            <v>Courier services, except by air</v>
          </cell>
        </row>
        <row r="592">
          <cell r="A592">
            <v>4221</v>
          </cell>
          <cell r="B592" t="str">
            <v>Farm product warehousing and storage</v>
          </cell>
        </row>
        <row r="593">
          <cell r="A593">
            <v>4222</v>
          </cell>
          <cell r="B593" t="str">
            <v>Refrigerated warehousing and storage</v>
          </cell>
        </row>
        <row r="594">
          <cell r="A594">
            <v>4225</v>
          </cell>
          <cell r="B594" t="str">
            <v>General warehousing and storage</v>
          </cell>
        </row>
        <row r="595">
          <cell r="A595">
            <v>4226</v>
          </cell>
          <cell r="B595" t="str">
            <v>Special warehousing and storage, nec</v>
          </cell>
        </row>
        <row r="596">
          <cell r="A596">
            <v>4231</v>
          </cell>
          <cell r="B596" t="str">
            <v>Trucking terminal facilities</v>
          </cell>
        </row>
        <row r="597">
          <cell r="A597">
            <v>4311</v>
          </cell>
          <cell r="B597" t="str">
            <v>U.S. Postal Service</v>
          </cell>
        </row>
        <row r="598">
          <cell r="A598">
            <v>4412</v>
          </cell>
          <cell r="B598" t="str">
            <v>Deep sea foreign transportation of freight</v>
          </cell>
        </row>
        <row r="599">
          <cell r="A599">
            <v>4424</v>
          </cell>
          <cell r="B599" t="str">
            <v>Deep sea domestic transportation of freight</v>
          </cell>
        </row>
        <row r="600">
          <cell r="A600">
            <v>4432</v>
          </cell>
          <cell r="B600" t="str">
            <v>Freight transportation on the great lakes</v>
          </cell>
        </row>
        <row r="601">
          <cell r="A601">
            <v>4449</v>
          </cell>
          <cell r="B601" t="str">
            <v>Water transportation of freight</v>
          </cell>
        </row>
        <row r="602">
          <cell r="A602">
            <v>4481</v>
          </cell>
          <cell r="B602" t="str">
            <v>Deep sea passenger transportation, except ferry</v>
          </cell>
        </row>
        <row r="603">
          <cell r="A603">
            <v>4482</v>
          </cell>
          <cell r="B603" t="str">
            <v>Ferries</v>
          </cell>
        </row>
        <row r="604">
          <cell r="A604">
            <v>4489</v>
          </cell>
          <cell r="B604" t="str">
            <v>Water passenger transportation</v>
          </cell>
        </row>
        <row r="605">
          <cell r="A605">
            <v>4491</v>
          </cell>
          <cell r="B605" t="str">
            <v>Marine cargo handling</v>
          </cell>
        </row>
        <row r="606">
          <cell r="A606">
            <v>4492</v>
          </cell>
          <cell r="B606" t="str">
            <v>Towing and tugboat service</v>
          </cell>
        </row>
        <row r="607">
          <cell r="A607">
            <v>4493</v>
          </cell>
          <cell r="B607" t="str">
            <v>Marinas</v>
          </cell>
        </row>
        <row r="608">
          <cell r="A608">
            <v>4499</v>
          </cell>
          <cell r="B608" t="str">
            <v>Water transportation services, nec</v>
          </cell>
        </row>
        <row r="609">
          <cell r="A609">
            <v>4512</v>
          </cell>
          <cell r="B609" t="str">
            <v>Air transportation, scheduled</v>
          </cell>
        </row>
        <row r="610">
          <cell r="A610">
            <v>4513</v>
          </cell>
          <cell r="B610" t="str">
            <v>Air courier services</v>
          </cell>
        </row>
        <row r="611">
          <cell r="A611">
            <v>4522</v>
          </cell>
          <cell r="B611" t="str">
            <v>Air transportation, nonscheduled</v>
          </cell>
        </row>
        <row r="612">
          <cell r="A612">
            <v>4581</v>
          </cell>
          <cell r="B612" t="str">
            <v>Airports, flying fields, and services</v>
          </cell>
        </row>
        <row r="613">
          <cell r="A613">
            <v>4612</v>
          </cell>
          <cell r="B613" t="str">
            <v>Crude petroleum pipelines</v>
          </cell>
        </row>
        <row r="614">
          <cell r="A614">
            <v>4613</v>
          </cell>
          <cell r="B614" t="str">
            <v>Refined petroleum pipelines</v>
          </cell>
        </row>
        <row r="615">
          <cell r="A615">
            <v>4619</v>
          </cell>
          <cell r="B615" t="str">
            <v>Pipelines, nec</v>
          </cell>
        </row>
        <row r="616">
          <cell r="A616">
            <v>4724</v>
          </cell>
          <cell r="B616" t="str">
            <v>Travel agencies</v>
          </cell>
        </row>
        <row r="617">
          <cell r="A617">
            <v>4725</v>
          </cell>
          <cell r="B617" t="str">
            <v>Tour operators</v>
          </cell>
        </row>
        <row r="618">
          <cell r="A618">
            <v>4729</v>
          </cell>
          <cell r="B618" t="str">
            <v>Passenger transportation arrangement</v>
          </cell>
        </row>
        <row r="619">
          <cell r="A619">
            <v>4731</v>
          </cell>
          <cell r="B619" t="str">
            <v>Freight transportation arrangement</v>
          </cell>
        </row>
        <row r="620">
          <cell r="A620">
            <v>4741</v>
          </cell>
          <cell r="B620" t="str">
            <v>Rental of railroad cars</v>
          </cell>
        </row>
        <row r="621">
          <cell r="A621">
            <v>4783</v>
          </cell>
          <cell r="B621" t="str">
            <v>Packing and crating</v>
          </cell>
        </row>
        <row r="622">
          <cell r="A622">
            <v>4785</v>
          </cell>
          <cell r="B622" t="str">
            <v>Inspection and fixed facilities</v>
          </cell>
        </row>
        <row r="623">
          <cell r="A623">
            <v>4789</v>
          </cell>
          <cell r="B623" t="str">
            <v>Transportation services, nec</v>
          </cell>
        </row>
        <row r="624">
          <cell r="A624">
            <v>4812</v>
          </cell>
          <cell r="B624" t="str">
            <v>Radiotelephone communication</v>
          </cell>
        </row>
        <row r="625">
          <cell r="A625">
            <v>4813</v>
          </cell>
          <cell r="B625" t="str">
            <v>Telephone communication, except radio</v>
          </cell>
        </row>
        <row r="626">
          <cell r="A626">
            <v>4822</v>
          </cell>
          <cell r="B626" t="str">
            <v>Telegraph and other communications</v>
          </cell>
        </row>
        <row r="627">
          <cell r="A627">
            <v>4832</v>
          </cell>
          <cell r="B627" t="str">
            <v>Radio broadcasting stations</v>
          </cell>
        </row>
        <row r="628">
          <cell r="A628">
            <v>4833</v>
          </cell>
          <cell r="B628" t="str">
            <v>Television broadcasting stations</v>
          </cell>
        </row>
        <row r="629">
          <cell r="A629">
            <v>4841</v>
          </cell>
          <cell r="B629" t="str">
            <v>Cable and other pay television services</v>
          </cell>
        </row>
        <row r="630">
          <cell r="A630">
            <v>4899</v>
          </cell>
          <cell r="B630" t="str">
            <v>Communication services, nec</v>
          </cell>
        </row>
        <row r="631">
          <cell r="A631">
            <v>4911</v>
          </cell>
          <cell r="B631" t="str">
            <v>Electric services</v>
          </cell>
        </row>
        <row r="632">
          <cell r="A632">
            <v>4922</v>
          </cell>
          <cell r="B632" t="str">
            <v>Natural gas transmission</v>
          </cell>
        </row>
        <row r="633">
          <cell r="A633">
            <v>4923</v>
          </cell>
          <cell r="B633" t="str">
            <v>Gas transmission and distribution</v>
          </cell>
        </row>
        <row r="634">
          <cell r="A634">
            <v>4924</v>
          </cell>
          <cell r="B634" t="str">
            <v>Natural gas distribution</v>
          </cell>
        </row>
        <row r="635">
          <cell r="A635">
            <v>4925</v>
          </cell>
          <cell r="B635" t="str">
            <v>Gas production and/or distribution</v>
          </cell>
        </row>
        <row r="636">
          <cell r="A636">
            <v>4931</v>
          </cell>
          <cell r="B636" t="str">
            <v>Electric and other services combined</v>
          </cell>
        </row>
        <row r="637">
          <cell r="A637">
            <v>4932</v>
          </cell>
          <cell r="B637" t="str">
            <v>Gas and other services combined</v>
          </cell>
        </row>
        <row r="638">
          <cell r="A638">
            <v>4939</v>
          </cell>
          <cell r="B638" t="str">
            <v>Combination utilities, nec</v>
          </cell>
        </row>
        <row r="639">
          <cell r="A639">
            <v>4941</v>
          </cell>
          <cell r="B639" t="str">
            <v>Water supply</v>
          </cell>
        </row>
        <row r="640">
          <cell r="A640">
            <v>4952</v>
          </cell>
          <cell r="B640" t="str">
            <v>Sewerage systems</v>
          </cell>
        </row>
        <row r="641">
          <cell r="A641">
            <v>4953</v>
          </cell>
          <cell r="B641" t="str">
            <v>Refuse systems</v>
          </cell>
        </row>
        <row r="642">
          <cell r="A642">
            <v>4959</v>
          </cell>
          <cell r="B642" t="str">
            <v>Sanitary services, nec</v>
          </cell>
        </row>
        <row r="643">
          <cell r="A643">
            <v>4961</v>
          </cell>
          <cell r="B643" t="str">
            <v>Steam and air-conditioning supply</v>
          </cell>
        </row>
        <row r="644">
          <cell r="A644">
            <v>4971</v>
          </cell>
          <cell r="B644" t="str">
            <v>Irrigation systems</v>
          </cell>
        </row>
        <row r="645">
          <cell r="A645">
            <v>5012</v>
          </cell>
          <cell r="B645" t="str">
            <v>Automobiles and other motor vehicles</v>
          </cell>
        </row>
        <row r="646">
          <cell r="A646">
            <v>5013</v>
          </cell>
          <cell r="B646" t="str">
            <v>Motor vehicle supplies and new parts</v>
          </cell>
        </row>
        <row r="647">
          <cell r="A647">
            <v>5014</v>
          </cell>
          <cell r="B647" t="str">
            <v>Tires and tubes</v>
          </cell>
        </row>
        <row r="648">
          <cell r="A648">
            <v>5015</v>
          </cell>
          <cell r="B648" t="str">
            <v>Motor vehicle parts, used</v>
          </cell>
        </row>
        <row r="649">
          <cell r="A649">
            <v>5021</v>
          </cell>
          <cell r="B649" t="str">
            <v>Furniture</v>
          </cell>
        </row>
        <row r="650">
          <cell r="A650">
            <v>5023</v>
          </cell>
          <cell r="B650" t="str">
            <v>Homefurnishings</v>
          </cell>
        </row>
        <row r="651">
          <cell r="A651">
            <v>5031</v>
          </cell>
          <cell r="B651" t="str">
            <v>Lumber, plywood, and millwork</v>
          </cell>
        </row>
        <row r="652">
          <cell r="A652">
            <v>5032</v>
          </cell>
          <cell r="B652" t="str">
            <v>Brick, stone, and related material</v>
          </cell>
        </row>
        <row r="653">
          <cell r="A653">
            <v>5033</v>
          </cell>
          <cell r="B653" t="str">
            <v>Roofing, siding, and insulation</v>
          </cell>
        </row>
        <row r="654">
          <cell r="A654">
            <v>5039</v>
          </cell>
          <cell r="B654" t="str">
            <v>Construction materials, nec</v>
          </cell>
        </row>
        <row r="655">
          <cell r="A655">
            <v>5043</v>
          </cell>
          <cell r="B655" t="str">
            <v>Photographic equipment and supplies</v>
          </cell>
        </row>
        <row r="656">
          <cell r="A656">
            <v>5044</v>
          </cell>
          <cell r="B656" t="str">
            <v>Office equipment</v>
          </cell>
        </row>
        <row r="657">
          <cell r="A657">
            <v>5045</v>
          </cell>
          <cell r="B657" t="str">
            <v>Computers, peripherals, and software</v>
          </cell>
        </row>
        <row r="658">
          <cell r="A658">
            <v>5046</v>
          </cell>
          <cell r="B658" t="str">
            <v>Commercial equipment, nec</v>
          </cell>
        </row>
        <row r="659">
          <cell r="A659">
            <v>5047</v>
          </cell>
          <cell r="B659" t="str">
            <v>Medical and hospital equipment</v>
          </cell>
        </row>
        <row r="660">
          <cell r="A660">
            <v>5048</v>
          </cell>
          <cell r="B660" t="str">
            <v>Ophthalmic goods</v>
          </cell>
        </row>
        <row r="661">
          <cell r="A661">
            <v>5049</v>
          </cell>
          <cell r="B661" t="str">
            <v>Professional equipment, nec</v>
          </cell>
        </row>
        <row r="662">
          <cell r="A662">
            <v>5051</v>
          </cell>
          <cell r="B662" t="str">
            <v>Metals service centers and offices</v>
          </cell>
        </row>
        <row r="663">
          <cell r="A663">
            <v>5052</v>
          </cell>
          <cell r="B663" t="str">
            <v>Coal and other minerals and ores</v>
          </cell>
        </row>
        <row r="664">
          <cell r="A664">
            <v>5063</v>
          </cell>
          <cell r="B664" t="str">
            <v>Electrical apparatus and equipment</v>
          </cell>
        </row>
        <row r="665">
          <cell r="A665">
            <v>5064</v>
          </cell>
          <cell r="B665" t="str">
            <v>Electrical appliances, television and radio</v>
          </cell>
        </row>
        <row r="666">
          <cell r="A666">
            <v>5065</v>
          </cell>
          <cell r="B666" t="str">
            <v>Electronic parts and equipment, nec</v>
          </cell>
        </row>
        <row r="667">
          <cell r="A667">
            <v>5072</v>
          </cell>
          <cell r="B667" t="str">
            <v>Hardware</v>
          </cell>
        </row>
        <row r="668">
          <cell r="A668">
            <v>5074</v>
          </cell>
          <cell r="B668" t="str">
            <v>Plumbing and hydronic heating supplies</v>
          </cell>
        </row>
        <row r="669">
          <cell r="A669">
            <v>5075</v>
          </cell>
          <cell r="B669" t="str">
            <v>Warm air heating and air conditioning</v>
          </cell>
        </row>
        <row r="670">
          <cell r="A670">
            <v>5078</v>
          </cell>
          <cell r="B670" t="str">
            <v>Refrigeration equipment and supplies</v>
          </cell>
        </row>
        <row r="671">
          <cell r="A671">
            <v>5082</v>
          </cell>
          <cell r="B671" t="str">
            <v>Construction and mining machinery</v>
          </cell>
        </row>
        <row r="672">
          <cell r="A672">
            <v>5083</v>
          </cell>
          <cell r="B672" t="str">
            <v>Farm and garden machinery</v>
          </cell>
        </row>
        <row r="673">
          <cell r="A673">
            <v>5084</v>
          </cell>
          <cell r="B673" t="str">
            <v>Industrial machinery and equipment</v>
          </cell>
        </row>
        <row r="674">
          <cell r="A674">
            <v>5085</v>
          </cell>
          <cell r="B674" t="str">
            <v>Industrial supplies</v>
          </cell>
        </row>
        <row r="675">
          <cell r="A675">
            <v>5087</v>
          </cell>
          <cell r="B675" t="str">
            <v>Service establishment equipment</v>
          </cell>
        </row>
        <row r="676">
          <cell r="A676">
            <v>5088</v>
          </cell>
          <cell r="B676" t="str">
            <v>Transportation equipment and supplies</v>
          </cell>
        </row>
        <row r="677">
          <cell r="A677">
            <v>5091</v>
          </cell>
          <cell r="B677" t="str">
            <v>Sporting and recreation goods</v>
          </cell>
        </row>
        <row r="678">
          <cell r="A678">
            <v>5092</v>
          </cell>
          <cell r="B678" t="str">
            <v>Toys and hobby goods and supplies</v>
          </cell>
        </row>
        <row r="679">
          <cell r="A679">
            <v>5093</v>
          </cell>
          <cell r="B679" t="str">
            <v>Scrap and waste materials</v>
          </cell>
        </row>
        <row r="680">
          <cell r="A680">
            <v>5094</v>
          </cell>
          <cell r="B680" t="str">
            <v>Jewelry and precious stones</v>
          </cell>
        </row>
        <row r="681">
          <cell r="A681">
            <v>5099</v>
          </cell>
          <cell r="B681" t="str">
            <v>Durable goods, nec</v>
          </cell>
        </row>
        <row r="682">
          <cell r="A682">
            <v>5111</v>
          </cell>
          <cell r="B682" t="str">
            <v>Printing and writing paper</v>
          </cell>
        </row>
        <row r="683">
          <cell r="A683">
            <v>5112</v>
          </cell>
          <cell r="B683" t="str">
            <v>Stationery and office supplies</v>
          </cell>
        </row>
        <row r="684">
          <cell r="A684">
            <v>5113</v>
          </cell>
          <cell r="B684" t="str">
            <v>Industrial and personal service paper</v>
          </cell>
        </row>
        <row r="685">
          <cell r="A685">
            <v>5122</v>
          </cell>
          <cell r="B685" t="str">
            <v>Drugs, proprietaries, and sundries</v>
          </cell>
        </row>
        <row r="686">
          <cell r="A686">
            <v>5131</v>
          </cell>
          <cell r="B686" t="str">
            <v>Piece goods and notions</v>
          </cell>
        </row>
        <row r="687">
          <cell r="A687">
            <v>5136</v>
          </cell>
          <cell r="B687" t="str">
            <v>Men's and boy's clothing</v>
          </cell>
        </row>
        <row r="688">
          <cell r="A688">
            <v>5137</v>
          </cell>
          <cell r="B688" t="str">
            <v>Women's and children's clothing</v>
          </cell>
        </row>
        <row r="689">
          <cell r="A689">
            <v>5139</v>
          </cell>
          <cell r="B689" t="str">
            <v>Footwear</v>
          </cell>
        </row>
        <row r="690">
          <cell r="A690">
            <v>5141</v>
          </cell>
          <cell r="B690" t="str">
            <v>Groceries, general line</v>
          </cell>
        </row>
        <row r="691">
          <cell r="A691">
            <v>5142</v>
          </cell>
          <cell r="B691" t="str">
            <v>Packaged frozen goods</v>
          </cell>
        </row>
        <row r="692">
          <cell r="A692">
            <v>5143</v>
          </cell>
          <cell r="B692" t="str">
            <v>Dairy products, except dried or canned</v>
          </cell>
        </row>
        <row r="693">
          <cell r="A693">
            <v>5144</v>
          </cell>
          <cell r="B693" t="str">
            <v>Poultry and poultry products</v>
          </cell>
        </row>
        <row r="694">
          <cell r="A694">
            <v>5145</v>
          </cell>
          <cell r="B694" t="str">
            <v>Confectionery</v>
          </cell>
        </row>
        <row r="695">
          <cell r="A695">
            <v>5146</v>
          </cell>
          <cell r="B695" t="str">
            <v>Fish and seafoods</v>
          </cell>
        </row>
        <row r="696">
          <cell r="A696">
            <v>5147</v>
          </cell>
          <cell r="B696" t="str">
            <v>Meats and meat products</v>
          </cell>
        </row>
        <row r="697">
          <cell r="A697">
            <v>5148</v>
          </cell>
          <cell r="B697" t="str">
            <v>Fresh fruits and vegetables</v>
          </cell>
        </row>
        <row r="698">
          <cell r="A698">
            <v>5149</v>
          </cell>
          <cell r="B698" t="str">
            <v>Groceries and related products, nec</v>
          </cell>
        </row>
        <row r="699">
          <cell r="A699">
            <v>5153</v>
          </cell>
          <cell r="B699" t="str">
            <v>Grain and field beans</v>
          </cell>
        </row>
        <row r="700">
          <cell r="A700">
            <v>5154</v>
          </cell>
          <cell r="B700" t="str">
            <v>Livestock</v>
          </cell>
        </row>
        <row r="701">
          <cell r="A701">
            <v>5159</v>
          </cell>
          <cell r="B701" t="str">
            <v>Farm-product raw materials, nec</v>
          </cell>
        </row>
        <row r="702">
          <cell r="A702">
            <v>5162</v>
          </cell>
          <cell r="B702" t="str">
            <v>Plastics materials and basic shapes</v>
          </cell>
        </row>
        <row r="703">
          <cell r="A703">
            <v>5169</v>
          </cell>
          <cell r="B703" t="str">
            <v>Chemicals and allied products, nec</v>
          </cell>
        </row>
        <row r="704">
          <cell r="A704">
            <v>5171</v>
          </cell>
          <cell r="B704" t="str">
            <v>Petroleum bulk stations and terminals</v>
          </cell>
        </row>
        <row r="705">
          <cell r="A705">
            <v>5172</v>
          </cell>
          <cell r="B705" t="str">
            <v>Petroleum products, nec</v>
          </cell>
        </row>
        <row r="706">
          <cell r="A706">
            <v>5181</v>
          </cell>
          <cell r="B706" t="str">
            <v>Beer and ale</v>
          </cell>
        </row>
        <row r="707">
          <cell r="A707">
            <v>5182</v>
          </cell>
          <cell r="B707" t="str">
            <v>Wine and distilled beverages</v>
          </cell>
        </row>
        <row r="708">
          <cell r="A708">
            <v>5191</v>
          </cell>
          <cell r="B708" t="str">
            <v>Farm supplies</v>
          </cell>
        </row>
        <row r="709">
          <cell r="A709">
            <v>5192</v>
          </cell>
          <cell r="B709" t="str">
            <v>Books, periodicals, and newspapers</v>
          </cell>
        </row>
        <row r="710">
          <cell r="A710">
            <v>5193</v>
          </cell>
          <cell r="B710" t="str">
            <v>Flowers and florists supplies</v>
          </cell>
        </row>
        <row r="711">
          <cell r="A711">
            <v>5194</v>
          </cell>
          <cell r="B711" t="str">
            <v>Tobacco and tobacco products</v>
          </cell>
        </row>
        <row r="712">
          <cell r="A712">
            <v>5198</v>
          </cell>
          <cell r="B712" t="str">
            <v>Paints, varnishes, and supplies</v>
          </cell>
        </row>
        <row r="713">
          <cell r="A713">
            <v>5199</v>
          </cell>
          <cell r="B713" t="str">
            <v>Nondurable goods, nec</v>
          </cell>
        </row>
        <row r="714">
          <cell r="A714">
            <v>5211</v>
          </cell>
          <cell r="B714" t="str">
            <v>Lumber and other building materials</v>
          </cell>
        </row>
        <row r="715">
          <cell r="A715">
            <v>5231</v>
          </cell>
          <cell r="B715" t="str">
            <v>Paint, glass, and wallpaper stores</v>
          </cell>
        </row>
        <row r="716">
          <cell r="A716">
            <v>5251</v>
          </cell>
          <cell r="B716" t="str">
            <v>Hardware stores</v>
          </cell>
        </row>
        <row r="717">
          <cell r="A717">
            <v>5261</v>
          </cell>
          <cell r="B717" t="str">
            <v>Retail nurseries and garden stores</v>
          </cell>
        </row>
        <row r="718">
          <cell r="A718">
            <v>5271</v>
          </cell>
          <cell r="B718" t="str">
            <v>Mobile home dealers</v>
          </cell>
        </row>
        <row r="719">
          <cell r="A719">
            <v>5311</v>
          </cell>
          <cell r="B719" t="str">
            <v>Department stores</v>
          </cell>
        </row>
        <row r="720">
          <cell r="A720">
            <v>5331</v>
          </cell>
          <cell r="B720" t="str">
            <v>Variety stores</v>
          </cell>
        </row>
        <row r="721">
          <cell r="A721">
            <v>5399</v>
          </cell>
          <cell r="B721" t="str">
            <v>Miscellaneous general merchandise</v>
          </cell>
        </row>
        <row r="722">
          <cell r="A722">
            <v>5411</v>
          </cell>
          <cell r="B722" t="str">
            <v>Grocery stores</v>
          </cell>
        </row>
        <row r="723">
          <cell r="A723">
            <v>5421</v>
          </cell>
          <cell r="B723" t="str">
            <v>Meat and fish markets</v>
          </cell>
        </row>
        <row r="724">
          <cell r="A724">
            <v>5431</v>
          </cell>
          <cell r="B724" t="str">
            <v>Fruit and vegetable markets</v>
          </cell>
        </row>
        <row r="725">
          <cell r="A725">
            <v>5441</v>
          </cell>
          <cell r="B725" t="str">
            <v>Candy, nut, and confectionery stores</v>
          </cell>
        </row>
        <row r="726">
          <cell r="A726">
            <v>5451</v>
          </cell>
          <cell r="B726" t="str">
            <v>Dairy products stores</v>
          </cell>
        </row>
        <row r="727">
          <cell r="A727">
            <v>5461</v>
          </cell>
          <cell r="B727" t="str">
            <v>Retail bakeries</v>
          </cell>
        </row>
        <row r="728">
          <cell r="A728">
            <v>5499</v>
          </cell>
          <cell r="B728" t="str">
            <v>Miscellaneous food stores</v>
          </cell>
        </row>
        <row r="729">
          <cell r="A729">
            <v>5511</v>
          </cell>
          <cell r="B729" t="str">
            <v>New and used car dealers</v>
          </cell>
        </row>
        <row r="730">
          <cell r="A730">
            <v>5521</v>
          </cell>
          <cell r="B730" t="str">
            <v>Used car dealers</v>
          </cell>
        </row>
        <row r="731">
          <cell r="A731">
            <v>5531</v>
          </cell>
          <cell r="B731" t="str">
            <v>Auto and home supply stores</v>
          </cell>
        </row>
        <row r="732">
          <cell r="A732">
            <v>5541</v>
          </cell>
          <cell r="B732" t="str">
            <v>Gasoline service stations</v>
          </cell>
        </row>
        <row r="733">
          <cell r="A733">
            <v>5551</v>
          </cell>
          <cell r="B733" t="str">
            <v>Boat dealers</v>
          </cell>
        </row>
        <row r="734">
          <cell r="A734">
            <v>5561</v>
          </cell>
          <cell r="B734" t="str">
            <v>Recreational vehicle dealers</v>
          </cell>
        </row>
        <row r="735">
          <cell r="A735">
            <v>5571</v>
          </cell>
          <cell r="B735" t="str">
            <v>Motorcycle dealers</v>
          </cell>
        </row>
        <row r="736">
          <cell r="A736">
            <v>5599</v>
          </cell>
          <cell r="B736" t="str">
            <v>Automotive dealers, nec</v>
          </cell>
        </row>
        <row r="737">
          <cell r="A737">
            <v>5611</v>
          </cell>
          <cell r="B737" t="str">
            <v>Men's and boys' clothing stores</v>
          </cell>
        </row>
        <row r="738">
          <cell r="A738">
            <v>5621</v>
          </cell>
          <cell r="B738" t="str">
            <v>Women's clothing stores</v>
          </cell>
        </row>
        <row r="739">
          <cell r="A739">
            <v>5632</v>
          </cell>
          <cell r="B739" t="str">
            <v>Women's accessory and specialty stores</v>
          </cell>
        </row>
        <row r="740">
          <cell r="A740">
            <v>5641</v>
          </cell>
          <cell r="B740" t="str">
            <v>Children's and infants' wear stores</v>
          </cell>
        </row>
        <row r="741">
          <cell r="A741">
            <v>5651</v>
          </cell>
          <cell r="B741" t="str">
            <v>Family clothing stores</v>
          </cell>
        </row>
        <row r="742">
          <cell r="A742">
            <v>5661</v>
          </cell>
          <cell r="B742" t="str">
            <v>Shoe stores</v>
          </cell>
        </row>
        <row r="743">
          <cell r="A743">
            <v>5699</v>
          </cell>
          <cell r="B743" t="str">
            <v>Miscellaneous apparel and accessories</v>
          </cell>
        </row>
        <row r="744">
          <cell r="A744">
            <v>5712</v>
          </cell>
          <cell r="B744" t="str">
            <v>Furniture stores</v>
          </cell>
        </row>
        <row r="745">
          <cell r="A745">
            <v>5713</v>
          </cell>
          <cell r="B745" t="str">
            <v>Floor covering stores</v>
          </cell>
        </row>
        <row r="746">
          <cell r="A746">
            <v>5714</v>
          </cell>
          <cell r="B746" t="str">
            <v>Drapery and upholstery stores</v>
          </cell>
        </row>
        <row r="747">
          <cell r="A747">
            <v>5719</v>
          </cell>
          <cell r="B747" t="str">
            <v>Miscellaneous homefurnishings</v>
          </cell>
        </row>
        <row r="748">
          <cell r="A748">
            <v>5722</v>
          </cell>
          <cell r="B748" t="str">
            <v>Household appliance stores</v>
          </cell>
        </row>
        <row r="749">
          <cell r="A749">
            <v>5731</v>
          </cell>
          <cell r="B749" t="str">
            <v>Radio, television, and electronic stores</v>
          </cell>
        </row>
        <row r="750">
          <cell r="A750">
            <v>5734</v>
          </cell>
          <cell r="B750" t="str">
            <v>Computer and software stores</v>
          </cell>
        </row>
        <row r="751">
          <cell r="A751">
            <v>5735</v>
          </cell>
          <cell r="B751" t="str">
            <v>Record and prerecorded tape stores</v>
          </cell>
        </row>
        <row r="752">
          <cell r="A752">
            <v>5736</v>
          </cell>
          <cell r="B752" t="str">
            <v>Musical instrument stores</v>
          </cell>
        </row>
        <row r="753">
          <cell r="A753">
            <v>5812</v>
          </cell>
          <cell r="B753" t="str">
            <v>Eating places</v>
          </cell>
        </row>
        <row r="754">
          <cell r="A754">
            <v>5813</v>
          </cell>
          <cell r="B754" t="str">
            <v>Drinking places</v>
          </cell>
        </row>
        <row r="755">
          <cell r="A755">
            <v>5912</v>
          </cell>
          <cell r="B755" t="str">
            <v>Drug stores and proprietary stores</v>
          </cell>
        </row>
        <row r="756">
          <cell r="A756">
            <v>5921</v>
          </cell>
          <cell r="B756" t="str">
            <v>Liquor stores</v>
          </cell>
        </row>
        <row r="757">
          <cell r="A757">
            <v>5932</v>
          </cell>
          <cell r="B757" t="str">
            <v>Used merchandise stores</v>
          </cell>
        </row>
        <row r="758">
          <cell r="A758">
            <v>5941</v>
          </cell>
          <cell r="B758" t="str">
            <v>Sporting goods and bicycle shops</v>
          </cell>
        </row>
        <row r="759">
          <cell r="A759">
            <v>5942</v>
          </cell>
          <cell r="B759" t="str">
            <v>Book stores</v>
          </cell>
        </row>
        <row r="760">
          <cell r="A760">
            <v>5943</v>
          </cell>
          <cell r="B760" t="str">
            <v>Stationery stores</v>
          </cell>
        </row>
        <row r="761">
          <cell r="A761">
            <v>5944</v>
          </cell>
          <cell r="B761" t="str">
            <v>Jewelry stores</v>
          </cell>
        </row>
        <row r="762">
          <cell r="A762">
            <v>5945</v>
          </cell>
          <cell r="B762" t="str">
            <v>Hobby, toy, and game shops</v>
          </cell>
        </row>
        <row r="763">
          <cell r="A763">
            <v>5946</v>
          </cell>
          <cell r="B763" t="str">
            <v>Camera and photographic supply stores</v>
          </cell>
        </row>
        <row r="764">
          <cell r="A764">
            <v>5947</v>
          </cell>
          <cell r="B764" t="str">
            <v>Gift, novelty, and souvenir shop</v>
          </cell>
        </row>
        <row r="765">
          <cell r="A765">
            <v>5948</v>
          </cell>
          <cell r="B765" t="str">
            <v>Luggage and leather goods stores</v>
          </cell>
        </row>
        <row r="766">
          <cell r="A766">
            <v>5949</v>
          </cell>
          <cell r="B766" t="str">
            <v>Sewing, needlework, and piece goods</v>
          </cell>
        </row>
        <row r="767">
          <cell r="A767">
            <v>5961</v>
          </cell>
          <cell r="B767" t="str">
            <v>Catalog and mail-order houses</v>
          </cell>
        </row>
        <row r="768">
          <cell r="A768">
            <v>5962</v>
          </cell>
          <cell r="B768" t="str">
            <v>Merchandising machine operators</v>
          </cell>
        </row>
        <row r="769">
          <cell r="A769">
            <v>5963</v>
          </cell>
          <cell r="B769" t="str">
            <v>Direct selling establishments</v>
          </cell>
        </row>
        <row r="770">
          <cell r="A770">
            <v>5983</v>
          </cell>
          <cell r="B770" t="str">
            <v>Fuel oil dealers</v>
          </cell>
        </row>
        <row r="771">
          <cell r="A771">
            <v>5984</v>
          </cell>
          <cell r="B771" t="str">
            <v>Liquefied petroleum gas dealers</v>
          </cell>
        </row>
        <row r="772">
          <cell r="A772">
            <v>5989</v>
          </cell>
          <cell r="B772" t="str">
            <v>Fuel dealers, nec</v>
          </cell>
        </row>
        <row r="773">
          <cell r="A773">
            <v>5992</v>
          </cell>
          <cell r="B773" t="str">
            <v>Florists</v>
          </cell>
        </row>
        <row r="774">
          <cell r="A774">
            <v>5993</v>
          </cell>
          <cell r="B774" t="str">
            <v>Tobacco stores and stands</v>
          </cell>
        </row>
        <row r="775">
          <cell r="A775">
            <v>5994</v>
          </cell>
          <cell r="B775" t="str">
            <v>News dealers and newsstands</v>
          </cell>
        </row>
        <row r="776">
          <cell r="A776">
            <v>5995</v>
          </cell>
          <cell r="B776" t="str">
            <v>Optical goods stores</v>
          </cell>
        </row>
        <row r="777">
          <cell r="A777">
            <v>5999</v>
          </cell>
          <cell r="B777" t="str">
            <v>Miscellaneous retail stores, nec</v>
          </cell>
        </row>
        <row r="778">
          <cell r="A778">
            <v>6011</v>
          </cell>
          <cell r="B778" t="str">
            <v>Federal reserve banks</v>
          </cell>
        </row>
        <row r="779">
          <cell r="A779">
            <v>6019</v>
          </cell>
          <cell r="B779" t="str">
            <v>Central reserve depository, nec</v>
          </cell>
        </row>
        <row r="780">
          <cell r="A780">
            <v>6021</v>
          </cell>
          <cell r="B780" t="str">
            <v>National commercial banks</v>
          </cell>
        </row>
        <row r="781">
          <cell r="A781">
            <v>6022</v>
          </cell>
          <cell r="B781" t="str">
            <v>State commercial banks</v>
          </cell>
        </row>
        <row r="782">
          <cell r="A782">
            <v>6029</v>
          </cell>
          <cell r="B782" t="str">
            <v>Commercial banks, nec</v>
          </cell>
        </row>
        <row r="783">
          <cell r="A783">
            <v>6035</v>
          </cell>
          <cell r="B783" t="str">
            <v>Federal savings institutions</v>
          </cell>
        </row>
        <row r="784">
          <cell r="A784">
            <v>6036</v>
          </cell>
          <cell r="B784" t="str">
            <v>Savings institutions, except federal</v>
          </cell>
        </row>
        <row r="785">
          <cell r="A785">
            <v>6061</v>
          </cell>
          <cell r="B785" t="str">
            <v>Federal credit unions</v>
          </cell>
        </row>
        <row r="786">
          <cell r="A786">
            <v>6062</v>
          </cell>
          <cell r="B786" t="str">
            <v>State credit unions</v>
          </cell>
        </row>
        <row r="787">
          <cell r="A787">
            <v>6081</v>
          </cell>
          <cell r="B787" t="str">
            <v>Foreign bank and branches and agencies</v>
          </cell>
        </row>
        <row r="788">
          <cell r="A788">
            <v>6082</v>
          </cell>
          <cell r="B788" t="str">
            <v>Foreign trade and international banks</v>
          </cell>
        </row>
        <row r="789">
          <cell r="A789">
            <v>6091</v>
          </cell>
          <cell r="B789" t="str">
            <v>Nondeposit trust facilities</v>
          </cell>
        </row>
        <row r="790">
          <cell r="A790">
            <v>6099</v>
          </cell>
          <cell r="B790" t="str">
            <v>Functions related to depository banking</v>
          </cell>
        </row>
        <row r="791">
          <cell r="A791">
            <v>6111</v>
          </cell>
          <cell r="B791" t="str">
            <v>Federal and federally sponsored credit</v>
          </cell>
        </row>
        <row r="792">
          <cell r="A792">
            <v>6141</v>
          </cell>
          <cell r="B792" t="str">
            <v>Personal credit institutions</v>
          </cell>
        </row>
        <row r="793">
          <cell r="A793">
            <v>6153</v>
          </cell>
          <cell r="B793" t="str">
            <v>Short-term business credit</v>
          </cell>
        </row>
        <row r="794">
          <cell r="A794">
            <v>6159</v>
          </cell>
          <cell r="B794" t="str">
            <v>Miscellaneous business credit</v>
          </cell>
        </row>
        <row r="795">
          <cell r="A795">
            <v>6162</v>
          </cell>
          <cell r="B795" t="str">
            <v>Mortgage bankers and correspondents</v>
          </cell>
        </row>
        <row r="796">
          <cell r="A796">
            <v>6163</v>
          </cell>
          <cell r="B796" t="str">
            <v>Loan brokers</v>
          </cell>
        </row>
        <row r="797">
          <cell r="A797">
            <v>6211</v>
          </cell>
          <cell r="B797" t="str">
            <v>Security brokers and dealers</v>
          </cell>
        </row>
        <row r="798">
          <cell r="A798">
            <v>6221</v>
          </cell>
          <cell r="B798" t="str">
            <v>Commodity contracts brokers, dealers</v>
          </cell>
        </row>
        <row r="799">
          <cell r="A799">
            <v>6231</v>
          </cell>
          <cell r="B799" t="str">
            <v>Security and commodity exchanges</v>
          </cell>
        </row>
        <row r="800">
          <cell r="A800">
            <v>6282</v>
          </cell>
          <cell r="B800" t="str">
            <v>Investment advice</v>
          </cell>
        </row>
        <row r="801">
          <cell r="A801">
            <v>6289</v>
          </cell>
          <cell r="B801" t="str">
            <v>Security and commodity service</v>
          </cell>
        </row>
        <row r="802">
          <cell r="A802">
            <v>6311</v>
          </cell>
          <cell r="B802" t="str">
            <v>Life insurance</v>
          </cell>
        </row>
        <row r="803">
          <cell r="A803">
            <v>6321</v>
          </cell>
          <cell r="B803" t="str">
            <v>Accident and health insurance</v>
          </cell>
        </row>
        <row r="804">
          <cell r="A804">
            <v>6324</v>
          </cell>
          <cell r="B804" t="str">
            <v>Hospital and medical service plans</v>
          </cell>
        </row>
        <row r="805">
          <cell r="A805">
            <v>6331</v>
          </cell>
          <cell r="B805" t="str">
            <v>Fire, marine, and casualty insurance</v>
          </cell>
        </row>
        <row r="806">
          <cell r="A806">
            <v>6351</v>
          </cell>
          <cell r="B806" t="str">
            <v>Surety insurance</v>
          </cell>
        </row>
        <row r="807">
          <cell r="A807">
            <v>6361</v>
          </cell>
          <cell r="B807" t="str">
            <v>Title insurance</v>
          </cell>
        </row>
        <row r="808">
          <cell r="A808">
            <v>6371</v>
          </cell>
          <cell r="B808" t="str">
            <v>Pension, health, and welfare funds</v>
          </cell>
        </row>
        <row r="809">
          <cell r="A809">
            <v>6399</v>
          </cell>
          <cell r="B809" t="str">
            <v>Insurance carriers, nec</v>
          </cell>
        </row>
        <row r="810">
          <cell r="A810">
            <v>6411</v>
          </cell>
          <cell r="B810" t="str">
            <v>Insurance agents, brokers, and service</v>
          </cell>
        </row>
        <row r="811">
          <cell r="A811">
            <v>6512</v>
          </cell>
          <cell r="B811" t="str">
            <v>Nonresidential building operators</v>
          </cell>
        </row>
        <row r="812">
          <cell r="A812">
            <v>6513</v>
          </cell>
          <cell r="B812" t="str">
            <v>Apartment building operators</v>
          </cell>
        </row>
        <row r="813">
          <cell r="A813">
            <v>6514</v>
          </cell>
          <cell r="B813" t="str">
            <v>Dwelling operators, except apartments</v>
          </cell>
        </row>
        <row r="814">
          <cell r="A814">
            <v>6515</v>
          </cell>
          <cell r="B814" t="str">
            <v>Mobile home site operators</v>
          </cell>
        </row>
        <row r="815">
          <cell r="A815">
            <v>6517</v>
          </cell>
          <cell r="B815" t="str">
            <v>Railroad property lessors</v>
          </cell>
        </row>
        <row r="816">
          <cell r="A816">
            <v>6519</v>
          </cell>
          <cell r="B816" t="str">
            <v>Real property lessors, nec</v>
          </cell>
        </row>
        <row r="817">
          <cell r="A817">
            <v>6531</v>
          </cell>
          <cell r="B817" t="str">
            <v>Real estate agents and managers</v>
          </cell>
        </row>
        <row r="818">
          <cell r="A818">
            <v>6541</v>
          </cell>
          <cell r="B818" t="str">
            <v>Title abstract offices</v>
          </cell>
        </row>
        <row r="819">
          <cell r="A819">
            <v>6552</v>
          </cell>
          <cell r="B819" t="str">
            <v>Subdividers and developers, nec</v>
          </cell>
        </row>
        <row r="820">
          <cell r="A820">
            <v>6553</v>
          </cell>
          <cell r="B820" t="str">
            <v>Cemetery subdividers and developers</v>
          </cell>
        </row>
        <row r="821">
          <cell r="A821">
            <v>6712</v>
          </cell>
          <cell r="B821" t="str">
            <v>Bank holding companies</v>
          </cell>
        </row>
        <row r="822">
          <cell r="A822">
            <v>6719</v>
          </cell>
          <cell r="B822" t="str">
            <v>Holding companies, nec</v>
          </cell>
        </row>
        <row r="823">
          <cell r="A823">
            <v>6722</v>
          </cell>
          <cell r="B823" t="str">
            <v>Management investment, open-ended</v>
          </cell>
        </row>
        <row r="824">
          <cell r="A824">
            <v>6726</v>
          </cell>
          <cell r="B824" t="str">
            <v>Investment offices, nec</v>
          </cell>
        </row>
        <row r="825">
          <cell r="A825">
            <v>6732</v>
          </cell>
          <cell r="B825" t="str">
            <v>Trusts: educational, religious, etc.</v>
          </cell>
        </row>
        <row r="826">
          <cell r="A826">
            <v>6733</v>
          </cell>
          <cell r="B826" t="str">
            <v>Trusts, nec</v>
          </cell>
        </row>
        <row r="827">
          <cell r="A827">
            <v>6792</v>
          </cell>
          <cell r="B827" t="str">
            <v>Oil royalty traders</v>
          </cell>
        </row>
        <row r="828">
          <cell r="A828">
            <v>6794</v>
          </cell>
          <cell r="B828" t="str">
            <v>Patent owners and lessors</v>
          </cell>
        </row>
        <row r="829">
          <cell r="A829">
            <v>6798</v>
          </cell>
          <cell r="B829" t="str">
            <v>Real estate investment trusts</v>
          </cell>
        </row>
        <row r="830">
          <cell r="A830">
            <v>6799</v>
          </cell>
          <cell r="B830" t="str">
            <v>Investors, nec</v>
          </cell>
        </row>
        <row r="831">
          <cell r="A831">
            <v>7011</v>
          </cell>
          <cell r="B831" t="str">
            <v>Hotels and motels</v>
          </cell>
        </row>
        <row r="832">
          <cell r="A832">
            <v>7021</v>
          </cell>
          <cell r="B832" t="str">
            <v>Rooming and boarding houses</v>
          </cell>
        </row>
        <row r="833">
          <cell r="A833">
            <v>7032</v>
          </cell>
          <cell r="B833" t="str">
            <v>Sporting and recreational camps</v>
          </cell>
        </row>
        <row r="834">
          <cell r="A834">
            <v>7033</v>
          </cell>
          <cell r="B834" t="str">
            <v>Trailer parks and campsites</v>
          </cell>
        </row>
        <row r="835">
          <cell r="A835">
            <v>7041</v>
          </cell>
          <cell r="B835" t="str">
            <v>Membership-basis organization hotels</v>
          </cell>
        </row>
        <row r="836">
          <cell r="A836">
            <v>7211</v>
          </cell>
          <cell r="B836" t="str">
            <v>Power laundries, family and commercial</v>
          </cell>
        </row>
        <row r="837">
          <cell r="A837">
            <v>7212</v>
          </cell>
          <cell r="B837" t="str">
            <v>Garment pressing and cleaners' agents</v>
          </cell>
        </row>
        <row r="838">
          <cell r="A838">
            <v>7213</v>
          </cell>
          <cell r="B838" t="str">
            <v>Linen supply</v>
          </cell>
        </row>
        <row r="839">
          <cell r="A839">
            <v>7215</v>
          </cell>
          <cell r="B839" t="str">
            <v>Coin-operated laundries and cleaning</v>
          </cell>
        </row>
        <row r="840">
          <cell r="A840">
            <v>7216</v>
          </cell>
          <cell r="B840" t="str">
            <v>Drycleaning plants, except rugs</v>
          </cell>
        </row>
        <row r="841">
          <cell r="A841">
            <v>7217</v>
          </cell>
          <cell r="B841" t="str">
            <v>Carpet and upholstery cleaning</v>
          </cell>
        </row>
        <row r="842">
          <cell r="A842">
            <v>7218</v>
          </cell>
          <cell r="B842" t="str">
            <v>Industrial launderers</v>
          </cell>
        </row>
        <row r="843">
          <cell r="A843">
            <v>7219</v>
          </cell>
          <cell r="B843" t="str">
            <v>Laundry and garment services, nec</v>
          </cell>
        </row>
        <row r="844">
          <cell r="A844">
            <v>7221</v>
          </cell>
          <cell r="B844" t="str">
            <v>Photographic studios, portrait</v>
          </cell>
        </row>
        <row r="845">
          <cell r="A845">
            <v>7231</v>
          </cell>
          <cell r="B845" t="str">
            <v>Beauty shops</v>
          </cell>
        </row>
        <row r="846">
          <cell r="A846">
            <v>7241</v>
          </cell>
          <cell r="B846" t="str">
            <v>Barber shops</v>
          </cell>
        </row>
        <row r="847">
          <cell r="A847">
            <v>7251</v>
          </cell>
          <cell r="B847" t="str">
            <v>Shoe repair and shoeshine parlors</v>
          </cell>
        </row>
        <row r="848">
          <cell r="A848">
            <v>7261</v>
          </cell>
          <cell r="B848" t="str">
            <v>Funeral service and crematories</v>
          </cell>
        </row>
        <row r="849">
          <cell r="A849">
            <v>7291</v>
          </cell>
          <cell r="B849" t="str">
            <v>Tax return preparation services</v>
          </cell>
        </row>
        <row r="850">
          <cell r="A850">
            <v>7299</v>
          </cell>
          <cell r="B850" t="str">
            <v>Miscellaneous personal services</v>
          </cell>
        </row>
        <row r="851">
          <cell r="A851">
            <v>7311</v>
          </cell>
          <cell r="B851" t="str">
            <v>Advertising agencies</v>
          </cell>
        </row>
        <row r="852">
          <cell r="A852">
            <v>7312</v>
          </cell>
          <cell r="B852" t="str">
            <v>Outdoor advertising services</v>
          </cell>
        </row>
        <row r="853">
          <cell r="A853">
            <v>7313</v>
          </cell>
          <cell r="B853" t="str">
            <v>Radio, television, publisher representatives</v>
          </cell>
        </row>
        <row r="854">
          <cell r="A854">
            <v>7319</v>
          </cell>
          <cell r="B854" t="str">
            <v>Advertising, nec</v>
          </cell>
        </row>
        <row r="855">
          <cell r="A855">
            <v>7322</v>
          </cell>
          <cell r="B855" t="str">
            <v>Adjustment and collection services</v>
          </cell>
        </row>
        <row r="856">
          <cell r="A856">
            <v>7323</v>
          </cell>
          <cell r="B856" t="str">
            <v>Credit reporting services</v>
          </cell>
        </row>
        <row r="857">
          <cell r="A857">
            <v>7331</v>
          </cell>
          <cell r="B857" t="str">
            <v>Direct mail advertising services</v>
          </cell>
        </row>
        <row r="858">
          <cell r="A858">
            <v>7334</v>
          </cell>
          <cell r="B858" t="str">
            <v>Photocopying and duplicating services</v>
          </cell>
        </row>
        <row r="859">
          <cell r="A859">
            <v>7335</v>
          </cell>
          <cell r="B859" t="str">
            <v>Commercial photography</v>
          </cell>
        </row>
        <row r="860">
          <cell r="A860">
            <v>7336</v>
          </cell>
          <cell r="B860" t="str">
            <v>Commercial art and graphic design</v>
          </cell>
        </row>
        <row r="861">
          <cell r="A861">
            <v>7338</v>
          </cell>
          <cell r="B861" t="str">
            <v>Secretarial and court reporting</v>
          </cell>
        </row>
        <row r="862">
          <cell r="A862">
            <v>7342</v>
          </cell>
          <cell r="B862" t="str">
            <v>Disinfecting and pest control services</v>
          </cell>
        </row>
        <row r="863">
          <cell r="A863">
            <v>7349</v>
          </cell>
          <cell r="B863" t="str">
            <v>Building maintenance services, nec</v>
          </cell>
        </row>
        <row r="864">
          <cell r="A864">
            <v>7352</v>
          </cell>
          <cell r="B864" t="str">
            <v>Medical equipment rental</v>
          </cell>
        </row>
        <row r="865">
          <cell r="A865">
            <v>7353</v>
          </cell>
          <cell r="B865" t="str">
            <v>Heavy construction equipment rental</v>
          </cell>
        </row>
        <row r="866">
          <cell r="A866">
            <v>7359</v>
          </cell>
          <cell r="B866" t="str">
            <v>Equipment rental and leasing, nec</v>
          </cell>
        </row>
        <row r="867">
          <cell r="A867">
            <v>7361</v>
          </cell>
          <cell r="B867" t="str">
            <v>Employment agencies</v>
          </cell>
        </row>
        <row r="868">
          <cell r="A868">
            <v>7363</v>
          </cell>
          <cell r="B868" t="str">
            <v>Help supply services</v>
          </cell>
        </row>
        <row r="869">
          <cell r="A869">
            <v>7371</v>
          </cell>
          <cell r="B869" t="str">
            <v>Custom computer programming services</v>
          </cell>
        </row>
        <row r="870">
          <cell r="A870">
            <v>7372</v>
          </cell>
          <cell r="B870" t="str">
            <v>Prepackaged software</v>
          </cell>
        </row>
        <row r="871">
          <cell r="A871">
            <v>7373</v>
          </cell>
          <cell r="B871" t="str">
            <v>Computer integrated systems design</v>
          </cell>
        </row>
        <row r="872">
          <cell r="A872">
            <v>7374</v>
          </cell>
          <cell r="B872" t="str">
            <v>Data processing and preparation</v>
          </cell>
        </row>
        <row r="873">
          <cell r="A873">
            <v>7375</v>
          </cell>
          <cell r="B873" t="str">
            <v>Information retrieval services</v>
          </cell>
        </row>
        <row r="874">
          <cell r="A874">
            <v>7376</v>
          </cell>
          <cell r="B874" t="str">
            <v>Computer facilities management</v>
          </cell>
        </row>
        <row r="875">
          <cell r="A875">
            <v>7377</v>
          </cell>
          <cell r="B875" t="str">
            <v>Computer rental and leasing</v>
          </cell>
        </row>
        <row r="876">
          <cell r="A876">
            <v>7378</v>
          </cell>
          <cell r="B876" t="str">
            <v>Computer maintenance and repair</v>
          </cell>
        </row>
        <row r="877">
          <cell r="A877">
            <v>7379</v>
          </cell>
          <cell r="B877" t="str">
            <v>Computer related services, nec</v>
          </cell>
        </row>
        <row r="878">
          <cell r="A878">
            <v>7381</v>
          </cell>
          <cell r="B878" t="str">
            <v>Detective and armored car services</v>
          </cell>
        </row>
        <row r="879">
          <cell r="A879">
            <v>7382</v>
          </cell>
          <cell r="B879" t="str">
            <v>Security systems services</v>
          </cell>
        </row>
        <row r="880">
          <cell r="A880">
            <v>7383</v>
          </cell>
          <cell r="B880" t="str">
            <v>News syndicates</v>
          </cell>
        </row>
        <row r="881">
          <cell r="A881">
            <v>7384</v>
          </cell>
          <cell r="B881" t="str">
            <v>Photofinish laboratories</v>
          </cell>
        </row>
        <row r="882">
          <cell r="A882">
            <v>7389</v>
          </cell>
          <cell r="B882" t="str">
            <v>Business services, nec</v>
          </cell>
        </row>
        <row r="883">
          <cell r="A883">
            <v>7513</v>
          </cell>
          <cell r="B883" t="str">
            <v>Truck rental and leasing, without drivers</v>
          </cell>
        </row>
        <row r="884">
          <cell r="A884">
            <v>7514</v>
          </cell>
          <cell r="B884" t="str">
            <v>Passenger car rental</v>
          </cell>
        </row>
        <row r="885">
          <cell r="A885">
            <v>7515</v>
          </cell>
          <cell r="B885" t="str">
            <v>Passenger car leasing</v>
          </cell>
        </row>
        <row r="886">
          <cell r="A886">
            <v>7519</v>
          </cell>
          <cell r="B886" t="str">
            <v>Utility trailer rental</v>
          </cell>
        </row>
        <row r="887">
          <cell r="A887">
            <v>7521</v>
          </cell>
          <cell r="B887" t="str">
            <v>Automobile parking</v>
          </cell>
        </row>
        <row r="888">
          <cell r="A888">
            <v>7532</v>
          </cell>
          <cell r="B888" t="str">
            <v>Top and body repair and paint shops</v>
          </cell>
        </row>
        <row r="889">
          <cell r="A889">
            <v>7533</v>
          </cell>
          <cell r="B889" t="str">
            <v>Auto exhaust system repair shops</v>
          </cell>
        </row>
        <row r="890">
          <cell r="A890">
            <v>7534</v>
          </cell>
          <cell r="B890" t="str">
            <v>Tire retreading and repair shops</v>
          </cell>
        </row>
        <row r="891">
          <cell r="A891">
            <v>7536</v>
          </cell>
          <cell r="B891" t="str">
            <v>Automotive glass replacement shops</v>
          </cell>
        </row>
        <row r="892">
          <cell r="A892">
            <v>7537</v>
          </cell>
          <cell r="B892" t="str">
            <v>Automotive transmission repair shops</v>
          </cell>
        </row>
        <row r="893">
          <cell r="A893">
            <v>7538</v>
          </cell>
          <cell r="B893" t="str">
            <v>General automotive repair shops</v>
          </cell>
        </row>
        <row r="894">
          <cell r="A894">
            <v>7539</v>
          </cell>
          <cell r="B894" t="str">
            <v>Automotive repair shops, nec</v>
          </cell>
        </row>
        <row r="895">
          <cell r="A895">
            <v>7542</v>
          </cell>
          <cell r="B895" t="str">
            <v>Carwashes</v>
          </cell>
        </row>
        <row r="896">
          <cell r="A896">
            <v>7549</v>
          </cell>
          <cell r="B896" t="str">
            <v>Automotive services, nec</v>
          </cell>
        </row>
        <row r="897">
          <cell r="A897">
            <v>7622</v>
          </cell>
          <cell r="B897" t="str">
            <v>Radio and television repair</v>
          </cell>
        </row>
        <row r="898">
          <cell r="A898">
            <v>7623</v>
          </cell>
          <cell r="B898" t="str">
            <v>Refrigeration service and repair</v>
          </cell>
        </row>
        <row r="899">
          <cell r="A899">
            <v>7629</v>
          </cell>
          <cell r="B899" t="str">
            <v>Electrical repair shops</v>
          </cell>
        </row>
        <row r="900">
          <cell r="A900">
            <v>7631</v>
          </cell>
          <cell r="B900" t="str">
            <v>Watch, clock, and jewelry repair</v>
          </cell>
        </row>
        <row r="901">
          <cell r="A901">
            <v>7641</v>
          </cell>
          <cell r="B901" t="str">
            <v>Reupholstery and furniture repair</v>
          </cell>
        </row>
        <row r="902">
          <cell r="A902">
            <v>7692</v>
          </cell>
          <cell r="B902" t="str">
            <v>Welding repair</v>
          </cell>
        </row>
        <row r="903">
          <cell r="A903">
            <v>7694</v>
          </cell>
          <cell r="B903" t="str">
            <v>Armature rewinding shops</v>
          </cell>
        </row>
        <row r="904">
          <cell r="A904">
            <v>7699</v>
          </cell>
          <cell r="B904" t="str">
            <v>Repair services, nec</v>
          </cell>
        </row>
        <row r="905">
          <cell r="A905">
            <v>7812</v>
          </cell>
          <cell r="B905" t="str">
            <v>Motion picture and video production</v>
          </cell>
        </row>
        <row r="906">
          <cell r="A906">
            <v>7819</v>
          </cell>
          <cell r="B906" t="str">
            <v>Services allied to motion pictures</v>
          </cell>
        </row>
        <row r="907">
          <cell r="A907">
            <v>7822</v>
          </cell>
          <cell r="B907" t="str">
            <v>Motion picture and tape distribution</v>
          </cell>
        </row>
        <row r="908">
          <cell r="A908">
            <v>7829</v>
          </cell>
          <cell r="B908" t="str">
            <v>Motion picture distribution services</v>
          </cell>
        </row>
        <row r="909">
          <cell r="A909">
            <v>7832</v>
          </cell>
          <cell r="B909" t="str">
            <v>Motion picture theaters, except drive-in</v>
          </cell>
        </row>
        <row r="910">
          <cell r="A910">
            <v>7833</v>
          </cell>
          <cell r="B910" t="str">
            <v>Drive-in motion picture theaters</v>
          </cell>
        </row>
        <row r="911">
          <cell r="A911">
            <v>7841</v>
          </cell>
          <cell r="B911" t="str">
            <v>Video tape rental</v>
          </cell>
        </row>
        <row r="912">
          <cell r="A912">
            <v>7911</v>
          </cell>
          <cell r="B912" t="str">
            <v>Dance studios, schools, and halls</v>
          </cell>
        </row>
        <row r="913">
          <cell r="A913">
            <v>7922</v>
          </cell>
          <cell r="B913" t="str">
            <v>Theatrical producers and services</v>
          </cell>
        </row>
        <row r="914">
          <cell r="A914">
            <v>7929</v>
          </cell>
          <cell r="B914" t="str">
            <v>Entertainers and entertainment groups</v>
          </cell>
        </row>
        <row r="915">
          <cell r="A915">
            <v>7933</v>
          </cell>
          <cell r="B915" t="str">
            <v>Bowling centers</v>
          </cell>
        </row>
        <row r="916">
          <cell r="A916">
            <v>7941</v>
          </cell>
          <cell r="B916" t="str">
            <v>Sports clubs, managers, and promoters</v>
          </cell>
        </row>
        <row r="917">
          <cell r="A917">
            <v>7948</v>
          </cell>
          <cell r="B917" t="str">
            <v>Racing, including track operation</v>
          </cell>
        </row>
        <row r="918">
          <cell r="A918">
            <v>7991</v>
          </cell>
          <cell r="B918" t="str">
            <v>Physical fitness facilities</v>
          </cell>
        </row>
        <row r="919">
          <cell r="A919">
            <v>7992</v>
          </cell>
          <cell r="B919" t="str">
            <v>Public golf courses</v>
          </cell>
        </row>
        <row r="920">
          <cell r="A920">
            <v>7993</v>
          </cell>
          <cell r="B920" t="str">
            <v>Coin-operated amusement devices</v>
          </cell>
        </row>
        <row r="921">
          <cell r="A921">
            <v>7996</v>
          </cell>
          <cell r="B921" t="str">
            <v>Amusement parks</v>
          </cell>
        </row>
        <row r="922">
          <cell r="A922">
            <v>7997</v>
          </cell>
          <cell r="B922" t="str">
            <v>Membership sports and recreation clubs</v>
          </cell>
        </row>
        <row r="923">
          <cell r="A923">
            <v>7999</v>
          </cell>
          <cell r="B923" t="str">
            <v>Amusement and recreation, nec</v>
          </cell>
        </row>
        <row r="924">
          <cell r="A924">
            <v>8011</v>
          </cell>
          <cell r="B924" t="str">
            <v>Offices and clinics of medical doctors</v>
          </cell>
        </row>
        <row r="925">
          <cell r="A925">
            <v>8021</v>
          </cell>
          <cell r="B925" t="str">
            <v>Offices and clinics of dentists</v>
          </cell>
        </row>
        <row r="926">
          <cell r="A926">
            <v>8031</v>
          </cell>
          <cell r="B926" t="str">
            <v>Offices and clinics of osteopathic physicians</v>
          </cell>
        </row>
        <row r="927">
          <cell r="A927">
            <v>8041</v>
          </cell>
          <cell r="B927" t="str">
            <v>Offices and clinics of chiropractors</v>
          </cell>
        </row>
        <row r="928">
          <cell r="A928">
            <v>8042</v>
          </cell>
          <cell r="B928" t="str">
            <v>Offices and clinics of optometrists</v>
          </cell>
        </row>
        <row r="929">
          <cell r="A929">
            <v>8043</v>
          </cell>
          <cell r="B929" t="str">
            <v>Offices and clinics of podiatrists</v>
          </cell>
        </row>
        <row r="930">
          <cell r="A930">
            <v>8049</v>
          </cell>
          <cell r="B930" t="str">
            <v>Offices of health practitioner</v>
          </cell>
        </row>
        <row r="931">
          <cell r="A931">
            <v>8051</v>
          </cell>
          <cell r="B931" t="str">
            <v>Skilled nursing care facilities</v>
          </cell>
        </row>
        <row r="932">
          <cell r="A932">
            <v>8052</v>
          </cell>
          <cell r="B932" t="str">
            <v>Intermediate care facilities</v>
          </cell>
        </row>
        <row r="933">
          <cell r="A933">
            <v>8059</v>
          </cell>
          <cell r="B933" t="str">
            <v>Nursing and personal care, nec</v>
          </cell>
        </row>
        <row r="934">
          <cell r="A934">
            <v>8062</v>
          </cell>
          <cell r="B934" t="str">
            <v>General medical and surgical hospitals</v>
          </cell>
        </row>
        <row r="935">
          <cell r="A935">
            <v>8063</v>
          </cell>
          <cell r="B935" t="str">
            <v>Psychiatric hospitals</v>
          </cell>
        </row>
        <row r="936">
          <cell r="A936">
            <v>8069</v>
          </cell>
          <cell r="B936" t="str">
            <v>Specialty hospitals, except psychiatric</v>
          </cell>
        </row>
        <row r="937">
          <cell r="A937">
            <v>8071</v>
          </cell>
          <cell r="B937" t="str">
            <v>Medical laboratories</v>
          </cell>
        </row>
        <row r="938">
          <cell r="A938">
            <v>8072</v>
          </cell>
          <cell r="B938" t="str">
            <v>Dental laboratories</v>
          </cell>
        </row>
        <row r="939">
          <cell r="A939">
            <v>8082</v>
          </cell>
          <cell r="B939" t="str">
            <v>Home health care services</v>
          </cell>
        </row>
        <row r="940">
          <cell r="A940">
            <v>8092</v>
          </cell>
          <cell r="B940" t="str">
            <v>Kidney dialysis centers</v>
          </cell>
        </row>
        <row r="941">
          <cell r="A941">
            <v>8093</v>
          </cell>
          <cell r="B941" t="str">
            <v>Specialty outpatient clinics, nec</v>
          </cell>
        </row>
        <row r="942">
          <cell r="A942">
            <v>8099</v>
          </cell>
          <cell r="B942" t="str">
            <v>Health and allied services, nec</v>
          </cell>
        </row>
        <row r="943">
          <cell r="A943">
            <v>8111</v>
          </cell>
          <cell r="B943" t="str">
            <v>Legal services</v>
          </cell>
        </row>
        <row r="944">
          <cell r="A944">
            <v>8211</v>
          </cell>
          <cell r="B944" t="str">
            <v>Elementary and secondary schools</v>
          </cell>
        </row>
        <row r="945">
          <cell r="A945">
            <v>8221</v>
          </cell>
          <cell r="B945" t="str">
            <v>Colleges and universities</v>
          </cell>
        </row>
        <row r="946">
          <cell r="A946">
            <v>8222</v>
          </cell>
          <cell r="B946" t="str">
            <v>Junior colleges</v>
          </cell>
        </row>
        <row r="947">
          <cell r="A947">
            <v>8231</v>
          </cell>
          <cell r="B947" t="str">
            <v>Libraries</v>
          </cell>
        </row>
        <row r="948">
          <cell r="A948">
            <v>8243</v>
          </cell>
          <cell r="B948" t="str">
            <v>Data processing schools</v>
          </cell>
        </row>
        <row r="949">
          <cell r="A949">
            <v>8244</v>
          </cell>
          <cell r="B949" t="str">
            <v>Business and secretarial schools</v>
          </cell>
        </row>
        <row r="950">
          <cell r="A950">
            <v>8249</v>
          </cell>
          <cell r="B950" t="str">
            <v>Vocational schools, nec</v>
          </cell>
        </row>
        <row r="951">
          <cell r="A951">
            <v>8299</v>
          </cell>
          <cell r="B951" t="str">
            <v>Schools and educational services</v>
          </cell>
        </row>
        <row r="952">
          <cell r="A952">
            <v>8322</v>
          </cell>
          <cell r="B952" t="str">
            <v>Individual and family services</v>
          </cell>
        </row>
        <row r="953">
          <cell r="A953">
            <v>8331</v>
          </cell>
          <cell r="B953" t="str">
            <v>Job training and related services</v>
          </cell>
        </row>
        <row r="954">
          <cell r="A954">
            <v>8351</v>
          </cell>
          <cell r="B954" t="str">
            <v>Child day care services</v>
          </cell>
        </row>
        <row r="955">
          <cell r="A955">
            <v>8361</v>
          </cell>
          <cell r="B955" t="str">
            <v>Residential care</v>
          </cell>
        </row>
        <row r="956">
          <cell r="A956">
            <v>8399</v>
          </cell>
          <cell r="B956" t="str">
            <v>Social services, nec</v>
          </cell>
        </row>
        <row r="957">
          <cell r="A957">
            <v>8412</v>
          </cell>
          <cell r="B957" t="str">
            <v>Museums and art galleries</v>
          </cell>
        </row>
        <row r="958">
          <cell r="A958">
            <v>8422</v>
          </cell>
          <cell r="B958" t="str">
            <v>Botanical and zoological gardens</v>
          </cell>
        </row>
        <row r="959">
          <cell r="A959">
            <v>8611</v>
          </cell>
          <cell r="B959" t="str">
            <v>Business associations</v>
          </cell>
        </row>
        <row r="960">
          <cell r="A960">
            <v>8621</v>
          </cell>
          <cell r="B960" t="str">
            <v>Professional organizations</v>
          </cell>
        </row>
        <row r="961">
          <cell r="A961">
            <v>8631</v>
          </cell>
          <cell r="B961" t="str">
            <v>Labor organizations</v>
          </cell>
        </row>
        <row r="962">
          <cell r="A962">
            <v>8641</v>
          </cell>
          <cell r="B962" t="str">
            <v>Civic and social associations</v>
          </cell>
        </row>
        <row r="963">
          <cell r="A963">
            <v>8651</v>
          </cell>
          <cell r="B963" t="str">
            <v>Political organizations</v>
          </cell>
        </row>
        <row r="964">
          <cell r="A964">
            <v>8661</v>
          </cell>
          <cell r="B964" t="str">
            <v>Religious organizations</v>
          </cell>
        </row>
        <row r="965">
          <cell r="A965">
            <v>8699</v>
          </cell>
          <cell r="B965" t="str">
            <v>Membership organizations, nec</v>
          </cell>
        </row>
        <row r="966">
          <cell r="A966">
            <v>8711</v>
          </cell>
          <cell r="B966" t="str">
            <v>Engineering services</v>
          </cell>
        </row>
        <row r="967">
          <cell r="A967">
            <v>8712</v>
          </cell>
          <cell r="B967" t="str">
            <v>Architectural services</v>
          </cell>
        </row>
        <row r="968">
          <cell r="A968">
            <v>8713</v>
          </cell>
          <cell r="B968" t="str">
            <v>Surveying services</v>
          </cell>
        </row>
        <row r="969">
          <cell r="A969">
            <v>8721</v>
          </cell>
          <cell r="B969" t="str">
            <v>Accounting, auditing, and bookkeeping</v>
          </cell>
        </row>
        <row r="970">
          <cell r="A970">
            <v>8731</v>
          </cell>
          <cell r="B970" t="str">
            <v>Commercial physical research</v>
          </cell>
        </row>
        <row r="971">
          <cell r="A971">
            <v>8732</v>
          </cell>
          <cell r="B971" t="str">
            <v>Commercial nonphysical research</v>
          </cell>
        </row>
        <row r="972">
          <cell r="A972">
            <v>8733</v>
          </cell>
          <cell r="B972" t="str">
            <v>Noncommercial research organizations</v>
          </cell>
        </row>
        <row r="973">
          <cell r="A973">
            <v>8734</v>
          </cell>
          <cell r="B973" t="str">
            <v>Testing laboratories</v>
          </cell>
        </row>
        <row r="974">
          <cell r="A974">
            <v>8741</v>
          </cell>
          <cell r="B974" t="str">
            <v>Management services</v>
          </cell>
        </row>
        <row r="975">
          <cell r="A975">
            <v>8742</v>
          </cell>
          <cell r="B975" t="str">
            <v>Management consulting services</v>
          </cell>
        </row>
        <row r="976">
          <cell r="A976">
            <v>8743</v>
          </cell>
          <cell r="B976" t="str">
            <v>Public relations services</v>
          </cell>
        </row>
        <row r="977">
          <cell r="A977">
            <v>8744</v>
          </cell>
          <cell r="B977" t="str">
            <v>Facilities support services</v>
          </cell>
        </row>
        <row r="978">
          <cell r="A978">
            <v>8748</v>
          </cell>
          <cell r="B978" t="str">
            <v>Business consulting, nec</v>
          </cell>
        </row>
        <row r="979">
          <cell r="A979">
            <v>8811</v>
          </cell>
          <cell r="B979" t="str">
            <v>Private households</v>
          </cell>
        </row>
        <row r="980">
          <cell r="A980">
            <v>8999</v>
          </cell>
          <cell r="B980" t="str">
            <v>Services, nec</v>
          </cell>
        </row>
        <row r="981">
          <cell r="A981">
            <v>9111</v>
          </cell>
          <cell r="B981" t="str">
            <v>Executive offices</v>
          </cell>
        </row>
        <row r="982">
          <cell r="A982">
            <v>9121</v>
          </cell>
          <cell r="B982" t="str">
            <v>Legislative bodies</v>
          </cell>
        </row>
        <row r="983">
          <cell r="A983">
            <v>9131</v>
          </cell>
          <cell r="B983" t="str">
            <v>Executive and legislative combined</v>
          </cell>
        </row>
        <row r="984">
          <cell r="A984">
            <v>9199</v>
          </cell>
          <cell r="B984" t="str">
            <v>General government, nec</v>
          </cell>
        </row>
        <row r="985">
          <cell r="A985">
            <v>9211</v>
          </cell>
          <cell r="B985" t="str">
            <v>Courts</v>
          </cell>
        </row>
        <row r="986">
          <cell r="A986">
            <v>9221</v>
          </cell>
          <cell r="B986" t="str">
            <v>Police protection</v>
          </cell>
        </row>
        <row r="987">
          <cell r="A987">
            <v>9222</v>
          </cell>
          <cell r="B987" t="str">
            <v>Legal counsel and prosecution</v>
          </cell>
        </row>
        <row r="988">
          <cell r="A988">
            <v>9223</v>
          </cell>
          <cell r="B988" t="str">
            <v>Correctional institutions</v>
          </cell>
        </row>
        <row r="989">
          <cell r="A989">
            <v>9224</v>
          </cell>
          <cell r="B989" t="str">
            <v>Fire protection</v>
          </cell>
        </row>
        <row r="990">
          <cell r="A990">
            <v>9229</v>
          </cell>
          <cell r="B990" t="str">
            <v>Public order and safety, nec</v>
          </cell>
        </row>
        <row r="991">
          <cell r="A991">
            <v>9311</v>
          </cell>
          <cell r="B991" t="str">
            <v>Finance, taxation, and monetary policy</v>
          </cell>
        </row>
        <row r="992">
          <cell r="A992">
            <v>9411</v>
          </cell>
          <cell r="B992" t="str">
            <v>Administration of educational programs</v>
          </cell>
        </row>
        <row r="993">
          <cell r="A993">
            <v>9431</v>
          </cell>
          <cell r="B993" t="str">
            <v>Administration of public health programs</v>
          </cell>
        </row>
        <row r="994">
          <cell r="A994">
            <v>9441</v>
          </cell>
          <cell r="B994" t="str">
            <v>Administration of social and manpower programs</v>
          </cell>
        </row>
        <row r="995">
          <cell r="A995">
            <v>9451</v>
          </cell>
          <cell r="B995" t="str">
            <v>Administration of veterans' affairs</v>
          </cell>
        </row>
        <row r="996">
          <cell r="A996">
            <v>9511</v>
          </cell>
          <cell r="B996" t="str">
            <v>Air, water, and solid waste management</v>
          </cell>
        </row>
        <row r="997">
          <cell r="A997">
            <v>9512</v>
          </cell>
          <cell r="B997" t="str">
            <v>Land, mineral, and wildlife conservation</v>
          </cell>
        </row>
        <row r="998">
          <cell r="A998">
            <v>9531</v>
          </cell>
          <cell r="B998" t="str">
            <v>Housing programs</v>
          </cell>
        </row>
        <row r="999">
          <cell r="A999">
            <v>9532</v>
          </cell>
          <cell r="B999" t="str">
            <v>Urban and community development</v>
          </cell>
        </row>
        <row r="1000">
          <cell r="A1000">
            <v>9611</v>
          </cell>
          <cell r="B1000" t="str">
            <v>Administration of general economic programs</v>
          </cell>
        </row>
        <row r="1001">
          <cell r="A1001">
            <v>9621</v>
          </cell>
          <cell r="B1001" t="str">
            <v>Regulation, administration of transportation</v>
          </cell>
        </row>
        <row r="1002">
          <cell r="A1002">
            <v>9631</v>
          </cell>
          <cell r="B1002" t="str">
            <v>Regulation, administration of utilities</v>
          </cell>
        </row>
        <row r="1003">
          <cell r="A1003">
            <v>9641</v>
          </cell>
          <cell r="B1003" t="str">
            <v>Regulation of agricultural marketing</v>
          </cell>
        </row>
        <row r="1004">
          <cell r="A1004">
            <v>9651</v>
          </cell>
          <cell r="B1004" t="str">
            <v>Regulation, miscellaneous commercial sectors</v>
          </cell>
        </row>
        <row r="1005">
          <cell r="A1005">
            <v>9661</v>
          </cell>
          <cell r="B1005" t="str">
            <v>Space research and technology</v>
          </cell>
        </row>
        <row r="1006">
          <cell r="A1006">
            <v>9711</v>
          </cell>
          <cell r="B1006" t="str">
            <v>National security</v>
          </cell>
        </row>
        <row r="1007">
          <cell r="A1007">
            <v>9721</v>
          </cell>
          <cell r="B1007" t="str">
            <v>International affairs</v>
          </cell>
        </row>
        <row r="1008">
          <cell r="A1008">
            <v>9999</v>
          </cell>
          <cell r="B1008" t="str">
            <v>Nonclassifiable establishments</v>
          </cell>
        </row>
      </sheetData>
      <sheetData sheetId="35"/>
      <sheetData sheetId="3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Input"/>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82DE-C981-4565-886E-84CD900D7DEB}">
  <sheetPr codeName="Sheet1"/>
  <dimension ref="A1:S20"/>
  <sheetViews>
    <sheetView topLeftCell="A7" workbookViewId="0">
      <selection activeCell="G8" sqref="G8"/>
    </sheetView>
  </sheetViews>
  <sheetFormatPr defaultColWidth="8.73046875" defaultRowHeight="12.75" x14ac:dyDescent="0.35"/>
  <cols>
    <col min="1" max="1" width="2.73046875" style="28" customWidth="1"/>
    <col min="2" max="2" width="3.06640625" style="28" customWidth="1"/>
    <col min="3" max="16384" width="8.73046875" style="28"/>
  </cols>
  <sheetData>
    <row r="1" spans="1:19" ht="16.5" x14ac:dyDescent="0.6">
      <c r="A1" s="29"/>
      <c r="B1" s="29"/>
      <c r="C1" s="29"/>
      <c r="D1" s="29"/>
      <c r="E1" s="29"/>
      <c r="F1" s="29"/>
      <c r="G1" s="29"/>
      <c r="H1" s="29"/>
      <c r="I1" s="29"/>
      <c r="J1" s="29"/>
      <c r="K1" s="29"/>
      <c r="L1" s="29"/>
      <c r="M1" s="29"/>
      <c r="N1" s="29"/>
      <c r="O1" s="29"/>
      <c r="P1" s="29"/>
      <c r="Q1" s="29"/>
      <c r="R1" s="29"/>
      <c r="S1" s="29"/>
    </row>
    <row r="2" spans="1:19" ht="34.5" x14ac:dyDescent="1.1499999999999999">
      <c r="A2" s="29"/>
      <c r="B2" s="27" t="s">
        <v>2985</v>
      </c>
      <c r="C2" s="29"/>
      <c r="D2" s="29"/>
      <c r="E2" s="29"/>
      <c r="F2" s="29"/>
      <c r="G2" s="29"/>
      <c r="H2" s="29"/>
      <c r="I2" s="29"/>
      <c r="J2" s="29"/>
      <c r="K2" s="29"/>
      <c r="L2" s="29"/>
      <c r="M2" s="29"/>
      <c r="N2" s="29"/>
      <c r="O2" s="29"/>
      <c r="P2" s="29"/>
      <c r="Q2" s="29"/>
      <c r="R2" s="29"/>
      <c r="S2" s="29"/>
    </row>
    <row r="3" spans="1:19" ht="16.5" x14ac:dyDescent="0.6">
      <c r="A3" s="29"/>
      <c r="B3" s="29"/>
      <c r="C3" s="29"/>
      <c r="D3" s="29"/>
      <c r="E3" s="29"/>
      <c r="F3" s="29"/>
      <c r="G3" s="29"/>
      <c r="H3" s="29"/>
      <c r="I3" s="29"/>
      <c r="J3" s="29"/>
      <c r="K3" s="29"/>
      <c r="L3" s="29"/>
      <c r="M3" s="29"/>
      <c r="N3" s="29"/>
      <c r="O3" s="29"/>
      <c r="P3" s="29"/>
      <c r="Q3" s="29"/>
      <c r="R3" s="29"/>
      <c r="S3" s="29"/>
    </row>
    <row r="4" spans="1:19" ht="16.5" x14ac:dyDescent="0.6">
      <c r="A4" s="29"/>
      <c r="B4" s="35" t="s">
        <v>2986</v>
      </c>
      <c r="C4" s="29"/>
      <c r="D4" s="29"/>
      <c r="E4" s="29"/>
      <c r="F4" s="29"/>
      <c r="G4" s="29"/>
      <c r="H4" s="29"/>
      <c r="I4" s="29"/>
      <c r="J4" s="29"/>
      <c r="K4" s="29"/>
      <c r="L4" s="29"/>
      <c r="M4" s="29"/>
      <c r="N4" s="29"/>
      <c r="O4" s="29"/>
      <c r="P4" s="29"/>
      <c r="Q4" s="29"/>
      <c r="R4" s="29"/>
      <c r="S4" s="29"/>
    </row>
    <row r="5" spans="1:19" ht="16.5" x14ac:dyDescent="0.6">
      <c r="A5" s="29"/>
      <c r="B5" s="35"/>
      <c r="C5" s="29"/>
      <c r="D5" s="29"/>
      <c r="E5" s="29"/>
      <c r="F5" s="29"/>
      <c r="G5" s="29"/>
      <c r="H5" s="29"/>
      <c r="I5" s="29"/>
      <c r="J5" s="29"/>
      <c r="K5" s="29"/>
      <c r="L5" s="29"/>
      <c r="M5" s="29"/>
      <c r="N5" s="29"/>
      <c r="O5" s="29"/>
      <c r="P5" s="29"/>
      <c r="Q5" s="29"/>
      <c r="R5" s="29"/>
      <c r="S5" s="29"/>
    </row>
    <row r="6" spans="1:19" ht="16.5" x14ac:dyDescent="0.6">
      <c r="A6" s="29"/>
      <c r="B6" s="35"/>
      <c r="C6" s="29"/>
      <c r="D6" s="36"/>
      <c r="E6" s="29"/>
      <c r="F6" s="29"/>
      <c r="G6" s="29"/>
      <c r="H6" s="29"/>
      <c r="I6" s="29"/>
      <c r="J6" s="29"/>
      <c r="K6" s="29"/>
      <c r="L6" s="29"/>
      <c r="M6" s="29"/>
      <c r="N6" s="29"/>
      <c r="O6" s="29"/>
      <c r="P6" s="29"/>
      <c r="Q6" s="29"/>
      <c r="R6" s="29"/>
      <c r="S6" s="29"/>
    </row>
    <row r="7" spans="1:19" ht="16.5" x14ac:dyDescent="0.6">
      <c r="A7" s="29"/>
      <c r="B7" s="40">
        <f ca="1">IF(ISERROR(INDIRECT("'Bill Statement'!A1")),0, 100)</f>
        <v>0</v>
      </c>
      <c r="C7" s="38" t="s">
        <v>2992</v>
      </c>
      <c r="E7" s="29"/>
      <c r="F7" s="29"/>
      <c r="G7" s="29"/>
      <c r="H7" s="29"/>
      <c r="I7" s="29"/>
      <c r="J7" s="29"/>
      <c r="K7" s="29"/>
      <c r="L7" s="29"/>
      <c r="M7" s="29"/>
      <c r="N7" s="29"/>
      <c r="O7" s="29"/>
      <c r="P7" s="29"/>
      <c r="Q7" s="29"/>
      <c r="R7" s="29"/>
      <c r="S7" s="29"/>
    </row>
    <row r="8" spans="1:19" ht="16.5" x14ac:dyDescent="0.6">
      <c r="A8" s="29"/>
      <c r="B8" s="40">
        <f ca="1">IF(ISERROR(INDIRECT("'Loan Repayment Schedule'!A1")),0, 100)</f>
        <v>0</v>
      </c>
      <c r="C8" s="38" t="s">
        <v>2993</v>
      </c>
      <c r="E8" s="29"/>
      <c r="F8" s="29"/>
      <c r="G8" s="29"/>
      <c r="H8" s="29"/>
      <c r="I8" s="29"/>
      <c r="J8" s="29"/>
      <c r="K8" s="29"/>
      <c r="L8" s="29"/>
      <c r="M8" s="29"/>
      <c r="N8" s="29"/>
      <c r="O8" s="29"/>
      <c r="P8" s="29"/>
      <c r="Q8" s="29"/>
      <c r="R8" s="29"/>
      <c r="S8" s="29"/>
    </row>
    <row r="9" spans="1:19" ht="16.5" x14ac:dyDescent="0.6">
      <c r="A9" s="29"/>
      <c r="B9" s="40">
        <f ca="1">IF(ISERROR(INDIRECT("'Bank Statement'!A1")),0, 100)</f>
        <v>0</v>
      </c>
      <c r="C9" s="39" t="s">
        <v>2994</v>
      </c>
      <c r="E9" s="29"/>
      <c r="F9" s="29"/>
      <c r="G9" s="29"/>
      <c r="H9" s="29"/>
      <c r="I9" s="29"/>
      <c r="J9" s="29"/>
      <c r="K9" s="29"/>
      <c r="L9" s="29"/>
      <c r="M9" s="29"/>
      <c r="N9" s="29"/>
      <c r="O9" s="29"/>
      <c r="P9" s="29"/>
      <c r="Q9" s="29"/>
      <c r="R9" s="29"/>
      <c r="S9" s="29"/>
    </row>
    <row r="10" spans="1:19" ht="16.5" x14ac:dyDescent="0.6">
      <c r="A10" s="29"/>
      <c r="B10" s="40">
        <f ca="1">IF(ISERROR(INDIRECT("'Income Statement'!A1")),0, 100)</f>
        <v>0</v>
      </c>
      <c r="C10" s="39" t="s">
        <v>2987</v>
      </c>
      <c r="E10" s="29"/>
      <c r="F10" s="29"/>
      <c r="G10" s="29"/>
      <c r="H10" s="29"/>
      <c r="I10" s="29"/>
      <c r="J10" s="29"/>
      <c r="K10" s="29"/>
      <c r="L10" s="29"/>
      <c r="M10" s="29"/>
      <c r="N10" s="29"/>
      <c r="O10" s="29"/>
      <c r="P10" s="29"/>
      <c r="Q10" s="29"/>
      <c r="R10" s="29"/>
      <c r="S10" s="29"/>
    </row>
    <row r="11" spans="1:19" ht="16.5" x14ac:dyDescent="0.6">
      <c r="A11" s="29"/>
      <c r="B11" s="40">
        <f ca="1">IF(ISERROR(INDIRECT("'Balance Sheet'!A1")),0, 100)</f>
        <v>0</v>
      </c>
      <c r="C11" s="38" t="s">
        <v>2988</v>
      </c>
      <c r="E11" s="29"/>
      <c r="F11" s="29"/>
      <c r="G11" s="29"/>
      <c r="H11" s="29"/>
      <c r="I11" s="29"/>
      <c r="J11" s="29"/>
      <c r="K11" s="29"/>
      <c r="L11" s="29"/>
      <c r="M11" s="29"/>
      <c r="N11" s="29"/>
      <c r="O11" s="29"/>
      <c r="P11" s="29"/>
      <c r="Q11" s="29"/>
      <c r="R11" s="29"/>
      <c r="S11" s="29"/>
    </row>
    <row r="12" spans="1:19" ht="16.5" x14ac:dyDescent="0.6">
      <c r="A12" s="29"/>
      <c r="B12" s="40">
        <f ca="1">IF(ISERROR(INDIRECT("'Calculated CF'!A1")),0, 100)</f>
        <v>0</v>
      </c>
      <c r="C12" s="38" t="s">
        <v>2989</v>
      </c>
      <c r="E12" s="29"/>
      <c r="F12" s="29"/>
      <c r="G12" s="29"/>
      <c r="H12" s="29"/>
      <c r="I12" s="29"/>
      <c r="J12" s="29"/>
      <c r="K12" s="29"/>
      <c r="L12" s="29"/>
      <c r="M12" s="29"/>
      <c r="N12" s="29"/>
      <c r="O12" s="29"/>
      <c r="P12" s="29"/>
      <c r="Q12" s="29"/>
      <c r="R12" s="29"/>
      <c r="S12" s="29"/>
    </row>
    <row r="13" spans="1:19" ht="16.5" x14ac:dyDescent="0.6">
      <c r="A13" s="29"/>
      <c r="B13" s="40"/>
      <c r="C13" s="38" t="s">
        <v>2995</v>
      </c>
      <c r="E13" s="29"/>
      <c r="F13" s="29"/>
      <c r="G13" s="29"/>
      <c r="H13" s="29"/>
      <c r="I13" s="29"/>
      <c r="J13" s="29"/>
      <c r="K13" s="29"/>
      <c r="L13" s="29"/>
      <c r="M13" s="29"/>
      <c r="N13" s="29"/>
      <c r="O13" s="29"/>
      <c r="P13" s="29"/>
      <c r="Q13" s="29"/>
      <c r="R13" s="29"/>
      <c r="S13" s="29"/>
    </row>
    <row r="14" spans="1:19" ht="16.5" x14ac:dyDescent="0.6">
      <c r="A14" s="29"/>
      <c r="B14" s="40"/>
      <c r="C14" s="39" t="s">
        <v>2990</v>
      </c>
      <c r="E14" s="29"/>
      <c r="F14" s="29"/>
      <c r="G14" s="29"/>
      <c r="H14" s="29"/>
      <c r="I14" s="29"/>
      <c r="J14" s="29"/>
      <c r="K14" s="29"/>
      <c r="L14" s="29"/>
      <c r="M14" s="29"/>
      <c r="N14" s="29"/>
      <c r="O14" s="29"/>
      <c r="P14" s="29"/>
      <c r="Q14" s="29"/>
      <c r="R14" s="29"/>
      <c r="S14" s="29"/>
    </row>
    <row r="15" spans="1:19" ht="16.5" x14ac:dyDescent="0.6">
      <c r="A15" s="29"/>
      <c r="B15" s="29"/>
      <c r="C15" s="29"/>
      <c r="D15" s="29"/>
      <c r="E15" s="29"/>
      <c r="F15" s="29"/>
      <c r="G15" s="29"/>
      <c r="H15" s="29"/>
      <c r="I15" s="29"/>
      <c r="J15" s="29"/>
      <c r="K15" s="29"/>
      <c r="L15" s="29"/>
      <c r="M15" s="29"/>
      <c r="N15" s="29"/>
      <c r="O15" s="29"/>
      <c r="P15" s="29"/>
      <c r="Q15" s="29"/>
      <c r="R15" s="29"/>
      <c r="S15" s="29"/>
    </row>
    <row r="16" spans="1:19" ht="16.5" x14ac:dyDescent="0.6">
      <c r="A16" s="29"/>
      <c r="B16" s="35" t="s">
        <v>2991</v>
      </c>
      <c r="C16" s="29"/>
      <c r="D16" s="29"/>
      <c r="E16" s="29"/>
      <c r="F16" s="29"/>
      <c r="G16" s="29"/>
      <c r="H16" s="29"/>
      <c r="I16" s="29"/>
      <c r="J16" s="29"/>
      <c r="K16" s="29"/>
      <c r="L16" s="29"/>
      <c r="M16" s="29"/>
      <c r="N16" s="29"/>
      <c r="O16" s="29"/>
      <c r="P16" s="29"/>
      <c r="Q16" s="29"/>
      <c r="R16" s="29"/>
      <c r="S16" s="29"/>
    </row>
    <row r="17" spans="1:19" ht="16.5" x14ac:dyDescent="0.6">
      <c r="A17" s="29"/>
      <c r="B17" s="29" t="s">
        <v>2996</v>
      </c>
      <c r="C17" s="29"/>
      <c r="D17" s="29"/>
      <c r="E17" s="29"/>
      <c r="F17" s="29"/>
      <c r="G17" s="29"/>
      <c r="H17" s="29"/>
      <c r="I17" s="29"/>
      <c r="J17" s="29"/>
      <c r="K17" s="29"/>
      <c r="L17" s="29"/>
      <c r="M17" s="29"/>
      <c r="N17" s="29"/>
      <c r="O17" s="29"/>
      <c r="P17" s="29"/>
      <c r="Q17" s="29"/>
      <c r="R17" s="29"/>
      <c r="S17" s="29"/>
    </row>
    <row r="18" spans="1:19" ht="16.5" x14ac:dyDescent="0.6">
      <c r="A18" s="29"/>
      <c r="C18" s="29"/>
      <c r="D18" s="29"/>
      <c r="E18" s="29"/>
      <c r="F18" s="29"/>
      <c r="G18" s="29"/>
      <c r="H18" s="29"/>
      <c r="I18" s="29"/>
      <c r="J18" s="29"/>
      <c r="K18" s="29"/>
      <c r="L18" s="29"/>
      <c r="M18" s="29"/>
      <c r="N18" s="29"/>
      <c r="O18" s="29"/>
      <c r="P18" s="29"/>
      <c r="Q18" s="29"/>
      <c r="R18" s="29"/>
      <c r="S18" s="29"/>
    </row>
    <row r="19" spans="1:19" ht="16.5" x14ac:dyDescent="0.6">
      <c r="A19" s="37"/>
      <c r="B19" s="37"/>
      <c r="C19" s="37"/>
      <c r="D19" s="37"/>
      <c r="E19" s="37"/>
      <c r="F19" s="37"/>
      <c r="G19" s="37"/>
      <c r="H19" s="37"/>
      <c r="I19" s="37"/>
      <c r="J19" s="37"/>
      <c r="K19" s="37"/>
      <c r="L19" s="37"/>
      <c r="M19" s="37"/>
      <c r="N19" s="37"/>
      <c r="O19" s="37"/>
      <c r="P19" s="37"/>
      <c r="Q19" s="37"/>
      <c r="R19" s="37"/>
      <c r="S19" s="37"/>
    </row>
    <row r="20" spans="1:19" ht="16.5" x14ac:dyDescent="0.6">
      <c r="A20" s="37"/>
      <c r="B20" s="37"/>
      <c r="C20" s="37"/>
      <c r="D20" s="37"/>
      <c r="E20" s="37"/>
      <c r="F20" s="37"/>
      <c r="G20" s="37"/>
      <c r="H20" s="37"/>
      <c r="I20" s="37"/>
      <c r="J20" s="37"/>
      <c r="K20" s="37"/>
      <c r="L20" s="37"/>
      <c r="M20" s="37"/>
      <c r="N20" s="37"/>
      <c r="O20" s="37"/>
      <c r="P20" s="37"/>
      <c r="Q20" s="37"/>
      <c r="R20" s="37"/>
      <c r="S20" s="37"/>
    </row>
  </sheetData>
  <conditionalFormatting sqref="B7:B14">
    <cfRule type="iconSet" priority="1">
      <iconSet>
        <cfvo type="percent" val="0"/>
        <cfvo type="num" val="40" gte="0"/>
        <cfvo type="num" val="60" gte="0"/>
      </iconSet>
    </cfRule>
  </conditionalFormatting>
  <hyperlinks>
    <hyperlink ref="C7" location="'Bill Statement'!A1" display="'Bill Statement'!A1" xr:uid="{6122B158-5DB3-44D9-9661-36C5780491EB}"/>
    <hyperlink ref="C8" location="'Loan Repayment Schedule'!A1" display="'Loan Repayment Schedule'!A1" xr:uid="{FABC873D-09DE-4E1A-8536-285A20E8A0C9}"/>
    <hyperlink ref="C10" location="'Income Statement'!A1" display="Income Statement" xr:uid="{96003CD4-92A6-4ADA-91D7-2964D097324A}"/>
    <hyperlink ref="C11" location="'Balance Sheet'!A1" display="'Balance Sheet'!A1" xr:uid="{95406E74-940E-4D2F-8D76-D96701D90D63}"/>
    <hyperlink ref="C12" location="'Calculated CF'!A1" display="'Calculated CF'!A1" xr:uid="{B6992E27-E866-4EEE-9B4F-0938C95E9D84}"/>
    <hyperlink ref="C13" location="'User Metric'!A1" display="'User Metric'!A1" xr:uid="{34A9E8C9-3B3F-4156-817C-6A4B38F35486}"/>
    <hyperlink ref="C14" location="Summary!A1" display="Summary!A1" xr:uid="{3FFD1B57-D6BA-4F14-9956-9B68753070EB}"/>
    <hyperlink ref="C9" location="'Bank Statement'!A1" display="Bank Statement" xr:uid="{1D055EAD-AEBF-41B7-8F77-228841C97D6A}"/>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D81B5-3316-47DD-BE4F-AEC07DD8495C}">
  <sheetPr codeName="Sheet14"/>
  <dimension ref="A1:CW502"/>
  <sheetViews>
    <sheetView tabSelected="1" topLeftCell="A10" workbookViewId="0">
      <selection activeCell="E16" sqref="E16"/>
    </sheetView>
  </sheetViews>
  <sheetFormatPr defaultRowHeight="12.75" x14ac:dyDescent="0.35"/>
  <cols>
    <col min="1" max="3" width="2.796875" style="43" customWidth="1"/>
    <col min="4" max="4" width="59.3984375" style="43" customWidth="1"/>
    <col min="5" max="5" width="40.265625" style="43" customWidth="1"/>
    <col min="6" max="6" width="2.796875" style="43" customWidth="1"/>
    <col min="7" max="7" width="42.3984375" style="43" customWidth="1"/>
    <col min="8" max="8" width="56.59765625" style="43" customWidth="1"/>
    <col min="9" max="9" width="2.796875" style="43" customWidth="1"/>
    <col min="10" max="16384" width="9.06640625" style="43"/>
  </cols>
  <sheetData>
    <row r="1" spans="1:101" ht="16.5" x14ac:dyDescent="0.35">
      <c r="A1" s="41"/>
      <c r="B1" s="41"/>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row>
    <row r="2" spans="1:101" ht="16.5" x14ac:dyDescent="0.35">
      <c r="A2" s="41"/>
      <c r="B2" s="56"/>
      <c r="C2" s="56"/>
      <c r="D2" s="56"/>
      <c r="E2" s="56"/>
      <c r="F2" s="56"/>
      <c r="G2" s="4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row>
    <row r="3" spans="1:101" ht="16.5" x14ac:dyDescent="0.35">
      <c r="A3" s="41"/>
      <c r="B3" s="55"/>
      <c r="C3" s="54"/>
      <c r="D3" s="54" t="s">
        <v>2998</v>
      </c>
      <c r="E3" s="54"/>
      <c r="F3" s="54"/>
      <c r="G3" s="53"/>
      <c r="H3" s="53"/>
      <c r="I3" s="53"/>
      <c r="J3" s="41"/>
      <c r="K3" s="41"/>
      <c r="L3" s="41"/>
      <c r="M3" s="41"/>
      <c r="N3" s="41"/>
      <c r="O3" s="41"/>
      <c r="P3" s="41"/>
      <c r="Q3" s="41"/>
      <c r="R3" s="41"/>
      <c r="S3" s="41"/>
      <c r="T3" s="41"/>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row>
    <row r="4" spans="1:101" ht="16.5" x14ac:dyDescent="0.35">
      <c r="A4" s="41"/>
      <c r="B4" s="55"/>
      <c r="C4" s="54"/>
      <c r="D4" s="54" t="s">
        <v>2999</v>
      </c>
      <c r="E4" s="54"/>
      <c r="F4" s="54"/>
      <c r="G4" s="53"/>
      <c r="H4" s="53"/>
      <c r="I4" s="53"/>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c r="CQ4" s="41"/>
      <c r="CR4" s="41"/>
      <c r="CS4" s="41"/>
      <c r="CT4" s="41"/>
      <c r="CU4" s="41"/>
      <c r="CV4" s="41"/>
      <c r="CW4" s="41"/>
    </row>
    <row r="5" spans="1:101" ht="16.5" x14ac:dyDescent="0.35">
      <c r="A5" s="41"/>
      <c r="B5" s="55"/>
      <c r="C5" s="54"/>
      <c r="D5" s="41" t="s">
        <v>1982</v>
      </c>
      <c r="E5" s="41"/>
      <c r="F5" s="54"/>
      <c r="G5" s="53"/>
      <c r="H5" s="53"/>
      <c r="I5" s="53"/>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c r="CL5" s="41"/>
      <c r="CM5" s="41"/>
      <c r="CN5" s="41"/>
      <c r="CO5" s="41"/>
      <c r="CP5" s="41"/>
      <c r="CQ5" s="41"/>
      <c r="CR5" s="41"/>
      <c r="CS5" s="41"/>
      <c r="CT5" s="41"/>
      <c r="CU5" s="41"/>
      <c r="CV5" s="41"/>
      <c r="CW5" s="41"/>
    </row>
    <row r="6" spans="1:101" ht="16.5" x14ac:dyDescent="0.35">
      <c r="A6" s="41"/>
      <c r="B6" s="55"/>
      <c r="C6" s="54"/>
      <c r="D6" s="42" t="s">
        <v>3000</v>
      </c>
      <c r="E6" s="42" t="s">
        <v>3001</v>
      </c>
      <c r="F6" s="54"/>
      <c r="G6" s="53"/>
      <c r="H6" s="53"/>
      <c r="I6" s="53"/>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row>
    <row r="7" spans="1:101" ht="16.5" x14ac:dyDescent="0.35">
      <c r="A7" s="41"/>
      <c r="B7" s="55"/>
      <c r="C7" s="54"/>
      <c r="D7" s="42" t="s">
        <v>3002</v>
      </c>
      <c r="E7" s="42" t="str">
        <f>VLOOKUP('[3]Income Statement'!$E$2, [3]SIC!$A$4:$B$1008,2,FALSE)</f>
        <v>Fabricated metal products, nec</v>
      </c>
      <c r="F7" s="54"/>
      <c r="G7" s="53"/>
      <c r="H7" s="53"/>
      <c r="I7" s="53"/>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row>
    <row r="8" spans="1:101" ht="33" x14ac:dyDescent="0.35">
      <c r="A8" s="41"/>
      <c r="B8" s="55"/>
      <c r="C8" s="54"/>
      <c r="D8" s="42" t="s">
        <v>3004</v>
      </c>
      <c r="E8" s="42" t="str">
        <f>VLOOKUP('[3]Income Statement'!$E$3, [3]NAICS!$B$4:$C$2231,2,FALSE)</f>
        <v xml:space="preserve">All Other Miscellaneous Fabricated Metal Product Manufacturing </v>
      </c>
      <c r="F8" s="54"/>
      <c r="G8" s="53"/>
      <c r="H8" s="53"/>
      <c r="I8" s="53"/>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1"/>
      <c r="CV8" s="41"/>
      <c r="CW8" s="41"/>
    </row>
    <row r="9" spans="1:101" ht="16.5" x14ac:dyDescent="0.35">
      <c r="A9" s="41"/>
      <c r="B9" s="55"/>
      <c r="C9" s="54"/>
      <c r="D9" s="42" t="s">
        <v>3005</v>
      </c>
      <c r="E9" s="42" t="s">
        <v>3006</v>
      </c>
      <c r="F9" s="54"/>
      <c r="G9" s="53"/>
      <c r="H9" s="53"/>
      <c r="I9" s="53"/>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1"/>
      <c r="CR9" s="41"/>
      <c r="CS9" s="41"/>
      <c r="CT9" s="41"/>
      <c r="CU9" s="41"/>
      <c r="CV9" s="41"/>
      <c r="CW9" s="41"/>
    </row>
    <row r="10" spans="1:101" ht="16.5" x14ac:dyDescent="0.35">
      <c r="A10" s="41"/>
      <c r="B10" s="55"/>
      <c r="C10" s="54"/>
      <c r="D10" s="42" t="s">
        <v>3007</v>
      </c>
      <c r="E10" s="42" t="s">
        <v>3001</v>
      </c>
      <c r="F10" s="54"/>
      <c r="G10" s="53"/>
      <c r="H10" s="53"/>
      <c r="I10" s="53"/>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row>
    <row r="11" spans="1:101" ht="16.5" x14ac:dyDescent="0.35">
      <c r="A11" s="41"/>
      <c r="B11" s="55"/>
      <c r="C11" s="54"/>
      <c r="D11" s="42" t="s">
        <v>3008</v>
      </c>
      <c r="E11" s="42" t="s">
        <v>3001</v>
      </c>
      <c r="F11" s="54"/>
      <c r="G11" s="53"/>
      <c r="H11" s="53"/>
      <c r="I11" s="53"/>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1"/>
      <c r="CR11" s="41"/>
      <c r="CS11" s="41"/>
      <c r="CT11" s="41"/>
      <c r="CU11" s="41"/>
      <c r="CV11" s="41"/>
      <c r="CW11" s="41"/>
    </row>
    <row r="12" spans="1:101" ht="16.5" x14ac:dyDescent="0.35">
      <c r="A12" s="41"/>
      <c r="B12" s="55"/>
      <c r="C12" s="54"/>
      <c r="D12" s="42" t="s">
        <v>3009</v>
      </c>
      <c r="E12" s="42" t="s">
        <v>3001</v>
      </c>
      <c r="F12" s="54"/>
      <c r="G12" s="53"/>
      <c r="H12" s="53"/>
      <c r="I12" s="53"/>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c r="CM12" s="41"/>
      <c r="CN12" s="41"/>
      <c r="CO12" s="41"/>
      <c r="CP12" s="41"/>
      <c r="CQ12" s="41"/>
      <c r="CR12" s="41"/>
      <c r="CS12" s="41"/>
      <c r="CT12" s="41"/>
      <c r="CU12" s="41"/>
      <c r="CV12" s="41"/>
      <c r="CW12" s="41"/>
    </row>
    <row r="13" spans="1:101" ht="16.5" x14ac:dyDescent="0.35">
      <c r="A13" s="41"/>
      <c r="B13" s="55"/>
      <c r="C13" s="54"/>
      <c r="D13" s="42" t="s">
        <v>3010</v>
      </c>
      <c r="E13" s="42" t="s">
        <v>3001</v>
      </c>
      <c r="F13" s="54"/>
      <c r="G13" s="53"/>
      <c r="H13" s="53"/>
      <c r="I13" s="53"/>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row>
    <row r="14" spans="1:101" ht="16.5" x14ac:dyDescent="0.35">
      <c r="A14" s="41"/>
      <c r="B14" s="55"/>
      <c r="C14" s="54"/>
      <c r="D14" s="54"/>
      <c r="E14" s="54"/>
      <c r="F14" s="54"/>
      <c r="G14" s="53"/>
      <c r="H14" s="53"/>
      <c r="I14" s="53"/>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1"/>
      <c r="CR14" s="41"/>
      <c r="CS14" s="41"/>
      <c r="CT14" s="41"/>
      <c r="CU14" s="41"/>
      <c r="CV14" s="41"/>
      <c r="CW14" s="41"/>
    </row>
    <row r="15" spans="1:101" ht="16.5" x14ac:dyDescent="0.35">
      <c r="A15" s="41"/>
      <c r="B15" s="53"/>
      <c r="C15" s="53"/>
      <c r="D15" s="53"/>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c r="BS15" s="41"/>
      <c r="BT15" s="41"/>
      <c r="BU15" s="41"/>
      <c r="BV15" s="41"/>
      <c r="BW15" s="41"/>
      <c r="BX15" s="41"/>
      <c r="BY15" s="41"/>
      <c r="BZ15" s="41"/>
      <c r="CA15" s="41"/>
      <c r="CB15" s="41"/>
      <c r="CC15" s="41"/>
      <c r="CD15" s="41"/>
      <c r="CE15" s="41"/>
      <c r="CF15" s="41"/>
      <c r="CG15" s="41"/>
      <c r="CH15" s="41"/>
      <c r="CI15" s="41"/>
      <c r="CJ15" s="41"/>
      <c r="CK15" s="41"/>
      <c r="CL15" s="41"/>
      <c r="CM15" s="41"/>
      <c r="CN15" s="41"/>
      <c r="CO15" s="41"/>
      <c r="CP15" s="41"/>
      <c r="CQ15" s="41"/>
      <c r="CR15" s="41"/>
      <c r="CS15" s="41"/>
      <c r="CT15" s="41"/>
      <c r="CU15" s="41"/>
      <c r="CV15" s="41"/>
      <c r="CW15" s="41"/>
    </row>
    <row r="16" spans="1:101" ht="16.5" x14ac:dyDescent="0.35">
      <c r="A16" s="41"/>
      <c r="B16" s="41"/>
      <c r="C16" s="41"/>
      <c r="D16" s="53"/>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c r="BK16" s="41"/>
      <c r="BL16" s="41"/>
      <c r="BM16" s="41"/>
      <c r="BN16" s="41"/>
      <c r="BO16" s="41"/>
      <c r="BP16" s="41"/>
      <c r="BQ16" s="41"/>
      <c r="BR16" s="41"/>
      <c r="BS16" s="41"/>
      <c r="BT16" s="41"/>
      <c r="BU16" s="41"/>
      <c r="BV16" s="41"/>
      <c r="BW16" s="41"/>
      <c r="BX16" s="41"/>
      <c r="BY16" s="41"/>
      <c r="BZ16" s="41"/>
      <c r="CA16" s="41"/>
      <c r="CB16" s="41"/>
      <c r="CC16" s="41"/>
      <c r="CD16" s="41"/>
      <c r="CE16" s="41"/>
      <c r="CF16" s="41"/>
      <c r="CG16" s="41"/>
      <c r="CH16" s="41"/>
      <c r="CI16" s="41"/>
      <c r="CJ16" s="41"/>
      <c r="CK16" s="41"/>
      <c r="CL16" s="41"/>
      <c r="CM16" s="41"/>
      <c r="CN16" s="41"/>
      <c r="CO16" s="41"/>
      <c r="CP16" s="41"/>
      <c r="CQ16" s="41"/>
      <c r="CR16" s="41"/>
      <c r="CS16" s="41"/>
      <c r="CT16" s="41"/>
      <c r="CU16" s="41"/>
      <c r="CV16" s="41"/>
      <c r="CW16" s="41"/>
    </row>
    <row r="17" spans="1:101" ht="20.65" thickBot="1" x14ac:dyDescent="0.4">
      <c r="A17" s="41"/>
      <c r="B17" s="58" t="s">
        <v>2997</v>
      </c>
      <c r="C17" s="58"/>
      <c r="D17" s="58"/>
      <c r="E17" s="58"/>
      <c r="F17" s="58"/>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c r="BR17" s="41"/>
      <c r="BS17" s="41"/>
      <c r="BT17" s="41"/>
      <c r="BU17" s="41"/>
      <c r="BV17" s="41"/>
      <c r="BW17" s="41"/>
      <c r="BX17" s="41"/>
      <c r="BY17" s="41"/>
      <c r="BZ17" s="41"/>
      <c r="CA17" s="41"/>
      <c r="CB17" s="41"/>
      <c r="CC17" s="41"/>
      <c r="CD17" s="41"/>
      <c r="CE17" s="41"/>
      <c r="CF17" s="41"/>
      <c r="CG17" s="41"/>
      <c r="CH17" s="41"/>
      <c r="CI17" s="41"/>
      <c r="CJ17" s="41"/>
      <c r="CK17" s="41"/>
      <c r="CL17" s="41"/>
      <c r="CM17" s="41"/>
      <c r="CN17" s="41"/>
      <c r="CO17" s="41"/>
      <c r="CP17" s="41"/>
      <c r="CQ17" s="41"/>
      <c r="CR17" s="41"/>
      <c r="CS17" s="41"/>
      <c r="CT17" s="41"/>
      <c r="CU17" s="41"/>
      <c r="CV17" s="41"/>
      <c r="CW17" s="41"/>
    </row>
    <row r="18" spans="1:101" ht="16.899999999999999" thickBot="1" x14ac:dyDescent="0.4">
      <c r="A18" s="41"/>
      <c r="B18" s="47"/>
      <c r="C18" s="52"/>
      <c r="D18" s="51"/>
      <c r="E18" s="51"/>
      <c r="F18" s="50"/>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41"/>
      <c r="BL18" s="41"/>
      <c r="BM18" s="41"/>
      <c r="BN18" s="41"/>
      <c r="BO18" s="41"/>
      <c r="BP18" s="41"/>
      <c r="BQ18" s="41"/>
      <c r="BR18" s="41"/>
      <c r="BS18" s="41"/>
      <c r="BT18" s="41"/>
      <c r="BU18" s="41"/>
      <c r="BV18" s="41"/>
      <c r="BW18" s="41"/>
      <c r="BX18" s="41"/>
      <c r="BY18" s="41"/>
      <c r="BZ18" s="41"/>
      <c r="CA18" s="41"/>
      <c r="CB18" s="41"/>
      <c r="CC18" s="41"/>
      <c r="CD18" s="41"/>
      <c r="CE18" s="41"/>
      <c r="CF18" s="41"/>
      <c r="CG18" s="41"/>
      <c r="CH18" s="41"/>
      <c r="CI18" s="41"/>
      <c r="CJ18" s="41"/>
      <c r="CK18" s="41"/>
      <c r="CL18" s="41"/>
      <c r="CM18" s="41"/>
      <c r="CN18" s="41"/>
      <c r="CO18" s="41"/>
      <c r="CP18" s="41"/>
      <c r="CQ18" s="41"/>
      <c r="CR18" s="41"/>
      <c r="CS18" s="41"/>
      <c r="CT18" s="41"/>
      <c r="CU18" s="41"/>
      <c r="CV18" s="41"/>
      <c r="CW18" s="41"/>
    </row>
    <row r="19" spans="1:101" ht="33.4" customHeight="1" thickBot="1" x14ac:dyDescent="0.4">
      <c r="A19" s="41"/>
      <c r="B19" s="47">
        <v>1</v>
      </c>
      <c r="C19" s="49"/>
      <c r="D19" s="57" t="str">
        <f>CONCATENATE("This is a ",IF($E$6="Select from drop-down", "[]",$E$6), " client of Citi. At present, client also incorporated bank accounts in Citi for ",$E$8,"activities.")</f>
        <v>This is a [] client of Citi. At present, client also incorporated bank accounts in Citi for All Other Miscellaneous Fabricated Metal Product Manufacturing activities.</v>
      </c>
      <c r="E19" s="57"/>
      <c r="F19" s="48"/>
      <c r="G19" s="41"/>
      <c r="H19" s="41"/>
      <c r="I19" s="41"/>
      <c r="J19" s="41"/>
      <c r="K19" s="41"/>
      <c r="L19" s="41"/>
      <c r="M19" s="41"/>
      <c r="N19" s="41"/>
      <c r="O19" s="41"/>
      <c r="P19" s="41"/>
      <c r="Q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c r="CM19" s="41"/>
      <c r="CN19" s="41"/>
      <c r="CO19" s="41"/>
      <c r="CP19" s="41"/>
      <c r="CQ19" s="41"/>
      <c r="CR19" s="41"/>
      <c r="CS19" s="41"/>
      <c r="CT19" s="41"/>
      <c r="CU19" s="41"/>
      <c r="CV19" s="41"/>
      <c r="CW19" s="41"/>
    </row>
    <row r="20" spans="1:101" ht="33.4" customHeight="1" thickBot="1" x14ac:dyDescent="0.4">
      <c r="A20" s="41"/>
      <c r="B20" s="47">
        <v>2</v>
      </c>
      <c r="C20" s="49"/>
      <c r="D20" s="57" t="str">
        <f>CONCATENATE("The company engages in ",$E$7," business, sales proceeds collection was captured in bank account.")</f>
        <v>The company engages in Fabricated metal products, nec business, sales proceeds collection was captured in bank account.</v>
      </c>
      <c r="E20" s="57"/>
      <c r="F20" s="48"/>
      <c r="G20" s="41"/>
      <c r="H20" s="41"/>
      <c r="I20" s="41"/>
      <c r="J20" s="41"/>
      <c r="K20" s="41"/>
      <c r="L20" s="41"/>
      <c r="M20" s="41"/>
      <c r="N20" s="41"/>
      <c r="O20" s="41"/>
      <c r="P20" s="41"/>
      <c r="Q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c r="CL20" s="41"/>
      <c r="CM20" s="41"/>
      <c r="CN20" s="41"/>
      <c r="CO20" s="41"/>
      <c r="CP20" s="41"/>
      <c r="CQ20" s="41"/>
      <c r="CR20" s="41"/>
      <c r="CS20" s="41"/>
      <c r="CT20" s="41"/>
      <c r="CU20" s="41"/>
      <c r="CV20" s="41"/>
      <c r="CW20" s="41"/>
    </row>
    <row r="21" spans="1:101" ht="16.5" customHeight="1" thickBot="1" x14ac:dyDescent="0.4">
      <c r="A21" s="41"/>
      <c r="B21" s="47">
        <v>3</v>
      </c>
      <c r="C21" s="49"/>
      <c r="D21" s="57" t="e">
        <f>CONCATENATE("With reference to ",'[4]User Input'!B3," bank statement, about ",DOLLAR([5]Final!D27)," credit transaction was recorded. The annualised sales proceeds was estimated to be ",DOLLAR([5]Final!D28),". If subject have more than 2 banks, state the transaction figures and periods.")</f>
        <v>#REF!</v>
      </c>
      <c r="E21" s="57"/>
      <c r="F21" s="48"/>
      <c r="G21" s="41"/>
      <c r="H21" s="41"/>
      <c r="I21" s="41"/>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c r="CP21" s="41"/>
      <c r="CQ21" s="41"/>
      <c r="CR21" s="41"/>
      <c r="CS21" s="41"/>
      <c r="CT21" s="41"/>
      <c r="CU21" s="41"/>
      <c r="CV21" s="41"/>
      <c r="CW21" s="41"/>
    </row>
    <row r="22" spans="1:101" ht="16.899999999999999" thickBot="1" x14ac:dyDescent="0.4">
      <c r="A22" s="41"/>
      <c r="B22" s="47">
        <v>4</v>
      </c>
      <c r="C22" s="49"/>
      <c r="D22" s="57" t="s">
        <v>3003</v>
      </c>
      <c r="E22" s="57"/>
      <c r="F22" s="48"/>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row>
    <row r="23" spans="1:101" ht="16.899999999999999" thickBot="1" x14ac:dyDescent="0.4">
      <c r="A23" s="41"/>
      <c r="B23" s="47">
        <v>5</v>
      </c>
      <c r="C23" s="49"/>
      <c r="D23" s="57" t="str">
        <f>CONCATENATE("As at ",TEXT(MONTH('[3]Bank Statement'!A44),"mmm")," ",YEAR('[3]Bank Statement'!A44),", client is keeping about ",DOLLAR('[3]Bank Statement'!E43)," bank balance in Citibank. ")</f>
        <v xml:space="preserve">As at Jan 1900, client is keeping about $1,000.00 bank balance in Citibank. </v>
      </c>
      <c r="E23" s="57"/>
      <c r="F23" s="48"/>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row>
    <row r="24" spans="1:101" ht="16.899999999999999" thickBot="1" x14ac:dyDescent="0.4">
      <c r="A24" s="41"/>
      <c r="B24" s="47">
        <v>6</v>
      </c>
      <c r="C24" s="49"/>
      <c r="D24" s="57" t="str">
        <f>CONCATENATE("No negative record could be found in TU and CCRA on ", TEXT(MONTH('[3]Bank Statement'!A44),"mmm")," ",YEAR('[3]Bank Statement'!A44),".")</f>
        <v>No negative record could be found in TU and CCRA on Jan 1900.</v>
      </c>
      <c r="E24" s="57"/>
      <c r="F24" s="48"/>
      <c r="G24" s="41"/>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row>
    <row r="25" spans="1:101" ht="37.5" customHeight="1" thickBot="1" x14ac:dyDescent="0.4">
      <c r="A25" s="41"/>
      <c r="B25" s="47">
        <v>7</v>
      </c>
      <c r="C25" s="49"/>
      <c r="D25" s="57" t="str">
        <f>CONCATENATE(E9," instalment loans was respectively booked for BankA (Loan Amount, number of years) e.g. HKD 5MM for 10 years, and it is revealed by TU repayment of these instalment has been ",E10,".")</f>
        <v>Fill in here instalment loans was respectively booked for BankA (Loan Amount, number of years) e.g. HKD 5MM for 10 years, and it is revealed by TU repayment of these instalment has been Select from drop-down.</v>
      </c>
      <c r="E25" s="57"/>
      <c r="F25" s="48"/>
      <c r="G25" s="41"/>
      <c r="H25" s="41"/>
      <c r="I25" s="41"/>
      <c r="J25" s="41"/>
      <c r="K25" s="41"/>
      <c r="L25" s="41"/>
      <c r="M25" s="41"/>
      <c r="N25" s="41"/>
      <c r="O25" s="41"/>
      <c r="P25" s="41"/>
      <c r="Q25" s="41"/>
      <c r="R25" s="41"/>
      <c r="S25" s="41"/>
      <c r="T25" s="41"/>
      <c r="U25" s="41"/>
      <c r="V25" s="41"/>
      <c r="W25" s="41"/>
      <c r="X25" s="41"/>
      <c r="Y25" s="41"/>
      <c r="Z25" s="41"/>
      <c r="AA25" s="41"/>
      <c r="AB25" s="41"/>
      <c r="AC25" s="41"/>
      <c r="AD25" s="41"/>
      <c r="AE25" s="41"/>
      <c r="AF25" s="41"/>
      <c r="AG25" s="41"/>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c r="CM25" s="41"/>
      <c r="CN25" s="41"/>
      <c r="CO25" s="41"/>
      <c r="CP25" s="41"/>
      <c r="CQ25" s="41"/>
      <c r="CR25" s="41"/>
      <c r="CS25" s="41"/>
      <c r="CT25" s="41"/>
      <c r="CU25" s="41"/>
      <c r="CV25" s="41"/>
      <c r="CW25" s="41"/>
    </row>
    <row r="26" spans="1:101" ht="16.899999999999999" thickBot="1" x14ac:dyDescent="0.4">
      <c r="A26" s="41"/>
      <c r="B26" s="47">
        <v>8</v>
      </c>
      <c r="C26" s="49"/>
      <c r="D26" s="57" t="e">
        <f>CONCATENATE("As per bank statement from Citibank provided, it is observed that Subject received ",DOLLAR([5]Final!D28)," throughput (Annualized: $$$)")</f>
        <v>#REF!</v>
      </c>
      <c r="E26" s="57"/>
      <c r="F26" s="48"/>
      <c r="G26" s="41"/>
      <c r="H26" s="41"/>
      <c r="I26" s="41"/>
      <c r="J26" s="41"/>
      <c r="K26" s="41"/>
      <c r="L26" s="41"/>
      <c r="M26" s="41"/>
      <c r="N26" s="41"/>
      <c r="O26" s="41"/>
      <c r="P26" s="41"/>
      <c r="Q26" s="41"/>
      <c r="R26" s="41"/>
      <c r="S26" s="41"/>
      <c r="T26" s="41"/>
      <c r="U26" s="41"/>
      <c r="V26" s="41"/>
      <c r="W26" s="41"/>
      <c r="X26" s="41"/>
      <c r="Y26" s="41"/>
      <c r="Z26" s="41"/>
      <c r="AA26" s="41"/>
      <c r="AB26" s="41"/>
      <c r="AC26" s="41"/>
      <c r="AD26" s="41"/>
      <c r="AE26" s="41"/>
      <c r="AF26" s="41"/>
      <c r="AG26" s="41"/>
      <c r="AH26" s="41"/>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c r="CM26" s="41"/>
      <c r="CN26" s="41"/>
      <c r="CO26" s="41"/>
      <c r="CP26" s="41"/>
      <c r="CQ26" s="41"/>
      <c r="CR26" s="41"/>
      <c r="CS26" s="41"/>
      <c r="CT26" s="41"/>
      <c r="CU26" s="41"/>
      <c r="CV26" s="41"/>
      <c r="CW26" s="41"/>
    </row>
    <row r="27" spans="1:101" ht="16.899999999999999" thickBot="1" x14ac:dyDescent="0.4">
      <c r="A27" s="41"/>
      <c r="B27" s="47">
        <v>9</v>
      </c>
      <c r="C27" s="49"/>
      <c r="D27" s="57" t="str">
        <f>CONCATENATE("AO confirmed that aggregated operating account for $$$ is considered ",E11)</f>
        <v>AO confirmed that aggregated operating account for $$$ is considered Select from drop-down</v>
      </c>
      <c r="E27" s="57"/>
      <c r="F27" s="48"/>
      <c r="G27" s="41"/>
      <c r="H27" s="41"/>
      <c r="I27" s="41"/>
      <c r="J27" s="41"/>
      <c r="K27" s="41"/>
      <c r="L27" s="41"/>
      <c r="M27" s="41"/>
      <c r="N27" s="41"/>
      <c r="O27" s="41"/>
      <c r="P27" s="41"/>
      <c r="Q27" s="41"/>
      <c r="R27" s="41"/>
      <c r="S27" s="41"/>
      <c r="T27" s="41"/>
      <c r="U27" s="41"/>
      <c r="V27" s="41"/>
      <c r="W27" s="41"/>
      <c r="X27" s="41"/>
      <c r="Y27" s="41"/>
      <c r="Z27" s="41"/>
      <c r="AA27" s="41"/>
      <c r="AB27" s="41"/>
      <c r="AC27" s="41"/>
      <c r="AD27" s="41"/>
      <c r="AE27" s="41"/>
      <c r="AF27" s="41"/>
      <c r="AG27" s="41"/>
      <c r="AH27" s="41"/>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c r="CM27" s="41"/>
      <c r="CN27" s="41"/>
      <c r="CO27" s="41"/>
      <c r="CP27" s="41"/>
      <c r="CQ27" s="41"/>
      <c r="CR27" s="41"/>
      <c r="CS27" s="41"/>
      <c r="CT27" s="41"/>
      <c r="CU27" s="41"/>
      <c r="CV27" s="41"/>
      <c r="CW27" s="41"/>
    </row>
    <row r="28" spans="1:101" ht="16.899999999999999" thickBot="1" x14ac:dyDescent="0.4">
      <c r="A28" s="41"/>
      <c r="B28" s="47">
        <v>10</v>
      </c>
      <c r="C28" s="49"/>
      <c r="D28" s="57" t="e">
        <f>CONCATENATE("Average free cash flow is around ",DOLLAR([5]Final!E27)," in bank statement. ", '[4]User Input'!B7," liquidity is observed.")</f>
        <v>#REF!</v>
      </c>
      <c r="E28" s="57"/>
      <c r="F28" s="48"/>
      <c r="G28" s="41"/>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c r="CM28" s="41"/>
      <c r="CN28" s="41"/>
      <c r="CO28" s="41"/>
      <c r="CP28" s="41"/>
      <c r="CQ28" s="41"/>
      <c r="CR28" s="41"/>
      <c r="CS28" s="41"/>
      <c r="CT28" s="41"/>
      <c r="CU28" s="41"/>
      <c r="CV28" s="41"/>
      <c r="CW28" s="41"/>
    </row>
    <row r="29" spans="1:101" ht="16.899999999999999" thickBot="1" x14ac:dyDescent="0.4">
      <c r="A29" s="41"/>
      <c r="B29" s="47">
        <v>11</v>
      </c>
      <c r="C29" s="49"/>
      <c r="D29" s="57" t="str">
        <f>CONCATENATE("Negative information is ",E13, " on TU.")</f>
        <v>Negative information is Select from drop-down on TU.</v>
      </c>
      <c r="E29" s="57"/>
      <c r="F29" s="48"/>
      <c r="G29" s="41"/>
      <c r="H29" s="41"/>
      <c r="I29" s="41"/>
      <c r="J29" s="41"/>
      <c r="K29" s="41"/>
      <c r="L29" s="41"/>
      <c r="M29" s="41"/>
      <c r="N29" s="41"/>
      <c r="O29" s="41"/>
      <c r="P29" s="41"/>
      <c r="Q29" s="41"/>
      <c r="R29" s="41"/>
      <c r="S29" s="41"/>
      <c r="T29" s="41"/>
      <c r="U29" s="41"/>
      <c r="V29" s="41"/>
      <c r="W29" s="41"/>
      <c r="X29" s="41"/>
      <c r="Y29" s="41"/>
      <c r="Z29" s="41"/>
      <c r="AA29" s="41"/>
      <c r="AB29" s="41"/>
      <c r="AC29" s="41"/>
      <c r="AD29" s="41"/>
      <c r="AE29" s="41"/>
      <c r="AF29" s="41"/>
      <c r="AG29" s="41"/>
      <c r="AH29" s="41"/>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c r="BW29" s="41"/>
      <c r="BX29" s="41"/>
      <c r="BY29" s="41"/>
      <c r="BZ29" s="41"/>
      <c r="CA29" s="41"/>
      <c r="CB29" s="41"/>
      <c r="CC29" s="41"/>
      <c r="CD29" s="41"/>
      <c r="CE29" s="41"/>
      <c r="CF29" s="41"/>
      <c r="CG29" s="41"/>
      <c r="CH29" s="41"/>
      <c r="CI29" s="41"/>
      <c r="CJ29" s="41"/>
      <c r="CK29" s="41"/>
      <c r="CL29" s="41"/>
      <c r="CM29" s="41"/>
      <c r="CN29" s="41"/>
      <c r="CO29" s="41"/>
      <c r="CP29" s="41"/>
      <c r="CQ29" s="41"/>
      <c r="CR29" s="41"/>
      <c r="CS29" s="41"/>
      <c r="CT29" s="41"/>
      <c r="CU29" s="41"/>
      <c r="CV29" s="41"/>
      <c r="CW29" s="41"/>
    </row>
    <row r="30" spans="1:101" ht="16.899999999999999" thickBot="1" x14ac:dyDescent="0.4">
      <c r="A30" s="41"/>
      <c r="B30" s="47"/>
      <c r="C30" s="46"/>
      <c r="D30" s="45"/>
      <c r="E30" s="45"/>
      <c r="F30" s="44"/>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J30" s="41"/>
      <c r="BK30" s="41"/>
      <c r="BL30" s="41"/>
      <c r="BM30" s="41"/>
      <c r="BN30" s="41"/>
      <c r="BO30" s="41"/>
      <c r="BP30" s="41"/>
      <c r="BQ30" s="41"/>
      <c r="BR30" s="41"/>
      <c r="BS30" s="41"/>
      <c r="BT30" s="41"/>
      <c r="BU30" s="41"/>
      <c r="BV30" s="41"/>
      <c r="BW30" s="41"/>
      <c r="BX30" s="41"/>
      <c r="BY30" s="41"/>
      <c r="BZ30" s="41"/>
      <c r="CA30" s="41"/>
      <c r="CB30" s="41"/>
      <c r="CC30" s="41"/>
      <c r="CD30" s="41"/>
      <c r="CE30" s="41"/>
      <c r="CF30" s="41"/>
      <c r="CG30" s="41"/>
      <c r="CH30" s="41"/>
      <c r="CI30" s="41"/>
      <c r="CJ30" s="41"/>
      <c r="CK30" s="41"/>
      <c r="CL30" s="41"/>
      <c r="CM30" s="41"/>
      <c r="CN30" s="41"/>
      <c r="CO30" s="41"/>
      <c r="CP30" s="41"/>
      <c r="CQ30" s="41"/>
      <c r="CR30" s="41"/>
      <c r="CS30" s="41"/>
      <c r="CT30" s="41"/>
      <c r="CU30" s="41"/>
      <c r="CV30" s="41"/>
      <c r="CW30" s="41"/>
    </row>
    <row r="31" spans="1:101" ht="16.5" x14ac:dyDescent="0.35">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c r="BW31" s="41"/>
      <c r="BX31" s="41"/>
      <c r="BY31" s="41"/>
      <c r="BZ31" s="41"/>
      <c r="CA31" s="41"/>
      <c r="CB31" s="41"/>
      <c r="CC31" s="41"/>
      <c r="CD31" s="41"/>
      <c r="CE31" s="41"/>
      <c r="CF31" s="41"/>
      <c r="CG31" s="41"/>
      <c r="CH31" s="41"/>
      <c r="CI31" s="41"/>
      <c r="CJ31" s="41"/>
      <c r="CK31" s="41"/>
      <c r="CL31" s="41"/>
      <c r="CM31" s="41"/>
      <c r="CN31" s="41"/>
      <c r="CO31" s="41"/>
      <c r="CP31" s="41"/>
      <c r="CQ31" s="41"/>
      <c r="CR31" s="41"/>
      <c r="CS31" s="41"/>
      <c r="CT31" s="41"/>
      <c r="CU31" s="41"/>
      <c r="CV31" s="41"/>
      <c r="CW31" s="41"/>
    </row>
    <row r="32" spans="1:101" ht="16.5" x14ac:dyDescent="0.35">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c r="BW32" s="41"/>
      <c r="BX32" s="41"/>
      <c r="BY32" s="41"/>
      <c r="BZ32" s="41"/>
      <c r="CA32" s="41"/>
      <c r="CB32" s="41"/>
      <c r="CC32" s="41"/>
      <c r="CD32" s="41"/>
      <c r="CE32" s="41"/>
      <c r="CF32" s="41"/>
      <c r="CG32" s="41"/>
      <c r="CH32" s="41"/>
      <c r="CI32" s="41"/>
      <c r="CJ32" s="41"/>
      <c r="CK32" s="41"/>
      <c r="CL32" s="41"/>
      <c r="CM32" s="41"/>
      <c r="CN32" s="41"/>
      <c r="CO32" s="41"/>
      <c r="CP32" s="41"/>
      <c r="CQ32" s="41"/>
      <c r="CR32" s="41"/>
      <c r="CS32" s="41"/>
      <c r="CT32" s="41"/>
      <c r="CU32" s="41"/>
      <c r="CV32" s="41"/>
      <c r="CW32" s="41"/>
    </row>
    <row r="33" spans="1:101" ht="16.5" x14ac:dyDescent="0.35">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c r="BW33" s="41"/>
      <c r="BX33" s="41"/>
      <c r="BY33" s="41"/>
      <c r="BZ33" s="41"/>
      <c r="CA33" s="41"/>
      <c r="CB33" s="41"/>
      <c r="CC33" s="41"/>
      <c r="CD33" s="41"/>
      <c r="CE33" s="41"/>
      <c r="CF33" s="41"/>
      <c r="CG33" s="41"/>
      <c r="CH33" s="41"/>
      <c r="CI33" s="41"/>
      <c r="CJ33" s="41"/>
      <c r="CK33" s="41"/>
      <c r="CL33" s="41"/>
      <c r="CM33" s="41"/>
      <c r="CN33" s="41"/>
      <c r="CO33" s="41"/>
      <c r="CP33" s="41"/>
      <c r="CQ33" s="41"/>
      <c r="CR33" s="41"/>
      <c r="CS33" s="41"/>
      <c r="CT33" s="41"/>
      <c r="CU33" s="41"/>
      <c r="CV33" s="41"/>
      <c r="CW33" s="41"/>
    </row>
    <row r="34" spans="1:101" ht="16.5" x14ac:dyDescent="0.35">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row>
    <row r="35" spans="1:101" ht="16.5" x14ac:dyDescent="0.35">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c r="CM35" s="41"/>
      <c r="CN35" s="41"/>
      <c r="CO35" s="41"/>
      <c r="CP35" s="41"/>
      <c r="CQ35" s="41"/>
      <c r="CR35" s="41"/>
      <c r="CS35" s="41"/>
      <c r="CT35" s="41"/>
      <c r="CU35" s="41"/>
      <c r="CV35" s="41"/>
      <c r="CW35" s="41"/>
    </row>
    <row r="36" spans="1:101" ht="16.5" x14ac:dyDescent="0.35">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c r="BW36" s="41"/>
      <c r="BX36" s="41"/>
      <c r="BY36" s="41"/>
      <c r="BZ36" s="41"/>
      <c r="CA36" s="41"/>
      <c r="CB36" s="41"/>
      <c r="CC36" s="41"/>
      <c r="CD36" s="41"/>
      <c r="CE36" s="41"/>
      <c r="CF36" s="41"/>
      <c r="CG36" s="41"/>
      <c r="CH36" s="41"/>
      <c r="CI36" s="41"/>
      <c r="CJ36" s="41"/>
      <c r="CK36" s="41"/>
      <c r="CL36" s="41"/>
      <c r="CM36" s="41"/>
      <c r="CN36" s="41"/>
      <c r="CO36" s="41"/>
      <c r="CP36" s="41"/>
      <c r="CQ36" s="41"/>
      <c r="CR36" s="41"/>
      <c r="CS36" s="41"/>
      <c r="CT36" s="41"/>
      <c r="CU36" s="41"/>
      <c r="CV36" s="41"/>
      <c r="CW36" s="41"/>
    </row>
    <row r="37" spans="1:101" ht="16.5" x14ac:dyDescent="0.35">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c r="BW37" s="41"/>
      <c r="BX37" s="41"/>
      <c r="BY37" s="41"/>
      <c r="BZ37" s="41"/>
      <c r="CA37" s="41"/>
      <c r="CB37" s="41"/>
      <c r="CC37" s="41"/>
      <c r="CD37" s="41"/>
      <c r="CE37" s="41"/>
      <c r="CF37" s="41"/>
      <c r="CG37" s="41"/>
      <c r="CH37" s="41"/>
      <c r="CI37" s="41"/>
      <c r="CJ37" s="41"/>
      <c r="CK37" s="41"/>
      <c r="CL37" s="41"/>
      <c r="CM37" s="41"/>
      <c r="CN37" s="41"/>
      <c r="CO37" s="41"/>
      <c r="CP37" s="41"/>
      <c r="CQ37" s="41"/>
      <c r="CR37" s="41"/>
      <c r="CS37" s="41"/>
      <c r="CT37" s="41"/>
      <c r="CU37" s="41"/>
      <c r="CV37" s="41"/>
      <c r="CW37" s="41"/>
    </row>
    <row r="38" spans="1:101" ht="16.5" x14ac:dyDescent="0.35">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c r="BW38" s="41"/>
      <c r="BX38" s="41"/>
      <c r="BY38" s="41"/>
      <c r="BZ38" s="41"/>
      <c r="CA38" s="41"/>
      <c r="CB38" s="41"/>
      <c r="CC38" s="41"/>
      <c r="CD38" s="41"/>
      <c r="CE38" s="41"/>
      <c r="CF38" s="41"/>
      <c r="CG38" s="41"/>
      <c r="CH38" s="41"/>
      <c r="CI38" s="41"/>
      <c r="CJ38" s="41"/>
      <c r="CK38" s="41"/>
      <c r="CL38" s="41"/>
      <c r="CM38" s="41"/>
      <c r="CN38" s="41"/>
      <c r="CO38" s="41"/>
      <c r="CP38" s="41"/>
      <c r="CQ38" s="41"/>
      <c r="CR38" s="41"/>
      <c r="CS38" s="41"/>
      <c r="CT38" s="41"/>
      <c r="CU38" s="41"/>
      <c r="CV38" s="41"/>
      <c r="CW38" s="41"/>
    </row>
    <row r="39" spans="1:101" ht="16.5" x14ac:dyDescent="0.35">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c r="BW39" s="41"/>
      <c r="BX39" s="41"/>
      <c r="BY39" s="41"/>
      <c r="BZ39" s="41"/>
      <c r="CA39" s="41"/>
      <c r="CB39" s="41"/>
      <c r="CC39" s="41"/>
      <c r="CD39" s="41"/>
      <c r="CE39" s="41"/>
      <c r="CF39" s="41"/>
      <c r="CG39" s="41"/>
      <c r="CH39" s="41"/>
      <c r="CI39" s="41"/>
      <c r="CJ39" s="41"/>
      <c r="CK39" s="41"/>
      <c r="CL39" s="41"/>
      <c r="CM39" s="41"/>
      <c r="CN39" s="41"/>
      <c r="CO39" s="41"/>
      <c r="CP39" s="41"/>
      <c r="CQ39" s="41"/>
      <c r="CR39" s="41"/>
      <c r="CS39" s="41"/>
      <c r="CT39" s="41"/>
      <c r="CU39" s="41"/>
      <c r="CV39" s="41"/>
      <c r="CW39" s="41"/>
    </row>
    <row r="40" spans="1:101" ht="16.5" x14ac:dyDescent="0.35">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c r="BW40" s="41"/>
      <c r="BX40" s="41"/>
      <c r="BY40" s="41"/>
      <c r="BZ40" s="41"/>
      <c r="CA40" s="41"/>
      <c r="CB40" s="41"/>
      <c r="CC40" s="41"/>
      <c r="CD40" s="41"/>
      <c r="CE40" s="41"/>
      <c r="CF40" s="41"/>
      <c r="CG40" s="41"/>
      <c r="CH40" s="41"/>
      <c r="CI40" s="41"/>
      <c r="CJ40" s="41"/>
      <c r="CK40" s="41"/>
      <c r="CL40" s="41"/>
      <c r="CM40" s="41"/>
      <c r="CN40" s="41"/>
      <c r="CO40" s="41"/>
      <c r="CP40" s="41"/>
      <c r="CQ40" s="41"/>
      <c r="CR40" s="41"/>
      <c r="CS40" s="41"/>
      <c r="CT40" s="41"/>
      <c r="CU40" s="41"/>
      <c r="CV40" s="41"/>
      <c r="CW40" s="41"/>
    </row>
    <row r="41" spans="1:101" ht="16.5" x14ac:dyDescent="0.35">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row>
    <row r="42" spans="1:101" ht="16.5" x14ac:dyDescent="0.35">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row>
    <row r="43" spans="1:101" ht="16.5" x14ac:dyDescent="0.35">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row>
    <row r="44" spans="1:101" ht="16.5" x14ac:dyDescent="0.35">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row>
    <row r="45" spans="1:101" ht="16.5" x14ac:dyDescent="0.35">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row>
    <row r="46" spans="1:101" ht="16.5" x14ac:dyDescent="0.35">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c r="BW46" s="41"/>
      <c r="BX46" s="41"/>
      <c r="BY46" s="41"/>
      <c r="BZ46" s="41"/>
      <c r="CA46" s="41"/>
      <c r="CB46" s="41"/>
      <c r="CC46" s="41"/>
      <c r="CD46" s="41"/>
      <c r="CE46" s="41"/>
      <c r="CF46" s="41"/>
      <c r="CG46" s="41"/>
      <c r="CH46" s="41"/>
      <c r="CI46" s="41"/>
      <c r="CJ46" s="41"/>
      <c r="CK46" s="41"/>
      <c r="CL46" s="41"/>
      <c r="CM46" s="41"/>
      <c r="CN46" s="41"/>
      <c r="CO46" s="41"/>
      <c r="CP46" s="41"/>
      <c r="CQ46" s="41"/>
      <c r="CR46" s="41"/>
      <c r="CS46" s="41"/>
      <c r="CT46" s="41"/>
      <c r="CU46" s="41"/>
      <c r="CV46" s="41"/>
      <c r="CW46" s="41"/>
    </row>
    <row r="47" spans="1:101" ht="16.5" x14ac:dyDescent="0.35">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1"/>
      <c r="AR47" s="41"/>
      <c r="AS47" s="41"/>
      <c r="AT47" s="41"/>
      <c r="AU47" s="41"/>
      <c r="AV47" s="41"/>
      <c r="AW47" s="41"/>
      <c r="AX47" s="41"/>
      <c r="AY47" s="41"/>
      <c r="AZ47" s="41"/>
      <c r="BA47" s="41"/>
      <c r="BB47" s="41"/>
      <c r="BC47" s="41"/>
      <c r="BD47" s="41"/>
      <c r="BE47" s="41"/>
      <c r="BF47" s="41"/>
      <c r="BG47" s="41"/>
      <c r="BH47" s="41"/>
      <c r="BI47" s="41"/>
      <c r="BJ47" s="41"/>
      <c r="BK47" s="41"/>
      <c r="BL47" s="41"/>
      <c r="BM47" s="41"/>
      <c r="BN47" s="41"/>
      <c r="BO47" s="41"/>
      <c r="BP47" s="41"/>
      <c r="BQ47" s="41"/>
      <c r="BR47" s="41"/>
      <c r="BS47" s="41"/>
      <c r="BT47" s="41"/>
      <c r="BU47" s="41"/>
      <c r="BV47" s="41"/>
      <c r="BW47" s="41"/>
      <c r="BX47" s="41"/>
      <c r="BY47" s="41"/>
      <c r="BZ47" s="41"/>
      <c r="CA47" s="41"/>
      <c r="CB47" s="41"/>
      <c r="CC47" s="41"/>
      <c r="CD47" s="41"/>
      <c r="CE47" s="41"/>
      <c r="CF47" s="41"/>
      <c r="CG47" s="41"/>
      <c r="CH47" s="41"/>
      <c r="CI47" s="41"/>
      <c r="CJ47" s="41"/>
      <c r="CK47" s="41"/>
      <c r="CL47" s="41"/>
      <c r="CM47" s="41"/>
      <c r="CN47" s="41"/>
      <c r="CO47" s="41"/>
      <c r="CP47" s="41"/>
      <c r="CQ47" s="41"/>
      <c r="CR47" s="41"/>
      <c r="CS47" s="41"/>
      <c r="CT47" s="41"/>
      <c r="CU47" s="41"/>
      <c r="CV47" s="41"/>
      <c r="CW47" s="41"/>
    </row>
    <row r="48" spans="1:101" ht="16.5" x14ac:dyDescent="0.35">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c r="AZ48" s="41"/>
      <c r="BA48" s="41"/>
      <c r="BB48" s="41"/>
      <c r="BC48" s="41"/>
      <c r="BD48" s="41"/>
      <c r="BE48" s="41"/>
      <c r="BF48" s="41"/>
      <c r="BG48" s="41"/>
      <c r="BH48" s="41"/>
      <c r="BI48" s="41"/>
      <c r="BJ48" s="41"/>
      <c r="BK48" s="41"/>
      <c r="BL48" s="41"/>
      <c r="BM48" s="41"/>
      <c r="BN48" s="41"/>
      <c r="BO48" s="41"/>
      <c r="BP48" s="41"/>
      <c r="BQ48" s="41"/>
      <c r="BR48" s="41"/>
      <c r="BS48" s="41"/>
      <c r="BT48" s="41"/>
      <c r="BU48" s="41"/>
      <c r="BV48" s="41"/>
      <c r="BW48" s="41"/>
      <c r="BX48" s="41"/>
      <c r="BY48" s="41"/>
      <c r="BZ48" s="41"/>
      <c r="CA48" s="41"/>
      <c r="CB48" s="41"/>
      <c r="CC48" s="41"/>
      <c r="CD48" s="41"/>
      <c r="CE48" s="41"/>
      <c r="CF48" s="41"/>
      <c r="CG48" s="41"/>
      <c r="CH48" s="41"/>
      <c r="CI48" s="41"/>
      <c r="CJ48" s="41"/>
      <c r="CK48" s="41"/>
      <c r="CL48" s="41"/>
      <c r="CM48" s="41"/>
      <c r="CN48" s="41"/>
      <c r="CO48" s="41"/>
      <c r="CP48" s="41"/>
      <c r="CQ48" s="41"/>
      <c r="CR48" s="41"/>
      <c r="CS48" s="41"/>
      <c r="CT48" s="41"/>
      <c r="CU48" s="41"/>
      <c r="CV48" s="41"/>
      <c r="CW48" s="41"/>
    </row>
    <row r="49" spans="1:101" ht="16.5" x14ac:dyDescent="0.35">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c r="AN49" s="41"/>
      <c r="AO49" s="41"/>
      <c r="AP49" s="41"/>
      <c r="AQ49" s="41"/>
      <c r="AR49" s="41"/>
      <c r="AS49" s="41"/>
      <c r="AT49" s="41"/>
      <c r="AU49" s="41"/>
      <c r="AV49" s="41"/>
      <c r="AW49" s="41"/>
      <c r="AX49" s="41"/>
      <c r="AY49" s="41"/>
      <c r="AZ49" s="41"/>
      <c r="BA49" s="41"/>
      <c r="BB49" s="41"/>
      <c r="BC49" s="41"/>
      <c r="BD49" s="41"/>
      <c r="BE49" s="41"/>
      <c r="BF49" s="41"/>
      <c r="BG49" s="41"/>
      <c r="BH49" s="41"/>
      <c r="BI49" s="41"/>
      <c r="BJ49" s="41"/>
      <c r="BK49" s="41"/>
      <c r="BL49" s="41"/>
      <c r="BM49" s="41"/>
      <c r="BN49" s="41"/>
      <c r="BO49" s="41"/>
      <c r="BP49" s="41"/>
      <c r="BQ49" s="41"/>
      <c r="BR49" s="41"/>
      <c r="BS49" s="41"/>
      <c r="BT49" s="41"/>
      <c r="BU49" s="41"/>
      <c r="BV49" s="41"/>
      <c r="BW49" s="41"/>
      <c r="BX49" s="41"/>
      <c r="BY49" s="41"/>
      <c r="BZ49" s="41"/>
      <c r="CA49" s="41"/>
      <c r="CB49" s="41"/>
      <c r="CC49" s="41"/>
      <c r="CD49" s="41"/>
      <c r="CE49" s="41"/>
      <c r="CF49" s="41"/>
      <c r="CG49" s="41"/>
      <c r="CH49" s="41"/>
      <c r="CI49" s="41"/>
      <c r="CJ49" s="41"/>
      <c r="CK49" s="41"/>
      <c r="CL49" s="41"/>
      <c r="CM49" s="41"/>
      <c r="CN49" s="41"/>
      <c r="CO49" s="41"/>
      <c r="CP49" s="41"/>
      <c r="CQ49" s="41"/>
      <c r="CR49" s="41"/>
      <c r="CS49" s="41"/>
      <c r="CT49" s="41"/>
      <c r="CU49" s="41"/>
      <c r="CV49" s="41"/>
      <c r="CW49" s="41"/>
    </row>
    <row r="50" spans="1:101" ht="16.5" x14ac:dyDescent="0.35">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row>
    <row r="51" spans="1:101" ht="16.5" x14ac:dyDescent="0.35">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1"/>
      <c r="BA51" s="41"/>
      <c r="BB51" s="41"/>
      <c r="BC51" s="41"/>
      <c r="BD51" s="41"/>
      <c r="BE51" s="41"/>
      <c r="BF51" s="41"/>
      <c r="BG51" s="41"/>
      <c r="BH51" s="41"/>
      <c r="BI51" s="41"/>
      <c r="BJ51" s="41"/>
      <c r="BK51" s="41"/>
      <c r="BL51" s="41"/>
      <c r="BM51" s="41"/>
      <c r="BN51" s="41"/>
      <c r="BO51" s="41"/>
      <c r="BP51" s="41"/>
      <c r="BQ51" s="41"/>
      <c r="BR51" s="41"/>
      <c r="BS51" s="41"/>
      <c r="BT51" s="41"/>
      <c r="BU51" s="41"/>
      <c r="BV51" s="41"/>
      <c r="BW51" s="41"/>
      <c r="BX51" s="41"/>
      <c r="BY51" s="41"/>
      <c r="BZ51" s="41"/>
      <c r="CA51" s="41"/>
      <c r="CB51" s="41"/>
      <c r="CC51" s="41"/>
      <c r="CD51" s="41"/>
      <c r="CE51" s="41"/>
      <c r="CF51" s="41"/>
      <c r="CG51" s="41"/>
      <c r="CH51" s="41"/>
      <c r="CI51" s="41"/>
      <c r="CJ51" s="41"/>
      <c r="CK51" s="41"/>
      <c r="CL51" s="41"/>
      <c r="CM51" s="41"/>
      <c r="CN51" s="41"/>
      <c r="CO51" s="41"/>
      <c r="CP51" s="41"/>
      <c r="CQ51" s="41"/>
      <c r="CR51" s="41"/>
      <c r="CS51" s="41"/>
      <c r="CT51" s="41"/>
      <c r="CU51" s="41"/>
      <c r="CV51" s="41"/>
      <c r="CW51" s="41"/>
    </row>
    <row r="52" spans="1:101" ht="16.5" x14ac:dyDescent="0.35">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row>
    <row r="53" spans="1:101" ht="16.5" x14ac:dyDescent="0.35">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c r="AA53" s="41"/>
      <c r="AB53" s="41"/>
      <c r="AC53" s="41"/>
      <c r="AD53" s="41"/>
      <c r="AE53" s="41"/>
      <c r="AF53" s="41"/>
      <c r="AG53" s="41"/>
      <c r="AH53" s="41"/>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c r="CM53" s="41"/>
      <c r="CN53" s="41"/>
      <c r="CO53" s="41"/>
      <c r="CP53" s="41"/>
      <c r="CQ53" s="41"/>
      <c r="CR53" s="41"/>
      <c r="CS53" s="41"/>
      <c r="CT53" s="41"/>
      <c r="CU53" s="41"/>
      <c r="CV53" s="41"/>
      <c r="CW53" s="41"/>
    </row>
    <row r="54" spans="1:101" ht="16.5" x14ac:dyDescent="0.35">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c r="CM54" s="41"/>
      <c r="CN54" s="41"/>
      <c r="CO54" s="41"/>
      <c r="CP54" s="41"/>
      <c r="CQ54" s="41"/>
      <c r="CR54" s="41"/>
      <c r="CS54" s="41"/>
      <c r="CT54" s="41"/>
      <c r="CU54" s="41"/>
      <c r="CV54" s="41"/>
      <c r="CW54" s="41"/>
    </row>
    <row r="55" spans="1:101" ht="16.5" x14ac:dyDescent="0.35">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c r="CM55" s="41"/>
      <c r="CN55" s="41"/>
      <c r="CO55" s="41"/>
      <c r="CP55" s="41"/>
      <c r="CQ55" s="41"/>
      <c r="CR55" s="41"/>
      <c r="CS55" s="41"/>
      <c r="CT55" s="41"/>
      <c r="CU55" s="41"/>
      <c r="CV55" s="41"/>
      <c r="CW55" s="41"/>
    </row>
    <row r="56" spans="1:101" ht="16.5" x14ac:dyDescent="0.35">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c r="CM56" s="41"/>
      <c r="CN56" s="41"/>
      <c r="CO56" s="41"/>
      <c r="CP56" s="41"/>
      <c r="CQ56" s="41"/>
      <c r="CR56" s="41"/>
      <c r="CS56" s="41"/>
      <c r="CT56" s="41"/>
      <c r="CU56" s="41"/>
      <c r="CV56" s="41"/>
      <c r="CW56" s="41"/>
    </row>
    <row r="57" spans="1:101" ht="16.5" x14ac:dyDescent="0.35">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c r="CM57" s="41"/>
      <c r="CN57" s="41"/>
      <c r="CO57" s="41"/>
      <c r="CP57" s="41"/>
      <c r="CQ57" s="41"/>
      <c r="CR57" s="41"/>
      <c r="CS57" s="41"/>
      <c r="CT57" s="41"/>
      <c r="CU57" s="41"/>
      <c r="CV57" s="41"/>
      <c r="CW57" s="41"/>
    </row>
    <row r="58" spans="1:101" ht="16.5" x14ac:dyDescent="0.35">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c r="CM58" s="41"/>
      <c r="CN58" s="41"/>
      <c r="CO58" s="41"/>
      <c r="CP58" s="41"/>
      <c r="CQ58" s="41"/>
      <c r="CR58" s="41"/>
      <c r="CS58" s="41"/>
      <c r="CT58" s="41"/>
      <c r="CU58" s="41"/>
      <c r="CV58" s="41"/>
      <c r="CW58" s="41"/>
    </row>
    <row r="59" spans="1:101" ht="16.5" x14ac:dyDescent="0.35">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c r="CM59" s="41"/>
      <c r="CN59" s="41"/>
      <c r="CO59" s="41"/>
      <c r="CP59" s="41"/>
      <c r="CQ59" s="41"/>
      <c r="CR59" s="41"/>
      <c r="CS59" s="41"/>
      <c r="CT59" s="41"/>
      <c r="CU59" s="41"/>
      <c r="CV59" s="41"/>
      <c r="CW59" s="41"/>
    </row>
    <row r="60" spans="1:101" ht="16.5" x14ac:dyDescent="0.35">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c r="BW60" s="41"/>
      <c r="BX60" s="41"/>
      <c r="BY60" s="41"/>
      <c r="BZ60" s="41"/>
      <c r="CA60" s="41"/>
      <c r="CB60" s="41"/>
      <c r="CC60" s="41"/>
      <c r="CD60" s="41"/>
      <c r="CE60" s="41"/>
      <c r="CF60" s="41"/>
      <c r="CG60" s="41"/>
      <c r="CH60" s="41"/>
      <c r="CI60" s="41"/>
      <c r="CJ60" s="41"/>
      <c r="CK60" s="41"/>
      <c r="CL60" s="41"/>
      <c r="CM60" s="41"/>
      <c r="CN60" s="41"/>
      <c r="CO60" s="41"/>
      <c r="CP60" s="41"/>
      <c r="CQ60" s="41"/>
      <c r="CR60" s="41"/>
      <c r="CS60" s="41"/>
      <c r="CT60" s="41"/>
      <c r="CU60" s="41"/>
      <c r="CV60" s="41"/>
      <c r="CW60" s="41"/>
    </row>
    <row r="61" spans="1:101" ht="16.5" x14ac:dyDescent="0.35">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c r="CC61" s="41"/>
      <c r="CD61" s="41"/>
      <c r="CE61" s="41"/>
      <c r="CF61" s="41"/>
      <c r="CG61" s="41"/>
      <c r="CH61" s="41"/>
      <c r="CI61" s="41"/>
      <c r="CJ61" s="41"/>
      <c r="CK61" s="41"/>
      <c r="CL61" s="41"/>
      <c r="CM61" s="41"/>
      <c r="CN61" s="41"/>
      <c r="CO61" s="41"/>
      <c r="CP61" s="41"/>
      <c r="CQ61" s="41"/>
      <c r="CR61" s="41"/>
      <c r="CS61" s="41"/>
      <c r="CT61" s="41"/>
      <c r="CU61" s="41"/>
      <c r="CV61" s="41"/>
      <c r="CW61" s="41"/>
    </row>
    <row r="62" spans="1:101" ht="16.5" x14ac:dyDescent="0.35">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c r="BW62" s="41"/>
      <c r="BX62" s="41"/>
      <c r="BY62" s="41"/>
      <c r="BZ62" s="41"/>
      <c r="CA62" s="41"/>
      <c r="CB62" s="41"/>
      <c r="CC62" s="41"/>
      <c r="CD62" s="41"/>
      <c r="CE62" s="41"/>
      <c r="CF62" s="41"/>
      <c r="CG62" s="41"/>
      <c r="CH62" s="41"/>
      <c r="CI62" s="41"/>
      <c r="CJ62" s="41"/>
      <c r="CK62" s="41"/>
      <c r="CL62" s="41"/>
      <c r="CM62" s="41"/>
      <c r="CN62" s="41"/>
      <c r="CO62" s="41"/>
      <c r="CP62" s="41"/>
      <c r="CQ62" s="41"/>
      <c r="CR62" s="41"/>
      <c r="CS62" s="41"/>
      <c r="CT62" s="41"/>
      <c r="CU62" s="41"/>
      <c r="CV62" s="41"/>
      <c r="CW62" s="41"/>
    </row>
    <row r="63" spans="1:101" ht="16.5" x14ac:dyDescent="0.35">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c r="BW63" s="41"/>
      <c r="BX63" s="41"/>
      <c r="BY63" s="41"/>
      <c r="BZ63" s="41"/>
      <c r="CA63" s="41"/>
      <c r="CB63" s="41"/>
      <c r="CC63" s="41"/>
      <c r="CD63" s="41"/>
      <c r="CE63" s="41"/>
      <c r="CF63" s="41"/>
      <c r="CG63" s="41"/>
      <c r="CH63" s="41"/>
      <c r="CI63" s="41"/>
      <c r="CJ63" s="41"/>
      <c r="CK63" s="41"/>
      <c r="CL63" s="41"/>
      <c r="CM63" s="41"/>
      <c r="CN63" s="41"/>
      <c r="CO63" s="41"/>
      <c r="CP63" s="41"/>
      <c r="CQ63" s="41"/>
      <c r="CR63" s="41"/>
      <c r="CS63" s="41"/>
      <c r="CT63" s="41"/>
      <c r="CU63" s="41"/>
      <c r="CV63" s="41"/>
      <c r="CW63" s="41"/>
    </row>
    <row r="64" spans="1:101" ht="16.5" x14ac:dyDescent="0.35">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c r="BW64" s="41"/>
      <c r="BX64" s="41"/>
      <c r="BY64" s="41"/>
      <c r="BZ64" s="41"/>
      <c r="CA64" s="41"/>
      <c r="CB64" s="41"/>
      <c r="CC64" s="41"/>
      <c r="CD64" s="41"/>
      <c r="CE64" s="41"/>
      <c r="CF64" s="41"/>
      <c r="CG64" s="41"/>
      <c r="CH64" s="41"/>
      <c r="CI64" s="41"/>
      <c r="CJ64" s="41"/>
      <c r="CK64" s="41"/>
      <c r="CL64" s="41"/>
      <c r="CM64" s="41"/>
      <c r="CN64" s="41"/>
      <c r="CO64" s="41"/>
      <c r="CP64" s="41"/>
      <c r="CQ64" s="41"/>
      <c r="CR64" s="41"/>
      <c r="CS64" s="41"/>
      <c r="CT64" s="41"/>
      <c r="CU64" s="41"/>
      <c r="CV64" s="41"/>
      <c r="CW64" s="41"/>
    </row>
    <row r="65" spans="1:101" ht="16.5" x14ac:dyDescent="0.35">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c r="BS65" s="41"/>
      <c r="BT65" s="41"/>
      <c r="BU65" s="41"/>
      <c r="BV65" s="41"/>
      <c r="BW65" s="41"/>
      <c r="BX65" s="41"/>
      <c r="BY65" s="41"/>
      <c r="BZ65" s="41"/>
      <c r="CA65" s="41"/>
      <c r="CB65" s="41"/>
      <c r="CC65" s="41"/>
      <c r="CD65" s="41"/>
      <c r="CE65" s="41"/>
      <c r="CF65" s="41"/>
      <c r="CG65" s="41"/>
      <c r="CH65" s="41"/>
      <c r="CI65" s="41"/>
      <c r="CJ65" s="41"/>
      <c r="CK65" s="41"/>
      <c r="CL65" s="41"/>
      <c r="CM65" s="41"/>
      <c r="CN65" s="41"/>
      <c r="CO65" s="41"/>
      <c r="CP65" s="41"/>
      <c r="CQ65" s="41"/>
      <c r="CR65" s="41"/>
      <c r="CS65" s="41"/>
      <c r="CT65" s="41"/>
      <c r="CU65" s="41"/>
      <c r="CV65" s="41"/>
      <c r="CW65" s="41"/>
    </row>
    <row r="66" spans="1:101" ht="16.5" x14ac:dyDescent="0.35">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J66" s="41"/>
      <c r="BK66" s="41"/>
      <c r="BL66" s="41"/>
      <c r="BM66" s="41"/>
      <c r="BN66" s="41"/>
      <c r="BO66" s="41"/>
      <c r="BP66" s="41"/>
      <c r="BQ66" s="41"/>
      <c r="BR66" s="41"/>
      <c r="BS66" s="41"/>
      <c r="BT66" s="41"/>
      <c r="BU66" s="41"/>
      <c r="BV66" s="41"/>
      <c r="BW66" s="41"/>
      <c r="BX66" s="41"/>
      <c r="BY66" s="41"/>
      <c r="BZ66" s="41"/>
      <c r="CA66" s="41"/>
      <c r="CB66" s="41"/>
      <c r="CC66" s="41"/>
      <c r="CD66" s="41"/>
      <c r="CE66" s="41"/>
      <c r="CF66" s="41"/>
      <c r="CG66" s="41"/>
      <c r="CH66" s="41"/>
      <c r="CI66" s="41"/>
      <c r="CJ66" s="41"/>
      <c r="CK66" s="41"/>
      <c r="CL66" s="41"/>
      <c r="CM66" s="41"/>
      <c r="CN66" s="41"/>
      <c r="CO66" s="41"/>
      <c r="CP66" s="41"/>
      <c r="CQ66" s="41"/>
      <c r="CR66" s="41"/>
      <c r="CS66" s="41"/>
      <c r="CT66" s="41"/>
      <c r="CU66" s="41"/>
      <c r="CV66" s="41"/>
      <c r="CW66" s="41"/>
    </row>
    <row r="67" spans="1:101" ht="16.5" x14ac:dyDescent="0.35">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J67" s="41"/>
      <c r="BK67" s="41"/>
      <c r="BL67" s="41"/>
      <c r="BM67" s="41"/>
      <c r="BN67" s="41"/>
      <c r="BO67" s="41"/>
      <c r="BP67" s="41"/>
      <c r="BQ67" s="41"/>
      <c r="BR67" s="41"/>
      <c r="BS67" s="41"/>
      <c r="BT67" s="41"/>
      <c r="BU67" s="41"/>
      <c r="BV67" s="41"/>
      <c r="BW67" s="41"/>
      <c r="BX67" s="41"/>
      <c r="BY67" s="41"/>
      <c r="BZ67" s="41"/>
      <c r="CA67" s="41"/>
      <c r="CB67" s="41"/>
      <c r="CC67" s="41"/>
      <c r="CD67" s="41"/>
      <c r="CE67" s="41"/>
      <c r="CF67" s="41"/>
      <c r="CG67" s="41"/>
      <c r="CH67" s="41"/>
      <c r="CI67" s="41"/>
      <c r="CJ67" s="41"/>
      <c r="CK67" s="41"/>
      <c r="CL67" s="41"/>
      <c r="CM67" s="41"/>
      <c r="CN67" s="41"/>
      <c r="CO67" s="41"/>
      <c r="CP67" s="41"/>
      <c r="CQ67" s="41"/>
      <c r="CR67" s="41"/>
      <c r="CS67" s="41"/>
      <c r="CT67" s="41"/>
      <c r="CU67" s="41"/>
      <c r="CV67" s="41"/>
      <c r="CW67" s="41"/>
    </row>
    <row r="68" spans="1:101" ht="16.5" x14ac:dyDescent="0.35">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c r="BJ68" s="41"/>
      <c r="BK68" s="41"/>
      <c r="BL68" s="41"/>
      <c r="BM68" s="41"/>
      <c r="BN68" s="41"/>
      <c r="BO68" s="41"/>
      <c r="BP68" s="41"/>
      <c r="BQ68" s="41"/>
      <c r="BR68" s="41"/>
      <c r="BS68" s="41"/>
      <c r="BT68" s="41"/>
      <c r="BU68" s="41"/>
      <c r="BV68" s="41"/>
      <c r="BW68" s="41"/>
      <c r="BX68" s="41"/>
      <c r="BY68" s="41"/>
      <c r="BZ68" s="41"/>
      <c r="CA68" s="41"/>
      <c r="CB68" s="41"/>
      <c r="CC68" s="41"/>
      <c r="CD68" s="41"/>
      <c r="CE68" s="41"/>
      <c r="CF68" s="41"/>
      <c r="CG68" s="41"/>
      <c r="CH68" s="41"/>
      <c r="CI68" s="41"/>
      <c r="CJ68" s="41"/>
      <c r="CK68" s="41"/>
      <c r="CL68" s="41"/>
      <c r="CM68" s="41"/>
      <c r="CN68" s="41"/>
      <c r="CO68" s="41"/>
      <c r="CP68" s="41"/>
      <c r="CQ68" s="41"/>
      <c r="CR68" s="41"/>
      <c r="CS68" s="41"/>
      <c r="CT68" s="41"/>
      <c r="CU68" s="41"/>
      <c r="CV68" s="41"/>
      <c r="CW68" s="41"/>
    </row>
    <row r="69" spans="1:101" ht="16.5" x14ac:dyDescent="0.35">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c r="BJ69" s="41"/>
      <c r="BK69" s="41"/>
      <c r="BL69" s="41"/>
      <c r="BM69" s="41"/>
      <c r="BN69" s="41"/>
      <c r="BO69" s="41"/>
      <c r="BP69" s="41"/>
      <c r="BQ69" s="41"/>
      <c r="BR69" s="41"/>
      <c r="BS69" s="41"/>
      <c r="BT69" s="41"/>
      <c r="BU69" s="41"/>
      <c r="BV69" s="41"/>
      <c r="BW69" s="41"/>
      <c r="BX69" s="41"/>
      <c r="BY69" s="41"/>
      <c r="BZ69" s="41"/>
      <c r="CA69" s="41"/>
      <c r="CB69" s="41"/>
      <c r="CC69" s="41"/>
      <c r="CD69" s="41"/>
      <c r="CE69" s="41"/>
      <c r="CF69" s="41"/>
      <c r="CG69" s="41"/>
      <c r="CH69" s="41"/>
      <c r="CI69" s="41"/>
      <c r="CJ69" s="41"/>
      <c r="CK69" s="41"/>
      <c r="CL69" s="41"/>
      <c r="CM69" s="41"/>
      <c r="CN69" s="41"/>
      <c r="CO69" s="41"/>
      <c r="CP69" s="41"/>
      <c r="CQ69" s="41"/>
      <c r="CR69" s="41"/>
      <c r="CS69" s="41"/>
      <c r="CT69" s="41"/>
      <c r="CU69" s="41"/>
      <c r="CV69" s="41"/>
      <c r="CW69" s="41"/>
    </row>
    <row r="70" spans="1:101" ht="16.5" x14ac:dyDescent="0.35">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1"/>
      <c r="CG70" s="41"/>
      <c r="CH70" s="41"/>
      <c r="CI70" s="41"/>
      <c r="CJ70" s="41"/>
      <c r="CK70" s="41"/>
      <c r="CL70" s="41"/>
      <c r="CM70" s="41"/>
      <c r="CN70" s="41"/>
      <c r="CO70" s="41"/>
      <c r="CP70" s="41"/>
      <c r="CQ70" s="41"/>
      <c r="CR70" s="41"/>
      <c r="CS70" s="41"/>
      <c r="CT70" s="41"/>
      <c r="CU70" s="41"/>
      <c r="CV70" s="41"/>
      <c r="CW70" s="41"/>
    </row>
    <row r="71" spans="1:101" ht="16.5" x14ac:dyDescent="0.35">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c r="BJ71" s="41"/>
      <c r="BK71" s="41"/>
      <c r="BL71" s="41"/>
      <c r="BM71" s="41"/>
      <c r="BN71" s="41"/>
      <c r="BO71" s="41"/>
      <c r="BP71" s="41"/>
      <c r="BQ71" s="41"/>
      <c r="BR71" s="41"/>
      <c r="BS71" s="41"/>
      <c r="BT71" s="41"/>
      <c r="BU71" s="41"/>
      <c r="BV71" s="41"/>
      <c r="BW71" s="41"/>
      <c r="BX71" s="41"/>
      <c r="BY71" s="41"/>
      <c r="BZ71" s="41"/>
      <c r="CA71" s="41"/>
      <c r="CB71" s="41"/>
      <c r="CC71" s="41"/>
      <c r="CD71" s="41"/>
      <c r="CE71" s="41"/>
      <c r="CF71" s="41"/>
      <c r="CG71" s="41"/>
      <c r="CH71" s="41"/>
      <c r="CI71" s="41"/>
      <c r="CJ71" s="41"/>
      <c r="CK71" s="41"/>
      <c r="CL71" s="41"/>
      <c r="CM71" s="41"/>
      <c r="CN71" s="41"/>
      <c r="CO71" s="41"/>
      <c r="CP71" s="41"/>
      <c r="CQ71" s="41"/>
      <c r="CR71" s="41"/>
      <c r="CS71" s="41"/>
      <c r="CT71" s="41"/>
      <c r="CU71" s="41"/>
      <c r="CV71" s="41"/>
      <c r="CW71" s="41"/>
    </row>
    <row r="72" spans="1:101" ht="16.5" x14ac:dyDescent="0.35">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c r="BJ72" s="41"/>
      <c r="BK72" s="41"/>
      <c r="BL72" s="41"/>
      <c r="BM72" s="41"/>
      <c r="BN72" s="41"/>
      <c r="BO72" s="41"/>
      <c r="BP72" s="41"/>
      <c r="BQ72" s="41"/>
      <c r="BR72" s="41"/>
      <c r="BS72" s="41"/>
      <c r="BT72" s="41"/>
      <c r="BU72" s="41"/>
      <c r="BV72" s="41"/>
      <c r="BW72" s="41"/>
      <c r="BX72" s="41"/>
      <c r="BY72" s="41"/>
      <c r="BZ72" s="41"/>
      <c r="CA72" s="41"/>
      <c r="CB72" s="41"/>
      <c r="CC72" s="41"/>
      <c r="CD72" s="41"/>
      <c r="CE72" s="41"/>
      <c r="CF72" s="41"/>
      <c r="CG72" s="41"/>
      <c r="CH72" s="41"/>
      <c r="CI72" s="41"/>
      <c r="CJ72" s="41"/>
      <c r="CK72" s="41"/>
      <c r="CL72" s="41"/>
      <c r="CM72" s="41"/>
      <c r="CN72" s="41"/>
      <c r="CO72" s="41"/>
      <c r="CP72" s="41"/>
      <c r="CQ72" s="41"/>
      <c r="CR72" s="41"/>
      <c r="CS72" s="41"/>
      <c r="CT72" s="41"/>
      <c r="CU72" s="41"/>
      <c r="CV72" s="41"/>
      <c r="CW72" s="41"/>
    </row>
    <row r="73" spans="1:101" ht="16.5" x14ac:dyDescent="0.35">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c r="CM73" s="41"/>
      <c r="CN73" s="41"/>
      <c r="CO73" s="41"/>
      <c r="CP73" s="41"/>
      <c r="CQ73" s="41"/>
      <c r="CR73" s="41"/>
      <c r="CS73" s="41"/>
      <c r="CT73" s="41"/>
      <c r="CU73" s="41"/>
      <c r="CV73" s="41"/>
      <c r="CW73" s="41"/>
    </row>
    <row r="74" spans="1:101" ht="16.5" x14ac:dyDescent="0.35">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c r="BW74" s="41"/>
      <c r="BX74" s="41"/>
      <c r="BY74" s="41"/>
      <c r="BZ74" s="41"/>
      <c r="CA74" s="41"/>
      <c r="CB74" s="41"/>
      <c r="CC74" s="41"/>
      <c r="CD74" s="41"/>
      <c r="CE74" s="41"/>
      <c r="CF74" s="41"/>
      <c r="CG74" s="41"/>
      <c r="CH74" s="41"/>
      <c r="CI74" s="41"/>
      <c r="CJ74" s="41"/>
      <c r="CK74" s="41"/>
      <c r="CL74" s="41"/>
      <c r="CM74" s="41"/>
      <c r="CN74" s="41"/>
      <c r="CO74" s="41"/>
      <c r="CP74" s="41"/>
      <c r="CQ74" s="41"/>
      <c r="CR74" s="41"/>
      <c r="CS74" s="41"/>
      <c r="CT74" s="41"/>
      <c r="CU74" s="41"/>
      <c r="CV74" s="41"/>
      <c r="CW74" s="41"/>
    </row>
    <row r="75" spans="1:101" ht="16.5" x14ac:dyDescent="0.35">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c r="CM75" s="41"/>
      <c r="CN75" s="41"/>
      <c r="CO75" s="41"/>
      <c r="CP75" s="41"/>
      <c r="CQ75" s="41"/>
      <c r="CR75" s="41"/>
      <c r="CS75" s="41"/>
      <c r="CT75" s="41"/>
      <c r="CU75" s="41"/>
      <c r="CV75" s="41"/>
      <c r="CW75" s="41"/>
    </row>
    <row r="76" spans="1:101" ht="16.5" x14ac:dyDescent="0.35">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1"/>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c r="BW76" s="41"/>
      <c r="BX76" s="41"/>
      <c r="BY76" s="41"/>
      <c r="BZ76" s="41"/>
      <c r="CA76" s="41"/>
      <c r="CB76" s="41"/>
      <c r="CC76" s="41"/>
      <c r="CD76" s="41"/>
      <c r="CE76" s="41"/>
      <c r="CF76" s="41"/>
      <c r="CG76" s="41"/>
      <c r="CH76" s="41"/>
      <c r="CI76" s="41"/>
      <c r="CJ76" s="41"/>
      <c r="CK76" s="41"/>
      <c r="CL76" s="41"/>
      <c r="CM76" s="41"/>
      <c r="CN76" s="41"/>
      <c r="CO76" s="41"/>
      <c r="CP76" s="41"/>
      <c r="CQ76" s="41"/>
      <c r="CR76" s="41"/>
      <c r="CS76" s="41"/>
      <c r="CT76" s="41"/>
      <c r="CU76" s="41"/>
      <c r="CV76" s="41"/>
      <c r="CW76" s="41"/>
    </row>
    <row r="77" spans="1:101" ht="16.5" x14ac:dyDescent="0.35">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c r="BW77" s="41"/>
      <c r="BX77" s="41"/>
      <c r="BY77" s="41"/>
      <c r="BZ77" s="41"/>
      <c r="CA77" s="41"/>
      <c r="CB77" s="41"/>
      <c r="CC77" s="41"/>
      <c r="CD77" s="41"/>
      <c r="CE77" s="41"/>
      <c r="CF77" s="41"/>
      <c r="CG77" s="41"/>
      <c r="CH77" s="41"/>
      <c r="CI77" s="41"/>
      <c r="CJ77" s="41"/>
      <c r="CK77" s="41"/>
      <c r="CL77" s="41"/>
      <c r="CM77" s="41"/>
      <c r="CN77" s="41"/>
      <c r="CO77" s="41"/>
      <c r="CP77" s="41"/>
      <c r="CQ77" s="41"/>
      <c r="CR77" s="41"/>
      <c r="CS77" s="41"/>
      <c r="CT77" s="41"/>
      <c r="CU77" s="41"/>
      <c r="CV77" s="41"/>
      <c r="CW77" s="41"/>
    </row>
    <row r="78" spans="1:101" ht="16.5" x14ac:dyDescent="0.35">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c r="BJ78" s="41"/>
      <c r="BK78" s="41"/>
      <c r="BL78" s="41"/>
      <c r="BM78" s="41"/>
      <c r="BN78" s="41"/>
      <c r="BO78" s="41"/>
      <c r="BP78" s="41"/>
      <c r="BQ78" s="41"/>
      <c r="BR78" s="41"/>
      <c r="BS78" s="41"/>
      <c r="BT78" s="41"/>
      <c r="BU78" s="41"/>
      <c r="BV78" s="41"/>
      <c r="BW78" s="41"/>
      <c r="BX78" s="41"/>
      <c r="BY78" s="41"/>
      <c r="BZ78" s="41"/>
      <c r="CA78" s="41"/>
      <c r="CB78" s="41"/>
      <c r="CC78" s="41"/>
      <c r="CD78" s="41"/>
      <c r="CE78" s="41"/>
      <c r="CF78" s="41"/>
      <c r="CG78" s="41"/>
      <c r="CH78" s="41"/>
      <c r="CI78" s="41"/>
      <c r="CJ78" s="41"/>
      <c r="CK78" s="41"/>
      <c r="CL78" s="41"/>
      <c r="CM78" s="41"/>
      <c r="CN78" s="41"/>
      <c r="CO78" s="41"/>
      <c r="CP78" s="41"/>
      <c r="CQ78" s="41"/>
      <c r="CR78" s="41"/>
      <c r="CS78" s="41"/>
      <c r="CT78" s="41"/>
      <c r="CU78" s="41"/>
      <c r="CV78" s="41"/>
      <c r="CW78" s="41"/>
    </row>
    <row r="79" spans="1:101" ht="16.5" x14ac:dyDescent="0.35">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c r="BJ79" s="41"/>
      <c r="BK79" s="41"/>
      <c r="BL79" s="41"/>
      <c r="BM79" s="41"/>
      <c r="BN79" s="41"/>
      <c r="BO79" s="41"/>
      <c r="BP79" s="41"/>
      <c r="BQ79" s="41"/>
      <c r="BR79" s="41"/>
      <c r="BS79" s="41"/>
      <c r="BT79" s="41"/>
      <c r="BU79" s="41"/>
      <c r="BV79" s="41"/>
      <c r="BW79" s="41"/>
      <c r="BX79" s="41"/>
      <c r="BY79" s="41"/>
      <c r="BZ79" s="41"/>
      <c r="CA79" s="41"/>
      <c r="CB79" s="41"/>
      <c r="CC79" s="41"/>
      <c r="CD79" s="41"/>
      <c r="CE79" s="41"/>
      <c r="CF79" s="41"/>
      <c r="CG79" s="41"/>
      <c r="CH79" s="41"/>
      <c r="CI79" s="41"/>
      <c r="CJ79" s="41"/>
      <c r="CK79" s="41"/>
      <c r="CL79" s="41"/>
      <c r="CM79" s="41"/>
      <c r="CN79" s="41"/>
      <c r="CO79" s="41"/>
      <c r="CP79" s="41"/>
      <c r="CQ79" s="41"/>
      <c r="CR79" s="41"/>
      <c r="CS79" s="41"/>
      <c r="CT79" s="41"/>
      <c r="CU79" s="41"/>
      <c r="CV79" s="41"/>
      <c r="CW79" s="41"/>
    </row>
    <row r="80" spans="1:101" ht="16.5" x14ac:dyDescent="0.3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c r="BJ80" s="41"/>
      <c r="BK80" s="41"/>
      <c r="BL80" s="41"/>
      <c r="BM80" s="41"/>
      <c r="BN80" s="41"/>
      <c r="BO80" s="41"/>
      <c r="BP80" s="41"/>
      <c r="BQ80" s="41"/>
      <c r="BR80" s="41"/>
      <c r="BS80" s="41"/>
      <c r="BT80" s="41"/>
      <c r="BU80" s="41"/>
      <c r="BV80" s="41"/>
      <c r="BW80" s="41"/>
      <c r="BX80" s="41"/>
      <c r="BY80" s="41"/>
      <c r="BZ80" s="41"/>
      <c r="CA80" s="41"/>
      <c r="CB80" s="41"/>
      <c r="CC80" s="41"/>
      <c r="CD80" s="41"/>
      <c r="CE80" s="41"/>
      <c r="CF80" s="41"/>
      <c r="CG80" s="41"/>
      <c r="CH80" s="41"/>
      <c r="CI80" s="41"/>
      <c r="CJ80" s="41"/>
      <c r="CK80" s="41"/>
      <c r="CL80" s="41"/>
      <c r="CM80" s="41"/>
      <c r="CN80" s="41"/>
      <c r="CO80" s="41"/>
      <c r="CP80" s="41"/>
      <c r="CQ80" s="41"/>
      <c r="CR80" s="41"/>
      <c r="CS80" s="41"/>
      <c r="CT80" s="41"/>
      <c r="CU80" s="41"/>
      <c r="CV80" s="41"/>
      <c r="CW80" s="41"/>
    </row>
    <row r="81" spans="1:101" ht="16.5" x14ac:dyDescent="0.3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c r="BJ81" s="41"/>
      <c r="BK81" s="41"/>
      <c r="BL81" s="41"/>
      <c r="BM81" s="41"/>
      <c r="BN81" s="41"/>
      <c r="BO81" s="41"/>
      <c r="BP81" s="41"/>
      <c r="BQ81" s="41"/>
      <c r="BR81" s="41"/>
      <c r="BS81" s="41"/>
      <c r="BT81" s="41"/>
      <c r="BU81" s="41"/>
      <c r="BV81" s="41"/>
      <c r="BW81" s="41"/>
      <c r="BX81" s="41"/>
      <c r="BY81" s="41"/>
      <c r="BZ81" s="41"/>
      <c r="CA81" s="41"/>
      <c r="CB81" s="41"/>
      <c r="CC81" s="41"/>
      <c r="CD81" s="41"/>
      <c r="CE81" s="41"/>
      <c r="CF81" s="41"/>
      <c r="CG81" s="41"/>
      <c r="CH81" s="41"/>
      <c r="CI81" s="41"/>
      <c r="CJ81" s="41"/>
      <c r="CK81" s="41"/>
      <c r="CL81" s="41"/>
      <c r="CM81" s="41"/>
      <c r="CN81" s="41"/>
      <c r="CO81" s="41"/>
      <c r="CP81" s="41"/>
      <c r="CQ81" s="41"/>
      <c r="CR81" s="41"/>
      <c r="CS81" s="41"/>
      <c r="CT81" s="41"/>
      <c r="CU81" s="41"/>
      <c r="CV81" s="41"/>
      <c r="CW81" s="41"/>
    </row>
    <row r="82" spans="1:101" ht="16.5" x14ac:dyDescent="0.3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c r="CM82" s="41"/>
      <c r="CN82" s="41"/>
      <c r="CO82" s="41"/>
      <c r="CP82" s="41"/>
      <c r="CQ82" s="41"/>
      <c r="CR82" s="41"/>
      <c r="CS82" s="41"/>
      <c r="CT82" s="41"/>
      <c r="CU82" s="41"/>
      <c r="CV82" s="41"/>
      <c r="CW82" s="41"/>
    </row>
    <row r="83" spans="1:101" ht="16.5" x14ac:dyDescent="0.3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c r="BW83" s="41"/>
      <c r="BX83" s="41"/>
      <c r="BY83" s="41"/>
      <c r="BZ83" s="41"/>
      <c r="CA83" s="41"/>
      <c r="CB83" s="41"/>
      <c r="CC83" s="41"/>
      <c r="CD83" s="41"/>
      <c r="CE83" s="41"/>
      <c r="CF83" s="41"/>
      <c r="CG83" s="41"/>
      <c r="CH83" s="41"/>
      <c r="CI83" s="41"/>
      <c r="CJ83" s="41"/>
      <c r="CK83" s="41"/>
      <c r="CL83" s="41"/>
      <c r="CM83" s="41"/>
      <c r="CN83" s="41"/>
      <c r="CO83" s="41"/>
      <c r="CP83" s="41"/>
      <c r="CQ83" s="41"/>
      <c r="CR83" s="41"/>
      <c r="CS83" s="41"/>
      <c r="CT83" s="41"/>
      <c r="CU83" s="41"/>
      <c r="CV83" s="41"/>
      <c r="CW83" s="41"/>
    </row>
    <row r="84" spans="1:101" ht="16.5" x14ac:dyDescent="0.3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c r="BW84" s="41"/>
      <c r="BX84" s="41"/>
      <c r="BY84" s="41"/>
      <c r="BZ84" s="41"/>
      <c r="CA84" s="41"/>
      <c r="CB84" s="41"/>
      <c r="CC84" s="41"/>
      <c r="CD84" s="41"/>
      <c r="CE84" s="41"/>
      <c r="CF84" s="41"/>
      <c r="CG84" s="41"/>
      <c r="CH84" s="41"/>
      <c r="CI84" s="41"/>
      <c r="CJ84" s="41"/>
      <c r="CK84" s="41"/>
      <c r="CL84" s="41"/>
      <c r="CM84" s="41"/>
      <c r="CN84" s="41"/>
      <c r="CO84" s="41"/>
      <c r="CP84" s="41"/>
      <c r="CQ84" s="41"/>
      <c r="CR84" s="41"/>
      <c r="CS84" s="41"/>
      <c r="CT84" s="41"/>
      <c r="CU84" s="41"/>
      <c r="CV84" s="41"/>
      <c r="CW84" s="41"/>
    </row>
    <row r="85" spans="1:101" ht="16.5" x14ac:dyDescent="0.3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c r="BW85" s="41"/>
      <c r="BX85" s="41"/>
      <c r="BY85" s="41"/>
      <c r="BZ85" s="41"/>
      <c r="CA85" s="41"/>
      <c r="CB85" s="41"/>
      <c r="CC85" s="41"/>
      <c r="CD85" s="41"/>
      <c r="CE85" s="41"/>
      <c r="CF85" s="41"/>
      <c r="CG85" s="41"/>
      <c r="CH85" s="41"/>
      <c r="CI85" s="41"/>
      <c r="CJ85" s="41"/>
      <c r="CK85" s="41"/>
      <c r="CL85" s="41"/>
      <c r="CM85" s="41"/>
      <c r="CN85" s="41"/>
      <c r="CO85" s="41"/>
      <c r="CP85" s="41"/>
      <c r="CQ85" s="41"/>
      <c r="CR85" s="41"/>
      <c r="CS85" s="41"/>
      <c r="CT85" s="41"/>
      <c r="CU85" s="41"/>
      <c r="CV85" s="41"/>
      <c r="CW85" s="41"/>
    </row>
    <row r="86" spans="1:101" ht="16.5" x14ac:dyDescent="0.3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c r="BL86" s="41"/>
      <c r="BM86" s="41"/>
      <c r="BN86" s="41"/>
      <c r="BO86" s="41"/>
      <c r="BP86" s="41"/>
      <c r="BQ86" s="41"/>
      <c r="BR86" s="41"/>
      <c r="BS86" s="41"/>
      <c r="BT86" s="41"/>
      <c r="BU86" s="41"/>
      <c r="BV86" s="41"/>
      <c r="BW86" s="41"/>
      <c r="BX86" s="41"/>
      <c r="BY86" s="41"/>
      <c r="BZ86" s="41"/>
      <c r="CA86" s="41"/>
      <c r="CB86" s="41"/>
      <c r="CC86" s="41"/>
      <c r="CD86" s="41"/>
      <c r="CE86" s="41"/>
      <c r="CF86" s="41"/>
      <c r="CG86" s="41"/>
      <c r="CH86" s="41"/>
      <c r="CI86" s="41"/>
      <c r="CJ86" s="41"/>
      <c r="CK86" s="41"/>
      <c r="CL86" s="41"/>
      <c r="CM86" s="41"/>
      <c r="CN86" s="41"/>
      <c r="CO86" s="41"/>
      <c r="CP86" s="41"/>
      <c r="CQ86" s="41"/>
      <c r="CR86" s="41"/>
      <c r="CS86" s="41"/>
      <c r="CT86" s="41"/>
      <c r="CU86" s="41"/>
      <c r="CV86" s="41"/>
      <c r="CW86" s="41"/>
    </row>
    <row r="87" spans="1:101" ht="16.5" x14ac:dyDescent="0.3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c r="BJ87" s="41"/>
      <c r="BK87" s="41"/>
      <c r="BL87" s="41"/>
      <c r="BM87" s="41"/>
      <c r="BN87" s="41"/>
      <c r="BO87" s="41"/>
      <c r="BP87" s="41"/>
      <c r="BQ87" s="41"/>
      <c r="BR87" s="41"/>
      <c r="BS87" s="41"/>
      <c r="BT87" s="41"/>
      <c r="BU87" s="41"/>
      <c r="BV87" s="41"/>
      <c r="BW87" s="41"/>
      <c r="BX87" s="41"/>
      <c r="BY87" s="41"/>
      <c r="BZ87" s="41"/>
      <c r="CA87" s="41"/>
      <c r="CB87" s="41"/>
      <c r="CC87" s="41"/>
      <c r="CD87" s="41"/>
      <c r="CE87" s="41"/>
      <c r="CF87" s="41"/>
      <c r="CG87" s="41"/>
      <c r="CH87" s="41"/>
      <c r="CI87" s="41"/>
      <c r="CJ87" s="41"/>
      <c r="CK87" s="41"/>
      <c r="CL87" s="41"/>
      <c r="CM87" s="41"/>
      <c r="CN87" s="41"/>
      <c r="CO87" s="41"/>
      <c r="CP87" s="41"/>
      <c r="CQ87" s="41"/>
      <c r="CR87" s="41"/>
      <c r="CS87" s="41"/>
      <c r="CT87" s="41"/>
      <c r="CU87" s="41"/>
      <c r="CV87" s="41"/>
      <c r="CW87" s="41"/>
    </row>
    <row r="88" spans="1:101" ht="16.5" x14ac:dyDescent="0.3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c r="BJ88" s="41"/>
      <c r="BK88" s="41"/>
      <c r="BL88" s="41"/>
      <c r="BM88" s="41"/>
      <c r="BN88" s="41"/>
      <c r="BO88" s="41"/>
      <c r="BP88" s="41"/>
      <c r="BQ88" s="41"/>
      <c r="BR88" s="41"/>
      <c r="BS88" s="41"/>
      <c r="BT88" s="41"/>
      <c r="BU88" s="41"/>
      <c r="BV88" s="41"/>
      <c r="BW88" s="41"/>
      <c r="BX88" s="41"/>
      <c r="BY88" s="41"/>
      <c r="BZ88" s="41"/>
      <c r="CA88" s="41"/>
      <c r="CB88" s="41"/>
      <c r="CC88" s="41"/>
      <c r="CD88" s="41"/>
      <c r="CE88" s="41"/>
      <c r="CF88" s="41"/>
      <c r="CG88" s="41"/>
      <c r="CH88" s="41"/>
      <c r="CI88" s="41"/>
      <c r="CJ88" s="41"/>
      <c r="CK88" s="41"/>
      <c r="CL88" s="41"/>
      <c r="CM88" s="41"/>
      <c r="CN88" s="41"/>
      <c r="CO88" s="41"/>
      <c r="CP88" s="41"/>
      <c r="CQ88" s="41"/>
      <c r="CR88" s="41"/>
      <c r="CS88" s="41"/>
      <c r="CT88" s="41"/>
      <c r="CU88" s="41"/>
      <c r="CV88" s="41"/>
      <c r="CW88" s="41"/>
    </row>
    <row r="89" spans="1:101" ht="16.5" x14ac:dyDescent="0.3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c r="BJ89" s="41"/>
      <c r="BK89" s="41"/>
      <c r="BL89" s="41"/>
      <c r="BM89" s="41"/>
      <c r="BN89" s="41"/>
      <c r="BO89" s="41"/>
      <c r="BP89" s="41"/>
      <c r="BQ89" s="41"/>
      <c r="BR89" s="41"/>
      <c r="BS89" s="41"/>
      <c r="BT89" s="41"/>
      <c r="BU89" s="41"/>
      <c r="BV89" s="41"/>
      <c r="BW89" s="41"/>
      <c r="BX89" s="41"/>
      <c r="BY89" s="41"/>
      <c r="BZ89" s="41"/>
      <c r="CA89" s="41"/>
      <c r="CB89" s="41"/>
      <c r="CC89" s="41"/>
      <c r="CD89" s="41"/>
      <c r="CE89" s="41"/>
      <c r="CF89" s="41"/>
      <c r="CG89" s="41"/>
      <c r="CH89" s="41"/>
      <c r="CI89" s="41"/>
      <c r="CJ89" s="41"/>
      <c r="CK89" s="41"/>
      <c r="CL89" s="41"/>
      <c r="CM89" s="41"/>
      <c r="CN89" s="41"/>
      <c r="CO89" s="41"/>
      <c r="CP89" s="41"/>
      <c r="CQ89" s="41"/>
      <c r="CR89" s="41"/>
      <c r="CS89" s="41"/>
      <c r="CT89" s="41"/>
      <c r="CU89" s="41"/>
      <c r="CV89" s="41"/>
      <c r="CW89" s="41"/>
    </row>
    <row r="90" spans="1:101" ht="16.5" x14ac:dyDescent="0.35">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c r="BJ90" s="41"/>
      <c r="BK90" s="41"/>
      <c r="BL90" s="41"/>
      <c r="BM90" s="41"/>
      <c r="BN90" s="41"/>
      <c r="BO90" s="41"/>
      <c r="BP90" s="41"/>
      <c r="BQ90" s="41"/>
      <c r="BR90" s="41"/>
      <c r="BS90" s="41"/>
      <c r="BT90" s="41"/>
      <c r="BU90" s="41"/>
      <c r="BV90" s="41"/>
      <c r="BW90" s="41"/>
      <c r="BX90" s="41"/>
      <c r="BY90" s="41"/>
      <c r="BZ90" s="41"/>
      <c r="CA90" s="41"/>
      <c r="CB90" s="41"/>
      <c r="CC90" s="41"/>
      <c r="CD90" s="41"/>
      <c r="CE90" s="41"/>
      <c r="CF90" s="41"/>
      <c r="CG90" s="41"/>
      <c r="CH90" s="41"/>
      <c r="CI90" s="41"/>
      <c r="CJ90" s="41"/>
      <c r="CK90" s="41"/>
      <c r="CL90" s="41"/>
      <c r="CM90" s="41"/>
      <c r="CN90" s="41"/>
      <c r="CO90" s="41"/>
      <c r="CP90" s="41"/>
      <c r="CQ90" s="41"/>
      <c r="CR90" s="41"/>
      <c r="CS90" s="41"/>
      <c r="CT90" s="41"/>
      <c r="CU90" s="41"/>
      <c r="CV90" s="41"/>
      <c r="CW90" s="41"/>
    </row>
    <row r="91" spans="1:101" ht="16.5" x14ac:dyDescent="0.35">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c r="BW91" s="41"/>
      <c r="BX91" s="41"/>
      <c r="BY91" s="41"/>
      <c r="BZ91" s="41"/>
      <c r="CA91" s="41"/>
      <c r="CB91" s="41"/>
      <c r="CC91" s="41"/>
      <c r="CD91" s="41"/>
      <c r="CE91" s="41"/>
      <c r="CF91" s="41"/>
      <c r="CG91" s="41"/>
      <c r="CH91" s="41"/>
      <c r="CI91" s="41"/>
      <c r="CJ91" s="41"/>
      <c r="CK91" s="41"/>
      <c r="CL91" s="41"/>
      <c r="CM91" s="41"/>
      <c r="CN91" s="41"/>
      <c r="CO91" s="41"/>
      <c r="CP91" s="41"/>
      <c r="CQ91" s="41"/>
      <c r="CR91" s="41"/>
      <c r="CS91" s="41"/>
      <c r="CT91" s="41"/>
      <c r="CU91" s="41"/>
      <c r="CV91" s="41"/>
      <c r="CW91" s="41"/>
    </row>
    <row r="92" spans="1:101" ht="16.5" x14ac:dyDescent="0.35">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c r="BW92" s="41"/>
      <c r="BX92" s="41"/>
      <c r="BY92" s="41"/>
      <c r="BZ92" s="41"/>
      <c r="CA92" s="41"/>
      <c r="CB92" s="41"/>
      <c r="CC92" s="41"/>
      <c r="CD92" s="41"/>
      <c r="CE92" s="41"/>
      <c r="CF92" s="41"/>
      <c r="CG92" s="41"/>
      <c r="CH92" s="41"/>
      <c r="CI92" s="41"/>
      <c r="CJ92" s="41"/>
      <c r="CK92" s="41"/>
      <c r="CL92" s="41"/>
      <c r="CM92" s="41"/>
      <c r="CN92" s="41"/>
      <c r="CO92" s="41"/>
      <c r="CP92" s="41"/>
      <c r="CQ92" s="41"/>
      <c r="CR92" s="41"/>
      <c r="CS92" s="41"/>
      <c r="CT92" s="41"/>
      <c r="CU92" s="41"/>
      <c r="CV92" s="41"/>
      <c r="CW92" s="41"/>
    </row>
    <row r="93" spans="1:101" ht="16.5" x14ac:dyDescent="0.35">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c r="BJ93" s="41"/>
      <c r="BK93" s="41"/>
      <c r="BL93" s="41"/>
      <c r="BM93" s="41"/>
      <c r="BN93" s="41"/>
      <c r="BO93" s="41"/>
      <c r="BP93" s="41"/>
      <c r="BQ93" s="41"/>
      <c r="BR93" s="41"/>
      <c r="BS93" s="41"/>
      <c r="BT93" s="41"/>
      <c r="BU93" s="41"/>
      <c r="BV93" s="41"/>
      <c r="BW93" s="41"/>
      <c r="BX93" s="41"/>
      <c r="BY93" s="41"/>
      <c r="BZ93" s="41"/>
      <c r="CA93" s="41"/>
      <c r="CB93" s="41"/>
      <c r="CC93" s="41"/>
      <c r="CD93" s="41"/>
      <c r="CE93" s="41"/>
      <c r="CF93" s="41"/>
      <c r="CG93" s="41"/>
      <c r="CH93" s="41"/>
      <c r="CI93" s="41"/>
      <c r="CJ93" s="41"/>
      <c r="CK93" s="41"/>
      <c r="CL93" s="41"/>
      <c r="CM93" s="41"/>
      <c r="CN93" s="41"/>
      <c r="CO93" s="41"/>
      <c r="CP93" s="41"/>
      <c r="CQ93" s="41"/>
      <c r="CR93" s="41"/>
      <c r="CS93" s="41"/>
      <c r="CT93" s="41"/>
      <c r="CU93" s="41"/>
      <c r="CV93" s="41"/>
      <c r="CW93" s="41"/>
    </row>
    <row r="94" spans="1:101" ht="16.5" x14ac:dyDescent="0.35">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41"/>
      <c r="AK94" s="41"/>
      <c r="AL94" s="41"/>
      <c r="AM94" s="41"/>
      <c r="AN94" s="41"/>
      <c r="AO94" s="41"/>
      <c r="AP94" s="41"/>
      <c r="AQ94" s="41"/>
      <c r="AR94" s="41"/>
      <c r="AS94" s="41"/>
      <c r="AT94" s="41"/>
      <c r="AU94" s="41"/>
      <c r="AV94" s="41"/>
      <c r="AW94" s="41"/>
      <c r="AX94" s="41"/>
      <c r="AY94" s="41"/>
      <c r="AZ94" s="41"/>
      <c r="BA94" s="41"/>
      <c r="BB94" s="41"/>
      <c r="BC94" s="41"/>
      <c r="BD94" s="41"/>
      <c r="BE94" s="41"/>
      <c r="BF94" s="41"/>
      <c r="BG94" s="41"/>
      <c r="BH94" s="41"/>
      <c r="BI94" s="41"/>
      <c r="BJ94" s="41"/>
      <c r="BK94" s="41"/>
      <c r="BL94" s="41"/>
      <c r="BM94" s="41"/>
      <c r="BN94" s="41"/>
      <c r="BO94" s="41"/>
      <c r="BP94" s="41"/>
      <c r="BQ94" s="41"/>
      <c r="BR94" s="41"/>
      <c r="BS94" s="41"/>
      <c r="BT94" s="41"/>
      <c r="BU94" s="41"/>
      <c r="BV94" s="41"/>
      <c r="BW94" s="41"/>
      <c r="BX94" s="41"/>
      <c r="BY94" s="41"/>
      <c r="BZ94" s="41"/>
      <c r="CA94" s="41"/>
      <c r="CB94" s="41"/>
      <c r="CC94" s="41"/>
      <c r="CD94" s="41"/>
      <c r="CE94" s="41"/>
      <c r="CF94" s="41"/>
      <c r="CG94" s="41"/>
      <c r="CH94" s="41"/>
      <c r="CI94" s="41"/>
      <c r="CJ94" s="41"/>
      <c r="CK94" s="41"/>
      <c r="CL94" s="41"/>
      <c r="CM94" s="41"/>
      <c r="CN94" s="41"/>
      <c r="CO94" s="41"/>
      <c r="CP94" s="41"/>
      <c r="CQ94" s="41"/>
      <c r="CR94" s="41"/>
      <c r="CS94" s="41"/>
      <c r="CT94" s="41"/>
      <c r="CU94" s="41"/>
      <c r="CV94" s="41"/>
      <c r="CW94" s="41"/>
    </row>
    <row r="95" spans="1:101" ht="16.5" x14ac:dyDescent="0.35">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c r="AA95" s="41"/>
      <c r="AB95" s="41"/>
      <c r="AC95" s="41"/>
      <c r="AD95" s="41"/>
      <c r="AE95" s="41"/>
      <c r="AF95" s="41"/>
      <c r="AG95" s="41"/>
      <c r="AH95" s="41"/>
      <c r="AI95" s="41"/>
      <c r="AJ95" s="41"/>
      <c r="AK95" s="41"/>
      <c r="AL95" s="41"/>
      <c r="AM95" s="41"/>
      <c r="AN95" s="41"/>
      <c r="AO95" s="41"/>
      <c r="AP95" s="41"/>
      <c r="AQ95" s="41"/>
      <c r="AR95" s="41"/>
      <c r="AS95" s="41"/>
      <c r="AT95" s="41"/>
      <c r="AU95" s="41"/>
      <c r="AV95" s="41"/>
      <c r="AW95" s="41"/>
      <c r="AX95" s="41"/>
      <c r="AY95" s="41"/>
      <c r="AZ95" s="41"/>
      <c r="BA95" s="41"/>
      <c r="BB95" s="41"/>
      <c r="BC95" s="41"/>
      <c r="BD95" s="41"/>
      <c r="BE95" s="41"/>
      <c r="BF95" s="41"/>
      <c r="BG95" s="41"/>
      <c r="BH95" s="41"/>
      <c r="BI95" s="41"/>
      <c r="BJ95" s="41"/>
      <c r="BK95" s="41"/>
      <c r="BL95" s="41"/>
      <c r="BM95" s="41"/>
      <c r="BN95" s="41"/>
      <c r="BO95" s="41"/>
      <c r="BP95" s="41"/>
      <c r="BQ95" s="41"/>
      <c r="BR95" s="41"/>
      <c r="BS95" s="41"/>
      <c r="BT95" s="41"/>
      <c r="BU95" s="41"/>
      <c r="BV95" s="41"/>
      <c r="BW95" s="41"/>
      <c r="BX95" s="41"/>
      <c r="BY95" s="41"/>
      <c r="BZ95" s="41"/>
      <c r="CA95" s="41"/>
      <c r="CB95" s="41"/>
      <c r="CC95" s="41"/>
      <c r="CD95" s="41"/>
      <c r="CE95" s="41"/>
      <c r="CF95" s="41"/>
      <c r="CG95" s="41"/>
      <c r="CH95" s="41"/>
      <c r="CI95" s="41"/>
      <c r="CJ95" s="41"/>
      <c r="CK95" s="41"/>
      <c r="CL95" s="41"/>
      <c r="CM95" s="41"/>
      <c r="CN95" s="41"/>
      <c r="CO95" s="41"/>
      <c r="CP95" s="41"/>
      <c r="CQ95" s="41"/>
      <c r="CR95" s="41"/>
      <c r="CS95" s="41"/>
      <c r="CT95" s="41"/>
      <c r="CU95" s="41"/>
      <c r="CV95" s="41"/>
      <c r="CW95" s="41"/>
    </row>
    <row r="96" spans="1:101" ht="16.5" x14ac:dyDescent="0.35">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c r="AA96" s="41"/>
      <c r="AB96" s="41"/>
      <c r="AC96" s="41"/>
      <c r="AD96" s="41"/>
      <c r="AE96" s="41"/>
      <c r="AF96" s="41"/>
      <c r="AG96" s="41"/>
      <c r="AH96" s="41"/>
      <c r="AI96" s="41"/>
      <c r="AJ96" s="41"/>
      <c r="AK96" s="41"/>
      <c r="AL96" s="41"/>
      <c r="AM96" s="41"/>
      <c r="AN96" s="41"/>
      <c r="AO96" s="41"/>
      <c r="AP96" s="41"/>
      <c r="AQ96" s="41"/>
      <c r="AR96" s="41"/>
      <c r="AS96" s="41"/>
      <c r="AT96" s="41"/>
      <c r="AU96" s="41"/>
      <c r="AV96" s="41"/>
      <c r="AW96" s="41"/>
      <c r="AX96" s="41"/>
      <c r="AY96" s="41"/>
      <c r="AZ96" s="41"/>
      <c r="BA96" s="41"/>
      <c r="BB96" s="41"/>
      <c r="BC96" s="41"/>
      <c r="BD96" s="41"/>
      <c r="BE96" s="41"/>
      <c r="BF96" s="41"/>
      <c r="BG96" s="41"/>
      <c r="BH96" s="41"/>
      <c r="BI96" s="41"/>
      <c r="BJ96" s="41"/>
      <c r="BK96" s="41"/>
      <c r="BL96" s="41"/>
      <c r="BM96" s="41"/>
      <c r="BN96" s="41"/>
      <c r="BO96" s="41"/>
      <c r="BP96" s="41"/>
      <c r="BQ96" s="41"/>
      <c r="BR96" s="41"/>
      <c r="BS96" s="41"/>
      <c r="BT96" s="41"/>
      <c r="BU96" s="41"/>
      <c r="BV96" s="41"/>
      <c r="BW96" s="41"/>
      <c r="BX96" s="41"/>
      <c r="BY96" s="41"/>
      <c r="BZ96" s="41"/>
      <c r="CA96" s="41"/>
      <c r="CB96" s="41"/>
      <c r="CC96" s="41"/>
      <c r="CD96" s="41"/>
      <c r="CE96" s="41"/>
      <c r="CF96" s="41"/>
      <c r="CG96" s="41"/>
      <c r="CH96" s="41"/>
      <c r="CI96" s="41"/>
      <c r="CJ96" s="41"/>
      <c r="CK96" s="41"/>
      <c r="CL96" s="41"/>
      <c r="CM96" s="41"/>
      <c r="CN96" s="41"/>
      <c r="CO96" s="41"/>
      <c r="CP96" s="41"/>
      <c r="CQ96" s="41"/>
      <c r="CR96" s="41"/>
      <c r="CS96" s="41"/>
      <c r="CT96" s="41"/>
      <c r="CU96" s="41"/>
      <c r="CV96" s="41"/>
      <c r="CW96" s="41"/>
    </row>
    <row r="97" spans="1:101" ht="16.5" x14ac:dyDescent="0.35">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c r="BJ97" s="41"/>
      <c r="BK97" s="41"/>
      <c r="BL97" s="41"/>
      <c r="BM97" s="41"/>
      <c r="BN97" s="41"/>
      <c r="BO97" s="41"/>
      <c r="BP97" s="41"/>
      <c r="BQ97" s="41"/>
      <c r="BR97" s="41"/>
      <c r="BS97" s="41"/>
      <c r="BT97" s="41"/>
      <c r="BU97" s="41"/>
      <c r="BV97" s="41"/>
      <c r="BW97" s="41"/>
      <c r="BX97" s="41"/>
      <c r="BY97" s="41"/>
      <c r="BZ97" s="41"/>
      <c r="CA97" s="41"/>
      <c r="CB97" s="41"/>
      <c r="CC97" s="41"/>
      <c r="CD97" s="41"/>
      <c r="CE97" s="41"/>
      <c r="CF97" s="41"/>
      <c r="CG97" s="41"/>
      <c r="CH97" s="41"/>
      <c r="CI97" s="41"/>
      <c r="CJ97" s="41"/>
      <c r="CK97" s="41"/>
      <c r="CL97" s="41"/>
      <c r="CM97" s="41"/>
      <c r="CN97" s="41"/>
      <c r="CO97" s="41"/>
      <c r="CP97" s="41"/>
      <c r="CQ97" s="41"/>
      <c r="CR97" s="41"/>
      <c r="CS97" s="41"/>
      <c r="CT97" s="41"/>
      <c r="CU97" s="41"/>
      <c r="CV97" s="41"/>
      <c r="CW97" s="41"/>
    </row>
    <row r="98" spans="1:101" ht="16.5" x14ac:dyDescent="0.35">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c r="BJ98" s="41"/>
      <c r="BK98" s="41"/>
      <c r="BL98" s="41"/>
      <c r="BM98" s="41"/>
      <c r="BN98" s="41"/>
      <c r="BO98" s="41"/>
      <c r="BP98" s="41"/>
      <c r="BQ98" s="41"/>
      <c r="BR98" s="41"/>
      <c r="BS98" s="41"/>
      <c r="BT98" s="41"/>
      <c r="BU98" s="41"/>
      <c r="BV98" s="41"/>
      <c r="BW98" s="41"/>
      <c r="BX98" s="41"/>
      <c r="BY98" s="41"/>
      <c r="BZ98" s="41"/>
      <c r="CA98" s="41"/>
      <c r="CB98" s="41"/>
      <c r="CC98" s="41"/>
      <c r="CD98" s="41"/>
      <c r="CE98" s="41"/>
      <c r="CF98" s="41"/>
      <c r="CG98" s="41"/>
      <c r="CH98" s="41"/>
      <c r="CI98" s="41"/>
      <c r="CJ98" s="41"/>
      <c r="CK98" s="41"/>
      <c r="CL98" s="41"/>
      <c r="CM98" s="41"/>
      <c r="CN98" s="41"/>
      <c r="CO98" s="41"/>
      <c r="CP98" s="41"/>
      <c r="CQ98" s="41"/>
      <c r="CR98" s="41"/>
      <c r="CS98" s="41"/>
      <c r="CT98" s="41"/>
      <c r="CU98" s="41"/>
      <c r="CV98" s="41"/>
      <c r="CW98" s="41"/>
    </row>
    <row r="99" spans="1:101" ht="16.5" x14ac:dyDescent="0.35">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c r="BJ99" s="41"/>
      <c r="BK99" s="41"/>
      <c r="BL99" s="41"/>
      <c r="BM99" s="41"/>
      <c r="BN99" s="41"/>
      <c r="BO99" s="41"/>
      <c r="BP99" s="41"/>
      <c r="BQ99" s="41"/>
      <c r="BR99" s="41"/>
      <c r="BS99" s="41"/>
      <c r="BT99" s="41"/>
      <c r="BU99" s="41"/>
      <c r="BV99" s="41"/>
      <c r="BW99" s="41"/>
      <c r="BX99" s="41"/>
      <c r="BY99" s="41"/>
      <c r="BZ99" s="41"/>
      <c r="CA99" s="41"/>
      <c r="CB99" s="41"/>
      <c r="CC99" s="41"/>
      <c r="CD99" s="41"/>
      <c r="CE99" s="41"/>
      <c r="CF99" s="41"/>
      <c r="CG99" s="41"/>
      <c r="CH99" s="41"/>
      <c r="CI99" s="41"/>
      <c r="CJ99" s="41"/>
      <c r="CK99" s="41"/>
      <c r="CL99" s="41"/>
      <c r="CM99" s="41"/>
      <c r="CN99" s="41"/>
      <c r="CO99" s="41"/>
      <c r="CP99" s="41"/>
      <c r="CQ99" s="41"/>
      <c r="CR99" s="41"/>
      <c r="CS99" s="41"/>
      <c r="CT99" s="41"/>
      <c r="CU99" s="41"/>
      <c r="CV99" s="41"/>
      <c r="CW99" s="41"/>
    </row>
    <row r="100" spans="1:101" ht="16.5" x14ac:dyDescent="0.35">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c r="BJ100" s="41"/>
      <c r="BK100" s="41"/>
      <c r="BL100" s="41"/>
      <c r="BM100" s="41"/>
      <c r="BN100" s="41"/>
      <c r="BO100" s="41"/>
      <c r="BP100" s="41"/>
      <c r="BQ100" s="41"/>
      <c r="BR100" s="41"/>
      <c r="BS100" s="41"/>
      <c r="BT100" s="41"/>
      <c r="BU100" s="41"/>
      <c r="BV100" s="41"/>
      <c r="BW100" s="41"/>
      <c r="BX100" s="41"/>
      <c r="BY100" s="41"/>
      <c r="BZ100" s="41"/>
      <c r="CA100" s="41"/>
      <c r="CB100" s="41"/>
      <c r="CC100" s="41"/>
      <c r="CD100" s="41"/>
      <c r="CE100" s="41"/>
      <c r="CF100" s="41"/>
      <c r="CG100" s="41"/>
      <c r="CH100" s="41"/>
      <c r="CI100" s="41"/>
      <c r="CJ100" s="41"/>
      <c r="CK100" s="41"/>
      <c r="CL100" s="41"/>
      <c r="CM100" s="41"/>
      <c r="CN100" s="41"/>
      <c r="CO100" s="41"/>
      <c r="CP100" s="41"/>
      <c r="CQ100" s="41"/>
      <c r="CR100" s="41"/>
      <c r="CS100" s="41"/>
      <c r="CT100" s="41"/>
      <c r="CU100" s="41"/>
      <c r="CV100" s="41"/>
      <c r="CW100" s="41"/>
    </row>
    <row r="101" spans="1:101" ht="16.5" x14ac:dyDescent="0.35">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c r="BJ101" s="41"/>
      <c r="BK101" s="41"/>
      <c r="BL101" s="41"/>
      <c r="BM101" s="41"/>
      <c r="BN101" s="41"/>
      <c r="BO101" s="41"/>
      <c r="BP101" s="41"/>
      <c r="BQ101" s="41"/>
      <c r="BR101" s="41"/>
      <c r="BS101" s="41"/>
      <c r="BT101" s="41"/>
      <c r="BU101" s="41"/>
      <c r="BV101" s="41"/>
      <c r="BW101" s="41"/>
      <c r="BX101" s="41"/>
      <c r="BY101" s="41"/>
      <c r="BZ101" s="41"/>
      <c r="CA101" s="41"/>
      <c r="CB101" s="41"/>
      <c r="CC101" s="41"/>
      <c r="CD101" s="41"/>
      <c r="CE101" s="41"/>
      <c r="CF101" s="41"/>
      <c r="CG101" s="41"/>
      <c r="CH101" s="41"/>
      <c r="CI101" s="41"/>
      <c r="CJ101" s="41"/>
      <c r="CK101" s="41"/>
      <c r="CL101" s="41"/>
      <c r="CM101" s="41"/>
      <c r="CN101" s="41"/>
      <c r="CO101" s="41"/>
      <c r="CP101" s="41"/>
      <c r="CQ101" s="41"/>
      <c r="CR101" s="41"/>
      <c r="CS101" s="41"/>
      <c r="CT101" s="41"/>
      <c r="CU101" s="41"/>
      <c r="CV101" s="41"/>
      <c r="CW101" s="41"/>
    </row>
    <row r="102" spans="1:101" ht="16.5" x14ac:dyDescent="0.35">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c r="BJ102" s="41"/>
      <c r="BK102" s="41"/>
      <c r="BL102" s="41"/>
      <c r="BM102" s="41"/>
      <c r="BN102" s="41"/>
      <c r="BO102" s="41"/>
      <c r="BP102" s="41"/>
      <c r="BQ102" s="41"/>
      <c r="BR102" s="41"/>
      <c r="BS102" s="41"/>
      <c r="BT102" s="41"/>
      <c r="BU102" s="41"/>
      <c r="BV102" s="41"/>
      <c r="BW102" s="41"/>
      <c r="BX102" s="41"/>
      <c r="BY102" s="41"/>
      <c r="BZ102" s="41"/>
      <c r="CA102" s="41"/>
      <c r="CB102" s="41"/>
      <c r="CC102" s="41"/>
      <c r="CD102" s="41"/>
      <c r="CE102" s="41"/>
      <c r="CF102" s="41"/>
      <c r="CG102" s="41"/>
      <c r="CH102" s="41"/>
      <c r="CI102" s="41"/>
      <c r="CJ102" s="41"/>
      <c r="CK102" s="41"/>
      <c r="CL102" s="41"/>
      <c r="CM102" s="41"/>
      <c r="CN102" s="41"/>
      <c r="CO102" s="41"/>
      <c r="CP102" s="41"/>
      <c r="CQ102" s="41"/>
      <c r="CR102" s="41"/>
      <c r="CS102" s="41"/>
      <c r="CT102" s="41"/>
      <c r="CU102" s="41"/>
      <c r="CV102" s="41"/>
      <c r="CW102" s="41"/>
    </row>
    <row r="103" spans="1:101" ht="16.5" x14ac:dyDescent="0.35">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c r="BL103" s="41"/>
      <c r="BM103" s="41"/>
      <c r="BN103" s="41"/>
      <c r="BO103" s="41"/>
      <c r="BP103" s="41"/>
      <c r="BQ103" s="41"/>
      <c r="BR103" s="41"/>
      <c r="BS103" s="41"/>
      <c r="BT103" s="41"/>
      <c r="BU103" s="41"/>
      <c r="BV103" s="41"/>
      <c r="BW103" s="41"/>
      <c r="BX103" s="41"/>
      <c r="BY103" s="41"/>
      <c r="BZ103" s="41"/>
      <c r="CA103" s="41"/>
      <c r="CB103" s="41"/>
      <c r="CC103" s="41"/>
      <c r="CD103" s="41"/>
      <c r="CE103" s="41"/>
      <c r="CF103" s="41"/>
      <c r="CG103" s="41"/>
      <c r="CH103" s="41"/>
      <c r="CI103" s="41"/>
      <c r="CJ103" s="41"/>
      <c r="CK103" s="41"/>
      <c r="CL103" s="41"/>
      <c r="CM103" s="41"/>
      <c r="CN103" s="41"/>
      <c r="CO103" s="41"/>
      <c r="CP103" s="41"/>
      <c r="CQ103" s="41"/>
      <c r="CR103" s="41"/>
      <c r="CS103" s="41"/>
      <c r="CT103" s="41"/>
      <c r="CU103" s="41"/>
      <c r="CV103" s="41"/>
      <c r="CW103" s="41"/>
    </row>
    <row r="104" spans="1:101" ht="16.5" x14ac:dyDescent="0.35">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c r="BJ104" s="41"/>
      <c r="BK104" s="41"/>
      <c r="BL104" s="41"/>
      <c r="BM104" s="41"/>
      <c r="BN104" s="41"/>
      <c r="BO104" s="41"/>
      <c r="BP104" s="41"/>
      <c r="BQ104" s="41"/>
      <c r="BR104" s="41"/>
      <c r="BS104" s="41"/>
      <c r="BT104" s="41"/>
      <c r="BU104" s="41"/>
      <c r="BV104" s="41"/>
      <c r="BW104" s="41"/>
      <c r="BX104" s="41"/>
      <c r="BY104" s="41"/>
      <c r="BZ104" s="41"/>
      <c r="CA104" s="41"/>
      <c r="CB104" s="41"/>
      <c r="CC104" s="41"/>
      <c r="CD104" s="41"/>
      <c r="CE104" s="41"/>
      <c r="CF104" s="41"/>
      <c r="CG104" s="41"/>
      <c r="CH104" s="41"/>
      <c r="CI104" s="41"/>
      <c r="CJ104" s="41"/>
      <c r="CK104" s="41"/>
      <c r="CL104" s="41"/>
      <c r="CM104" s="41"/>
      <c r="CN104" s="41"/>
      <c r="CO104" s="41"/>
      <c r="CP104" s="41"/>
      <c r="CQ104" s="41"/>
      <c r="CR104" s="41"/>
      <c r="CS104" s="41"/>
      <c r="CT104" s="41"/>
      <c r="CU104" s="41"/>
      <c r="CV104" s="41"/>
      <c r="CW104" s="41"/>
    </row>
    <row r="105" spans="1:101" ht="16.5" x14ac:dyDescent="0.35">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c r="BJ105" s="41"/>
      <c r="BK105" s="41"/>
      <c r="BL105" s="41"/>
      <c r="BM105" s="41"/>
      <c r="BN105" s="41"/>
      <c r="BO105" s="41"/>
      <c r="BP105" s="41"/>
      <c r="BQ105" s="41"/>
      <c r="BR105" s="41"/>
      <c r="BS105" s="41"/>
      <c r="BT105" s="41"/>
      <c r="BU105" s="41"/>
      <c r="BV105" s="41"/>
      <c r="BW105" s="41"/>
      <c r="BX105" s="41"/>
      <c r="BY105" s="41"/>
      <c r="BZ105" s="41"/>
      <c r="CA105" s="41"/>
      <c r="CB105" s="41"/>
      <c r="CC105" s="41"/>
      <c r="CD105" s="41"/>
      <c r="CE105" s="41"/>
      <c r="CF105" s="41"/>
      <c r="CG105" s="41"/>
      <c r="CH105" s="41"/>
      <c r="CI105" s="41"/>
      <c r="CJ105" s="41"/>
      <c r="CK105" s="41"/>
      <c r="CL105" s="41"/>
      <c r="CM105" s="41"/>
      <c r="CN105" s="41"/>
      <c r="CO105" s="41"/>
      <c r="CP105" s="41"/>
      <c r="CQ105" s="41"/>
      <c r="CR105" s="41"/>
      <c r="CS105" s="41"/>
      <c r="CT105" s="41"/>
      <c r="CU105" s="41"/>
      <c r="CV105" s="41"/>
      <c r="CW105" s="41"/>
    </row>
    <row r="106" spans="1:101" ht="16.5" x14ac:dyDescent="0.35">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c r="BJ106" s="41"/>
      <c r="BK106" s="41"/>
      <c r="BL106" s="41"/>
      <c r="BM106" s="41"/>
      <c r="BN106" s="41"/>
      <c r="BO106" s="41"/>
      <c r="BP106" s="41"/>
      <c r="BQ106" s="41"/>
      <c r="BR106" s="41"/>
      <c r="BS106" s="41"/>
      <c r="BT106" s="41"/>
      <c r="BU106" s="41"/>
      <c r="BV106" s="41"/>
      <c r="BW106" s="41"/>
      <c r="BX106" s="41"/>
      <c r="BY106" s="41"/>
      <c r="BZ106" s="41"/>
      <c r="CA106" s="41"/>
      <c r="CB106" s="41"/>
      <c r="CC106" s="41"/>
      <c r="CD106" s="41"/>
      <c r="CE106" s="41"/>
      <c r="CF106" s="41"/>
      <c r="CG106" s="41"/>
      <c r="CH106" s="41"/>
      <c r="CI106" s="41"/>
      <c r="CJ106" s="41"/>
      <c r="CK106" s="41"/>
      <c r="CL106" s="41"/>
      <c r="CM106" s="41"/>
      <c r="CN106" s="41"/>
      <c r="CO106" s="41"/>
      <c r="CP106" s="41"/>
      <c r="CQ106" s="41"/>
      <c r="CR106" s="41"/>
      <c r="CS106" s="41"/>
      <c r="CT106" s="41"/>
      <c r="CU106" s="41"/>
      <c r="CV106" s="41"/>
      <c r="CW106" s="41"/>
    </row>
    <row r="107" spans="1:101" ht="16.5" x14ac:dyDescent="0.35">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c r="BL107" s="41"/>
      <c r="BM107" s="41"/>
      <c r="BN107" s="41"/>
      <c r="BO107" s="41"/>
      <c r="BP107" s="41"/>
      <c r="BQ107" s="41"/>
      <c r="BR107" s="41"/>
      <c r="BS107" s="41"/>
      <c r="BT107" s="41"/>
      <c r="BU107" s="41"/>
      <c r="BV107" s="41"/>
      <c r="BW107" s="41"/>
      <c r="BX107" s="41"/>
      <c r="BY107" s="41"/>
      <c r="BZ107" s="41"/>
      <c r="CA107" s="41"/>
      <c r="CB107" s="41"/>
      <c r="CC107" s="41"/>
      <c r="CD107" s="41"/>
      <c r="CE107" s="41"/>
      <c r="CF107" s="41"/>
      <c r="CG107" s="41"/>
      <c r="CH107" s="41"/>
      <c r="CI107" s="41"/>
      <c r="CJ107" s="41"/>
      <c r="CK107" s="41"/>
      <c r="CL107" s="41"/>
      <c r="CM107" s="41"/>
      <c r="CN107" s="41"/>
      <c r="CO107" s="41"/>
      <c r="CP107" s="41"/>
      <c r="CQ107" s="41"/>
      <c r="CR107" s="41"/>
      <c r="CS107" s="41"/>
      <c r="CT107" s="41"/>
      <c r="CU107" s="41"/>
      <c r="CV107" s="41"/>
      <c r="CW107" s="41"/>
    </row>
    <row r="108" spans="1:101" ht="16.5" x14ac:dyDescent="0.35">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c r="BJ108" s="41"/>
      <c r="BK108" s="41"/>
      <c r="BL108" s="41"/>
      <c r="BM108" s="41"/>
      <c r="BN108" s="41"/>
      <c r="BO108" s="41"/>
      <c r="BP108" s="41"/>
      <c r="BQ108" s="41"/>
      <c r="BR108" s="41"/>
      <c r="BS108" s="41"/>
      <c r="BT108" s="41"/>
      <c r="BU108" s="41"/>
      <c r="BV108" s="41"/>
      <c r="BW108" s="41"/>
      <c r="BX108" s="41"/>
      <c r="BY108" s="41"/>
      <c r="BZ108" s="41"/>
      <c r="CA108" s="41"/>
      <c r="CB108" s="41"/>
      <c r="CC108" s="41"/>
      <c r="CD108" s="41"/>
      <c r="CE108" s="41"/>
      <c r="CF108" s="41"/>
      <c r="CG108" s="41"/>
      <c r="CH108" s="41"/>
      <c r="CI108" s="41"/>
      <c r="CJ108" s="41"/>
      <c r="CK108" s="41"/>
      <c r="CL108" s="41"/>
      <c r="CM108" s="41"/>
      <c r="CN108" s="41"/>
      <c r="CO108" s="41"/>
      <c r="CP108" s="41"/>
      <c r="CQ108" s="41"/>
      <c r="CR108" s="41"/>
      <c r="CS108" s="41"/>
      <c r="CT108" s="41"/>
      <c r="CU108" s="41"/>
      <c r="CV108" s="41"/>
      <c r="CW108" s="41"/>
    </row>
    <row r="109" spans="1:101" ht="16.5" x14ac:dyDescent="0.35">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c r="BW109" s="41"/>
      <c r="BX109" s="41"/>
      <c r="BY109" s="41"/>
      <c r="BZ109" s="41"/>
      <c r="CA109" s="41"/>
      <c r="CB109" s="41"/>
      <c r="CC109" s="41"/>
      <c r="CD109" s="41"/>
      <c r="CE109" s="41"/>
      <c r="CF109" s="41"/>
      <c r="CG109" s="41"/>
      <c r="CH109" s="41"/>
      <c r="CI109" s="41"/>
      <c r="CJ109" s="41"/>
      <c r="CK109" s="41"/>
      <c r="CL109" s="41"/>
      <c r="CM109" s="41"/>
      <c r="CN109" s="41"/>
      <c r="CO109" s="41"/>
      <c r="CP109" s="41"/>
      <c r="CQ109" s="41"/>
      <c r="CR109" s="41"/>
      <c r="CS109" s="41"/>
      <c r="CT109" s="41"/>
      <c r="CU109" s="41"/>
      <c r="CV109" s="41"/>
      <c r="CW109" s="41"/>
    </row>
    <row r="110" spans="1:101" ht="16.5" x14ac:dyDescent="0.35">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c r="BJ110" s="41"/>
      <c r="BK110" s="41"/>
      <c r="BL110" s="41"/>
      <c r="BM110" s="41"/>
      <c r="BN110" s="41"/>
      <c r="BO110" s="41"/>
      <c r="BP110" s="41"/>
      <c r="BQ110" s="41"/>
      <c r="BR110" s="41"/>
      <c r="BS110" s="41"/>
      <c r="BT110" s="41"/>
      <c r="BU110" s="41"/>
      <c r="BV110" s="41"/>
      <c r="BW110" s="41"/>
      <c r="BX110" s="41"/>
      <c r="BY110" s="41"/>
      <c r="BZ110" s="41"/>
      <c r="CA110" s="41"/>
      <c r="CB110" s="41"/>
      <c r="CC110" s="41"/>
      <c r="CD110" s="41"/>
      <c r="CE110" s="41"/>
      <c r="CF110" s="41"/>
      <c r="CG110" s="41"/>
      <c r="CH110" s="41"/>
      <c r="CI110" s="41"/>
      <c r="CJ110" s="41"/>
      <c r="CK110" s="41"/>
      <c r="CL110" s="41"/>
      <c r="CM110" s="41"/>
      <c r="CN110" s="41"/>
      <c r="CO110" s="41"/>
      <c r="CP110" s="41"/>
      <c r="CQ110" s="41"/>
      <c r="CR110" s="41"/>
      <c r="CS110" s="41"/>
      <c r="CT110" s="41"/>
      <c r="CU110" s="41"/>
      <c r="CV110" s="41"/>
      <c r="CW110" s="41"/>
    </row>
    <row r="111" spans="1:101" ht="16.5" x14ac:dyDescent="0.35">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c r="BJ111" s="41"/>
      <c r="BK111" s="41"/>
      <c r="BL111" s="41"/>
      <c r="BM111" s="41"/>
      <c r="BN111" s="41"/>
      <c r="BO111" s="41"/>
      <c r="BP111" s="41"/>
      <c r="BQ111" s="41"/>
      <c r="BR111" s="41"/>
      <c r="BS111" s="41"/>
      <c r="BT111" s="41"/>
      <c r="BU111" s="41"/>
      <c r="BV111" s="41"/>
      <c r="BW111" s="41"/>
      <c r="BX111" s="41"/>
      <c r="BY111" s="41"/>
      <c r="BZ111" s="41"/>
      <c r="CA111" s="41"/>
      <c r="CB111" s="41"/>
      <c r="CC111" s="41"/>
      <c r="CD111" s="41"/>
      <c r="CE111" s="41"/>
      <c r="CF111" s="41"/>
      <c r="CG111" s="41"/>
      <c r="CH111" s="41"/>
      <c r="CI111" s="41"/>
      <c r="CJ111" s="41"/>
      <c r="CK111" s="41"/>
      <c r="CL111" s="41"/>
      <c r="CM111" s="41"/>
      <c r="CN111" s="41"/>
      <c r="CO111" s="41"/>
      <c r="CP111" s="41"/>
      <c r="CQ111" s="41"/>
      <c r="CR111" s="41"/>
      <c r="CS111" s="41"/>
      <c r="CT111" s="41"/>
      <c r="CU111" s="41"/>
      <c r="CV111" s="41"/>
      <c r="CW111" s="41"/>
    </row>
    <row r="112" spans="1:101" ht="16.5" x14ac:dyDescent="0.35">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c r="BJ112" s="41"/>
      <c r="BK112" s="41"/>
      <c r="BL112" s="41"/>
      <c r="BM112" s="41"/>
      <c r="BN112" s="41"/>
      <c r="BO112" s="41"/>
      <c r="BP112" s="41"/>
      <c r="BQ112" s="41"/>
      <c r="BR112" s="41"/>
      <c r="BS112" s="41"/>
      <c r="BT112" s="41"/>
      <c r="BU112" s="41"/>
      <c r="BV112" s="41"/>
      <c r="BW112" s="41"/>
      <c r="BX112" s="41"/>
      <c r="BY112" s="41"/>
      <c r="BZ112" s="41"/>
      <c r="CA112" s="41"/>
      <c r="CB112" s="41"/>
      <c r="CC112" s="41"/>
      <c r="CD112" s="41"/>
      <c r="CE112" s="41"/>
      <c r="CF112" s="41"/>
      <c r="CG112" s="41"/>
      <c r="CH112" s="41"/>
      <c r="CI112" s="41"/>
      <c r="CJ112" s="41"/>
      <c r="CK112" s="41"/>
      <c r="CL112" s="41"/>
      <c r="CM112" s="41"/>
      <c r="CN112" s="41"/>
      <c r="CO112" s="41"/>
      <c r="CP112" s="41"/>
      <c r="CQ112" s="41"/>
      <c r="CR112" s="41"/>
      <c r="CS112" s="41"/>
      <c r="CT112" s="41"/>
      <c r="CU112" s="41"/>
      <c r="CV112" s="41"/>
      <c r="CW112" s="41"/>
    </row>
    <row r="113" spans="1:101" ht="16.5" x14ac:dyDescent="0.35">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c r="BJ113" s="41"/>
      <c r="BK113" s="41"/>
      <c r="BL113" s="41"/>
      <c r="BM113" s="41"/>
      <c r="BN113" s="41"/>
      <c r="BO113" s="41"/>
      <c r="BP113" s="41"/>
      <c r="BQ113" s="41"/>
      <c r="BR113" s="41"/>
      <c r="BS113" s="41"/>
      <c r="BT113" s="41"/>
      <c r="BU113" s="41"/>
      <c r="BV113" s="41"/>
      <c r="BW113" s="41"/>
      <c r="BX113" s="41"/>
      <c r="BY113" s="41"/>
      <c r="BZ113" s="41"/>
      <c r="CA113" s="41"/>
      <c r="CB113" s="41"/>
      <c r="CC113" s="41"/>
      <c r="CD113" s="41"/>
      <c r="CE113" s="41"/>
      <c r="CF113" s="41"/>
      <c r="CG113" s="41"/>
      <c r="CH113" s="41"/>
      <c r="CI113" s="41"/>
      <c r="CJ113" s="41"/>
      <c r="CK113" s="41"/>
      <c r="CL113" s="41"/>
      <c r="CM113" s="41"/>
      <c r="CN113" s="41"/>
      <c r="CO113" s="41"/>
      <c r="CP113" s="41"/>
      <c r="CQ113" s="41"/>
      <c r="CR113" s="41"/>
      <c r="CS113" s="41"/>
      <c r="CT113" s="41"/>
      <c r="CU113" s="41"/>
      <c r="CV113" s="41"/>
      <c r="CW113" s="41"/>
    </row>
    <row r="114" spans="1:101" ht="16.5" x14ac:dyDescent="0.35">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c r="BJ114" s="41"/>
      <c r="BK114" s="41"/>
      <c r="BL114" s="41"/>
      <c r="BM114" s="41"/>
      <c r="BN114" s="41"/>
      <c r="BO114" s="41"/>
      <c r="BP114" s="41"/>
      <c r="BQ114" s="41"/>
      <c r="BR114" s="41"/>
      <c r="BS114" s="41"/>
      <c r="BT114" s="41"/>
      <c r="BU114" s="41"/>
      <c r="BV114" s="41"/>
      <c r="BW114" s="41"/>
      <c r="BX114" s="41"/>
      <c r="BY114" s="41"/>
      <c r="BZ114" s="41"/>
      <c r="CA114" s="41"/>
      <c r="CB114" s="41"/>
      <c r="CC114" s="41"/>
      <c r="CD114" s="41"/>
      <c r="CE114" s="41"/>
      <c r="CF114" s="41"/>
      <c r="CG114" s="41"/>
      <c r="CH114" s="41"/>
      <c r="CI114" s="41"/>
      <c r="CJ114" s="41"/>
      <c r="CK114" s="41"/>
      <c r="CL114" s="41"/>
      <c r="CM114" s="41"/>
      <c r="CN114" s="41"/>
      <c r="CO114" s="41"/>
      <c r="CP114" s="41"/>
      <c r="CQ114" s="41"/>
      <c r="CR114" s="41"/>
      <c r="CS114" s="41"/>
      <c r="CT114" s="41"/>
      <c r="CU114" s="41"/>
      <c r="CV114" s="41"/>
      <c r="CW114" s="41"/>
    </row>
    <row r="115" spans="1:101" ht="16.5" x14ac:dyDescent="0.35">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c r="BJ115" s="41"/>
      <c r="BK115" s="41"/>
      <c r="BL115" s="41"/>
      <c r="BM115" s="41"/>
      <c r="BN115" s="41"/>
      <c r="BO115" s="41"/>
      <c r="BP115" s="41"/>
      <c r="BQ115" s="41"/>
      <c r="BR115" s="41"/>
      <c r="BS115" s="41"/>
      <c r="BT115" s="41"/>
      <c r="BU115" s="41"/>
      <c r="BV115" s="41"/>
      <c r="BW115" s="41"/>
      <c r="BX115" s="41"/>
      <c r="BY115" s="41"/>
      <c r="BZ115" s="41"/>
      <c r="CA115" s="41"/>
      <c r="CB115" s="41"/>
      <c r="CC115" s="41"/>
      <c r="CD115" s="41"/>
      <c r="CE115" s="41"/>
      <c r="CF115" s="41"/>
      <c r="CG115" s="41"/>
      <c r="CH115" s="41"/>
      <c r="CI115" s="41"/>
      <c r="CJ115" s="41"/>
      <c r="CK115" s="41"/>
      <c r="CL115" s="41"/>
      <c r="CM115" s="41"/>
      <c r="CN115" s="41"/>
      <c r="CO115" s="41"/>
      <c r="CP115" s="41"/>
      <c r="CQ115" s="41"/>
      <c r="CR115" s="41"/>
      <c r="CS115" s="41"/>
      <c r="CT115" s="41"/>
      <c r="CU115" s="41"/>
      <c r="CV115" s="41"/>
      <c r="CW115" s="41"/>
    </row>
    <row r="116" spans="1:101" ht="16.5" x14ac:dyDescent="0.35">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c r="BJ116" s="41"/>
      <c r="BK116" s="41"/>
      <c r="BL116" s="41"/>
      <c r="BM116" s="41"/>
      <c r="BN116" s="41"/>
      <c r="BO116" s="41"/>
      <c r="BP116" s="41"/>
      <c r="BQ116" s="41"/>
      <c r="BR116" s="41"/>
      <c r="BS116" s="41"/>
      <c r="BT116" s="41"/>
      <c r="BU116" s="41"/>
      <c r="BV116" s="41"/>
      <c r="BW116" s="41"/>
      <c r="BX116" s="41"/>
      <c r="BY116" s="41"/>
      <c r="BZ116" s="41"/>
      <c r="CA116" s="41"/>
      <c r="CB116" s="41"/>
      <c r="CC116" s="41"/>
      <c r="CD116" s="41"/>
      <c r="CE116" s="41"/>
      <c r="CF116" s="41"/>
      <c r="CG116" s="41"/>
      <c r="CH116" s="41"/>
      <c r="CI116" s="41"/>
      <c r="CJ116" s="41"/>
      <c r="CK116" s="41"/>
      <c r="CL116" s="41"/>
      <c r="CM116" s="41"/>
      <c r="CN116" s="41"/>
      <c r="CO116" s="41"/>
      <c r="CP116" s="41"/>
      <c r="CQ116" s="41"/>
      <c r="CR116" s="41"/>
      <c r="CS116" s="41"/>
      <c r="CT116" s="41"/>
      <c r="CU116" s="41"/>
      <c r="CV116" s="41"/>
      <c r="CW116" s="41"/>
    </row>
    <row r="117" spans="1:101" ht="16.5" x14ac:dyDescent="0.35">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c r="BJ117" s="41"/>
      <c r="BK117" s="41"/>
      <c r="BL117" s="41"/>
      <c r="BM117" s="41"/>
      <c r="BN117" s="41"/>
      <c r="BO117" s="41"/>
      <c r="BP117" s="41"/>
      <c r="BQ117" s="41"/>
      <c r="BR117" s="41"/>
      <c r="BS117" s="41"/>
      <c r="BT117" s="41"/>
      <c r="BU117" s="41"/>
      <c r="BV117" s="41"/>
      <c r="BW117" s="41"/>
      <c r="BX117" s="41"/>
      <c r="BY117" s="41"/>
      <c r="BZ117" s="41"/>
      <c r="CA117" s="41"/>
      <c r="CB117" s="41"/>
      <c r="CC117" s="41"/>
      <c r="CD117" s="41"/>
      <c r="CE117" s="41"/>
      <c r="CF117" s="41"/>
      <c r="CG117" s="41"/>
      <c r="CH117" s="41"/>
      <c r="CI117" s="41"/>
      <c r="CJ117" s="41"/>
      <c r="CK117" s="41"/>
      <c r="CL117" s="41"/>
      <c r="CM117" s="41"/>
      <c r="CN117" s="41"/>
      <c r="CO117" s="41"/>
      <c r="CP117" s="41"/>
      <c r="CQ117" s="41"/>
      <c r="CR117" s="41"/>
      <c r="CS117" s="41"/>
      <c r="CT117" s="41"/>
      <c r="CU117" s="41"/>
      <c r="CV117" s="41"/>
      <c r="CW117" s="41"/>
    </row>
    <row r="118" spans="1:101" ht="16.5" x14ac:dyDescent="0.35">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c r="BJ118" s="41"/>
      <c r="BK118" s="41"/>
      <c r="BL118" s="41"/>
      <c r="BM118" s="41"/>
      <c r="BN118" s="41"/>
      <c r="BO118" s="41"/>
      <c r="BP118" s="41"/>
      <c r="BQ118" s="41"/>
      <c r="BR118" s="41"/>
      <c r="BS118" s="41"/>
      <c r="BT118" s="41"/>
      <c r="BU118" s="41"/>
      <c r="BV118" s="41"/>
      <c r="BW118" s="41"/>
      <c r="BX118" s="41"/>
      <c r="BY118" s="41"/>
      <c r="BZ118" s="41"/>
      <c r="CA118" s="41"/>
      <c r="CB118" s="41"/>
      <c r="CC118" s="41"/>
      <c r="CD118" s="41"/>
      <c r="CE118" s="41"/>
      <c r="CF118" s="41"/>
      <c r="CG118" s="41"/>
      <c r="CH118" s="41"/>
      <c r="CI118" s="41"/>
      <c r="CJ118" s="41"/>
      <c r="CK118" s="41"/>
      <c r="CL118" s="41"/>
      <c r="CM118" s="41"/>
      <c r="CN118" s="41"/>
      <c r="CO118" s="41"/>
      <c r="CP118" s="41"/>
      <c r="CQ118" s="41"/>
      <c r="CR118" s="41"/>
      <c r="CS118" s="41"/>
      <c r="CT118" s="41"/>
      <c r="CU118" s="41"/>
      <c r="CV118" s="41"/>
      <c r="CW118" s="41"/>
    </row>
    <row r="119" spans="1:101" ht="16.5" x14ac:dyDescent="0.35">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c r="BJ119" s="41"/>
      <c r="BK119" s="41"/>
      <c r="BL119" s="41"/>
      <c r="BM119" s="41"/>
      <c r="BN119" s="41"/>
      <c r="BO119" s="41"/>
      <c r="BP119" s="41"/>
      <c r="BQ119" s="41"/>
      <c r="BR119" s="41"/>
      <c r="BS119" s="41"/>
      <c r="BT119" s="41"/>
      <c r="BU119" s="41"/>
      <c r="BV119" s="41"/>
      <c r="BW119" s="41"/>
      <c r="BX119" s="41"/>
      <c r="BY119" s="41"/>
      <c r="BZ119" s="41"/>
      <c r="CA119" s="41"/>
      <c r="CB119" s="41"/>
      <c r="CC119" s="41"/>
      <c r="CD119" s="41"/>
      <c r="CE119" s="41"/>
      <c r="CF119" s="41"/>
      <c r="CG119" s="41"/>
      <c r="CH119" s="41"/>
      <c r="CI119" s="41"/>
      <c r="CJ119" s="41"/>
      <c r="CK119" s="41"/>
      <c r="CL119" s="41"/>
      <c r="CM119" s="41"/>
      <c r="CN119" s="41"/>
      <c r="CO119" s="41"/>
      <c r="CP119" s="41"/>
      <c r="CQ119" s="41"/>
      <c r="CR119" s="41"/>
      <c r="CS119" s="41"/>
      <c r="CT119" s="41"/>
      <c r="CU119" s="41"/>
      <c r="CV119" s="41"/>
      <c r="CW119" s="41"/>
    </row>
    <row r="120" spans="1:101" ht="16.5" x14ac:dyDescent="0.35">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c r="BJ120" s="41"/>
      <c r="BK120" s="41"/>
      <c r="BL120" s="41"/>
      <c r="BM120" s="41"/>
      <c r="BN120" s="41"/>
      <c r="BO120" s="41"/>
      <c r="BP120" s="41"/>
      <c r="BQ120" s="41"/>
      <c r="BR120" s="41"/>
      <c r="BS120" s="41"/>
      <c r="BT120" s="41"/>
      <c r="BU120" s="41"/>
      <c r="BV120" s="41"/>
      <c r="BW120" s="41"/>
      <c r="BX120" s="41"/>
      <c r="BY120" s="41"/>
      <c r="BZ120" s="41"/>
      <c r="CA120" s="41"/>
      <c r="CB120" s="41"/>
      <c r="CC120" s="41"/>
      <c r="CD120" s="41"/>
      <c r="CE120" s="41"/>
      <c r="CF120" s="41"/>
      <c r="CG120" s="41"/>
      <c r="CH120" s="41"/>
      <c r="CI120" s="41"/>
      <c r="CJ120" s="41"/>
      <c r="CK120" s="41"/>
      <c r="CL120" s="41"/>
      <c r="CM120" s="41"/>
      <c r="CN120" s="41"/>
      <c r="CO120" s="41"/>
      <c r="CP120" s="41"/>
      <c r="CQ120" s="41"/>
      <c r="CR120" s="41"/>
      <c r="CS120" s="41"/>
      <c r="CT120" s="41"/>
      <c r="CU120" s="41"/>
      <c r="CV120" s="41"/>
      <c r="CW120" s="41"/>
    </row>
    <row r="121" spans="1:101" ht="16.5" x14ac:dyDescent="0.35">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c r="BJ121" s="41"/>
      <c r="BK121" s="41"/>
      <c r="BL121" s="41"/>
      <c r="BM121" s="41"/>
      <c r="BN121" s="41"/>
      <c r="BO121" s="41"/>
      <c r="BP121" s="41"/>
      <c r="BQ121" s="41"/>
      <c r="BR121" s="41"/>
      <c r="BS121" s="41"/>
      <c r="BT121" s="41"/>
      <c r="BU121" s="41"/>
      <c r="BV121" s="41"/>
      <c r="BW121" s="41"/>
      <c r="BX121" s="41"/>
      <c r="BY121" s="41"/>
      <c r="BZ121" s="41"/>
      <c r="CA121" s="41"/>
      <c r="CB121" s="41"/>
      <c r="CC121" s="41"/>
      <c r="CD121" s="41"/>
      <c r="CE121" s="41"/>
      <c r="CF121" s="41"/>
      <c r="CG121" s="41"/>
      <c r="CH121" s="41"/>
      <c r="CI121" s="41"/>
      <c r="CJ121" s="41"/>
      <c r="CK121" s="41"/>
      <c r="CL121" s="41"/>
      <c r="CM121" s="41"/>
      <c r="CN121" s="41"/>
      <c r="CO121" s="41"/>
      <c r="CP121" s="41"/>
      <c r="CQ121" s="41"/>
      <c r="CR121" s="41"/>
      <c r="CS121" s="41"/>
      <c r="CT121" s="41"/>
      <c r="CU121" s="41"/>
      <c r="CV121" s="41"/>
      <c r="CW121" s="41"/>
    </row>
    <row r="122" spans="1:101" ht="16.5" x14ac:dyDescent="0.35">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c r="BJ122" s="41"/>
      <c r="BK122" s="41"/>
      <c r="BL122" s="41"/>
      <c r="BM122" s="41"/>
      <c r="BN122" s="41"/>
      <c r="BO122" s="41"/>
      <c r="BP122" s="41"/>
      <c r="BQ122" s="41"/>
      <c r="BR122" s="41"/>
      <c r="BS122" s="41"/>
      <c r="BT122" s="41"/>
      <c r="BU122" s="41"/>
      <c r="BV122" s="41"/>
      <c r="BW122" s="41"/>
      <c r="BX122" s="41"/>
      <c r="BY122" s="41"/>
      <c r="BZ122" s="41"/>
      <c r="CA122" s="41"/>
      <c r="CB122" s="41"/>
      <c r="CC122" s="41"/>
      <c r="CD122" s="41"/>
      <c r="CE122" s="41"/>
      <c r="CF122" s="41"/>
      <c r="CG122" s="41"/>
      <c r="CH122" s="41"/>
      <c r="CI122" s="41"/>
      <c r="CJ122" s="41"/>
      <c r="CK122" s="41"/>
      <c r="CL122" s="41"/>
      <c r="CM122" s="41"/>
      <c r="CN122" s="41"/>
      <c r="CO122" s="41"/>
      <c r="CP122" s="41"/>
      <c r="CQ122" s="41"/>
      <c r="CR122" s="41"/>
      <c r="CS122" s="41"/>
      <c r="CT122" s="41"/>
      <c r="CU122" s="41"/>
      <c r="CV122" s="41"/>
      <c r="CW122" s="41"/>
    </row>
    <row r="123" spans="1:101" ht="16.5" x14ac:dyDescent="0.35">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c r="BJ123" s="41"/>
      <c r="BK123" s="41"/>
      <c r="BL123" s="41"/>
      <c r="BM123" s="41"/>
      <c r="BN123" s="41"/>
      <c r="BO123" s="41"/>
      <c r="BP123" s="41"/>
      <c r="BQ123" s="41"/>
      <c r="BR123" s="41"/>
      <c r="BS123" s="41"/>
      <c r="BT123" s="41"/>
      <c r="BU123" s="41"/>
      <c r="BV123" s="41"/>
      <c r="BW123" s="41"/>
      <c r="BX123" s="41"/>
      <c r="BY123" s="41"/>
      <c r="BZ123" s="41"/>
      <c r="CA123" s="41"/>
      <c r="CB123" s="41"/>
      <c r="CC123" s="41"/>
      <c r="CD123" s="41"/>
      <c r="CE123" s="41"/>
      <c r="CF123" s="41"/>
      <c r="CG123" s="41"/>
      <c r="CH123" s="41"/>
      <c r="CI123" s="41"/>
      <c r="CJ123" s="41"/>
      <c r="CK123" s="41"/>
      <c r="CL123" s="41"/>
      <c r="CM123" s="41"/>
      <c r="CN123" s="41"/>
      <c r="CO123" s="41"/>
      <c r="CP123" s="41"/>
      <c r="CQ123" s="41"/>
      <c r="CR123" s="41"/>
      <c r="CS123" s="41"/>
      <c r="CT123" s="41"/>
      <c r="CU123" s="41"/>
      <c r="CV123" s="41"/>
      <c r="CW123" s="41"/>
    </row>
    <row r="124" spans="1:101" ht="16.5" x14ac:dyDescent="0.35">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c r="BJ124" s="41"/>
      <c r="BK124" s="41"/>
      <c r="BL124" s="41"/>
      <c r="BM124" s="41"/>
      <c r="BN124" s="41"/>
      <c r="BO124" s="41"/>
      <c r="BP124" s="41"/>
      <c r="BQ124" s="41"/>
      <c r="BR124" s="41"/>
      <c r="BS124" s="41"/>
      <c r="BT124" s="41"/>
      <c r="BU124" s="41"/>
      <c r="BV124" s="41"/>
      <c r="BW124" s="41"/>
      <c r="BX124" s="41"/>
      <c r="BY124" s="41"/>
      <c r="BZ124" s="41"/>
      <c r="CA124" s="41"/>
      <c r="CB124" s="41"/>
      <c r="CC124" s="41"/>
      <c r="CD124" s="41"/>
      <c r="CE124" s="41"/>
      <c r="CF124" s="41"/>
      <c r="CG124" s="41"/>
      <c r="CH124" s="41"/>
      <c r="CI124" s="41"/>
      <c r="CJ124" s="41"/>
      <c r="CK124" s="41"/>
      <c r="CL124" s="41"/>
      <c r="CM124" s="41"/>
      <c r="CN124" s="41"/>
      <c r="CO124" s="41"/>
      <c r="CP124" s="41"/>
      <c r="CQ124" s="41"/>
      <c r="CR124" s="41"/>
      <c r="CS124" s="41"/>
      <c r="CT124" s="41"/>
      <c r="CU124" s="41"/>
      <c r="CV124" s="41"/>
      <c r="CW124" s="41"/>
    </row>
    <row r="125" spans="1:101" ht="16.5" x14ac:dyDescent="0.35">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c r="BJ125" s="41"/>
      <c r="BK125" s="41"/>
      <c r="BL125" s="41"/>
      <c r="BM125" s="41"/>
      <c r="BN125" s="41"/>
      <c r="BO125" s="41"/>
      <c r="BP125" s="41"/>
      <c r="BQ125" s="41"/>
      <c r="BR125" s="41"/>
      <c r="BS125" s="41"/>
      <c r="BT125" s="41"/>
      <c r="BU125" s="41"/>
      <c r="BV125" s="41"/>
      <c r="BW125" s="41"/>
      <c r="BX125" s="41"/>
      <c r="BY125" s="41"/>
      <c r="BZ125" s="41"/>
      <c r="CA125" s="41"/>
      <c r="CB125" s="41"/>
      <c r="CC125" s="41"/>
      <c r="CD125" s="41"/>
      <c r="CE125" s="41"/>
      <c r="CF125" s="41"/>
      <c r="CG125" s="41"/>
      <c r="CH125" s="41"/>
      <c r="CI125" s="41"/>
      <c r="CJ125" s="41"/>
      <c r="CK125" s="41"/>
      <c r="CL125" s="41"/>
      <c r="CM125" s="41"/>
      <c r="CN125" s="41"/>
      <c r="CO125" s="41"/>
      <c r="CP125" s="41"/>
      <c r="CQ125" s="41"/>
      <c r="CR125" s="41"/>
      <c r="CS125" s="41"/>
      <c r="CT125" s="41"/>
      <c r="CU125" s="41"/>
      <c r="CV125" s="41"/>
      <c r="CW125" s="41"/>
    </row>
    <row r="126" spans="1:101" ht="16.5" x14ac:dyDescent="0.35">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c r="BJ126" s="41"/>
      <c r="BK126" s="41"/>
      <c r="BL126" s="41"/>
      <c r="BM126" s="41"/>
      <c r="BN126" s="41"/>
      <c r="BO126" s="41"/>
      <c r="BP126" s="41"/>
      <c r="BQ126" s="41"/>
      <c r="BR126" s="41"/>
      <c r="BS126" s="41"/>
      <c r="BT126" s="41"/>
      <c r="BU126" s="41"/>
      <c r="BV126" s="41"/>
      <c r="BW126" s="41"/>
      <c r="BX126" s="41"/>
      <c r="BY126" s="41"/>
      <c r="BZ126" s="41"/>
      <c r="CA126" s="41"/>
      <c r="CB126" s="41"/>
      <c r="CC126" s="41"/>
      <c r="CD126" s="41"/>
      <c r="CE126" s="41"/>
      <c r="CF126" s="41"/>
      <c r="CG126" s="41"/>
      <c r="CH126" s="41"/>
      <c r="CI126" s="41"/>
      <c r="CJ126" s="41"/>
      <c r="CK126" s="41"/>
      <c r="CL126" s="41"/>
      <c r="CM126" s="41"/>
      <c r="CN126" s="41"/>
      <c r="CO126" s="41"/>
      <c r="CP126" s="41"/>
      <c r="CQ126" s="41"/>
      <c r="CR126" s="41"/>
      <c r="CS126" s="41"/>
      <c r="CT126" s="41"/>
      <c r="CU126" s="41"/>
      <c r="CV126" s="41"/>
      <c r="CW126" s="41"/>
    </row>
    <row r="127" spans="1:101" ht="16.5" x14ac:dyDescent="0.35">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c r="AU127" s="41"/>
      <c r="AV127" s="41"/>
      <c r="AW127" s="41"/>
      <c r="AX127" s="41"/>
      <c r="AY127" s="41"/>
      <c r="AZ127" s="41"/>
      <c r="BA127" s="41"/>
      <c r="BB127" s="41"/>
      <c r="BC127" s="41"/>
      <c r="BD127" s="41"/>
      <c r="BE127" s="41"/>
      <c r="BF127" s="41"/>
      <c r="BG127" s="41"/>
      <c r="BH127" s="41"/>
      <c r="BI127" s="41"/>
      <c r="BJ127" s="41"/>
      <c r="BK127" s="41"/>
      <c r="BL127" s="41"/>
      <c r="BM127" s="41"/>
      <c r="BN127" s="41"/>
      <c r="BO127" s="41"/>
      <c r="BP127" s="41"/>
      <c r="BQ127" s="41"/>
      <c r="BR127" s="41"/>
      <c r="BS127" s="41"/>
      <c r="BT127" s="41"/>
      <c r="BU127" s="41"/>
      <c r="BV127" s="41"/>
      <c r="BW127" s="41"/>
      <c r="BX127" s="41"/>
      <c r="BY127" s="41"/>
      <c r="BZ127" s="41"/>
      <c r="CA127" s="41"/>
      <c r="CB127" s="41"/>
      <c r="CC127" s="41"/>
      <c r="CD127" s="41"/>
      <c r="CE127" s="41"/>
      <c r="CF127" s="41"/>
      <c r="CG127" s="41"/>
      <c r="CH127" s="41"/>
      <c r="CI127" s="41"/>
      <c r="CJ127" s="41"/>
      <c r="CK127" s="41"/>
      <c r="CL127" s="41"/>
      <c r="CM127" s="41"/>
      <c r="CN127" s="41"/>
      <c r="CO127" s="41"/>
      <c r="CP127" s="41"/>
      <c r="CQ127" s="41"/>
      <c r="CR127" s="41"/>
      <c r="CS127" s="41"/>
      <c r="CT127" s="41"/>
      <c r="CU127" s="41"/>
      <c r="CV127" s="41"/>
      <c r="CW127" s="41"/>
    </row>
    <row r="128" spans="1:101" ht="16.5" x14ac:dyDescent="0.35">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c r="AA128" s="41"/>
      <c r="AB128" s="41"/>
      <c r="AC128" s="41"/>
      <c r="AD128" s="41"/>
      <c r="AE128" s="41"/>
      <c r="AF128" s="41"/>
      <c r="AG128" s="41"/>
      <c r="AH128" s="41"/>
      <c r="AI128" s="41"/>
      <c r="AJ128" s="41"/>
      <c r="AK128" s="41"/>
      <c r="AL128" s="41"/>
      <c r="AM128" s="41"/>
      <c r="AN128" s="41"/>
      <c r="AO128" s="41"/>
      <c r="AP128" s="41"/>
      <c r="AQ128" s="41"/>
      <c r="AR128" s="41"/>
      <c r="AS128" s="41"/>
      <c r="AT128" s="41"/>
      <c r="AU128" s="41"/>
      <c r="AV128" s="41"/>
      <c r="AW128" s="41"/>
      <c r="AX128" s="41"/>
      <c r="AY128" s="41"/>
      <c r="AZ128" s="41"/>
      <c r="BA128" s="41"/>
      <c r="BB128" s="41"/>
      <c r="BC128" s="41"/>
      <c r="BD128" s="41"/>
      <c r="BE128" s="41"/>
      <c r="BF128" s="41"/>
      <c r="BG128" s="41"/>
      <c r="BH128" s="41"/>
      <c r="BI128" s="41"/>
      <c r="BJ128" s="41"/>
      <c r="BK128" s="41"/>
      <c r="BL128" s="41"/>
      <c r="BM128" s="41"/>
      <c r="BN128" s="41"/>
      <c r="BO128" s="41"/>
      <c r="BP128" s="41"/>
      <c r="BQ128" s="41"/>
      <c r="BR128" s="41"/>
      <c r="BS128" s="41"/>
      <c r="BT128" s="41"/>
      <c r="BU128" s="41"/>
      <c r="BV128" s="41"/>
      <c r="BW128" s="41"/>
      <c r="BX128" s="41"/>
      <c r="BY128" s="41"/>
      <c r="BZ128" s="41"/>
      <c r="CA128" s="41"/>
      <c r="CB128" s="41"/>
      <c r="CC128" s="41"/>
      <c r="CD128" s="41"/>
      <c r="CE128" s="41"/>
      <c r="CF128" s="41"/>
      <c r="CG128" s="41"/>
      <c r="CH128" s="41"/>
      <c r="CI128" s="41"/>
      <c r="CJ128" s="41"/>
      <c r="CK128" s="41"/>
      <c r="CL128" s="41"/>
      <c r="CM128" s="41"/>
      <c r="CN128" s="41"/>
      <c r="CO128" s="41"/>
      <c r="CP128" s="41"/>
      <c r="CQ128" s="41"/>
      <c r="CR128" s="41"/>
      <c r="CS128" s="41"/>
      <c r="CT128" s="41"/>
      <c r="CU128" s="41"/>
      <c r="CV128" s="41"/>
      <c r="CW128" s="41"/>
    </row>
    <row r="129" spans="1:101" ht="16.5" x14ac:dyDescent="0.35">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c r="BW129" s="41"/>
      <c r="BX129" s="41"/>
      <c r="BY129" s="41"/>
      <c r="BZ129" s="41"/>
      <c r="CA129" s="41"/>
      <c r="CB129" s="41"/>
      <c r="CC129" s="41"/>
      <c r="CD129" s="41"/>
      <c r="CE129" s="41"/>
      <c r="CF129" s="41"/>
      <c r="CG129" s="41"/>
      <c r="CH129" s="41"/>
      <c r="CI129" s="41"/>
      <c r="CJ129" s="41"/>
      <c r="CK129" s="41"/>
      <c r="CL129" s="41"/>
      <c r="CM129" s="41"/>
      <c r="CN129" s="41"/>
      <c r="CO129" s="41"/>
      <c r="CP129" s="41"/>
      <c r="CQ129" s="41"/>
      <c r="CR129" s="41"/>
      <c r="CS129" s="41"/>
      <c r="CT129" s="41"/>
      <c r="CU129" s="41"/>
      <c r="CV129" s="41"/>
      <c r="CW129" s="41"/>
    </row>
    <row r="130" spans="1:101" ht="16.5" x14ac:dyDescent="0.35">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c r="AA130" s="41"/>
      <c r="AB130" s="41"/>
      <c r="AC130" s="41"/>
      <c r="AD130" s="41"/>
      <c r="AE130" s="41"/>
      <c r="AF130" s="41"/>
      <c r="AG130" s="41"/>
      <c r="AH130" s="41"/>
      <c r="AI130" s="41"/>
      <c r="AJ130" s="41"/>
      <c r="AK130" s="41"/>
      <c r="AL130" s="41"/>
      <c r="AM130" s="41"/>
      <c r="AN130" s="41"/>
      <c r="AO130" s="41"/>
      <c r="AP130" s="41"/>
      <c r="AQ130" s="41"/>
      <c r="AR130" s="41"/>
      <c r="AS130" s="41"/>
      <c r="AT130" s="41"/>
      <c r="AU130" s="41"/>
      <c r="AV130" s="41"/>
      <c r="AW130" s="41"/>
      <c r="AX130" s="41"/>
      <c r="AY130" s="41"/>
      <c r="AZ130" s="41"/>
      <c r="BA130" s="41"/>
      <c r="BB130" s="41"/>
      <c r="BC130" s="41"/>
      <c r="BD130" s="41"/>
      <c r="BE130" s="41"/>
      <c r="BF130" s="41"/>
      <c r="BG130" s="41"/>
      <c r="BH130" s="41"/>
      <c r="BI130" s="41"/>
      <c r="BJ130" s="41"/>
      <c r="BK130" s="41"/>
      <c r="BL130" s="41"/>
      <c r="BM130" s="41"/>
      <c r="BN130" s="41"/>
      <c r="BO130" s="41"/>
      <c r="BP130" s="41"/>
      <c r="BQ130" s="41"/>
      <c r="BR130" s="41"/>
      <c r="BS130" s="41"/>
      <c r="BT130" s="41"/>
      <c r="BU130" s="41"/>
      <c r="BV130" s="41"/>
      <c r="BW130" s="41"/>
      <c r="BX130" s="41"/>
      <c r="BY130" s="41"/>
      <c r="BZ130" s="41"/>
      <c r="CA130" s="41"/>
      <c r="CB130" s="41"/>
      <c r="CC130" s="41"/>
      <c r="CD130" s="41"/>
      <c r="CE130" s="41"/>
      <c r="CF130" s="41"/>
      <c r="CG130" s="41"/>
      <c r="CH130" s="41"/>
      <c r="CI130" s="41"/>
      <c r="CJ130" s="41"/>
      <c r="CK130" s="41"/>
      <c r="CL130" s="41"/>
      <c r="CM130" s="41"/>
      <c r="CN130" s="41"/>
      <c r="CO130" s="41"/>
      <c r="CP130" s="41"/>
      <c r="CQ130" s="41"/>
      <c r="CR130" s="41"/>
      <c r="CS130" s="41"/>
      <c r="CT130" s="41"/>
      <c r="CU130" s="41"/>
      <c r="CV130" s="41"/>
      <c r="CW130" s="41"/>
    </row>
    <row r="131" spans="1:101" ht="16.5" x14ac:dyDescent="0.35">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c r="BW131" s="41"/>
      <c r="BX131" s="41"/>
      <c r="BY131" s="41"/>
      <c r="BZ131" s="41"/>
      <c r="CA131" s="41"/>
      <c r="CB131" s="41"/>
      <c r="CC131" s="41"/>
      <c r="CD131" s="41"/>
      <c r="CE131" s="41"/>
      <c r="CF131" s="41"/>
      <c r="CG131" s="41"/>
      <c r="CH131" s="41"/>
      <c r="CI131" s="41"/>
      <c r="CJ131" s="41"/>
      <c r="CK131" s="41"/>
      <c r="CL131" s="41"/>
      <c r="CM131" s="41"/>
      <c r="CN131" s="41"/>
      <c r="CO131" s="41"/>
      <c r="CP131" s="41"/>
      <c r="CQ131" s="41"/>
      <c r="CR131" s="41"/>
      <c r="CS131" s="41"/>
      <c r="CT131" s="41"/>
      <c r="CU131" s="41"/>
      <c r="CV131" s="41"/>
      <c r="CW131" s="41"/>
    </row>
    <row r="132" spans="1:101" ht="16.5" x14ac:dyDescent="0.35">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c r="AA132" s="41"/>
      <c r="AB132" s="41"/>
      <c r="AC132" s="41"/>
      <c r="AD132" s="41"/>
      <c r="AE132" s="41"/>
      <c r="AF132" s="41"/>
      <c r="AG132" s="41"/>
      <c r="AH132" s="41"/>
      <c r="AI132" s="41"/>
      <c r="AJ132" s="41"/>
      <c r="AK132" s="41"/>
      <c r="AL132" s="41"/>
      <c r="AM132" s="41"/>
      <c r="AN132" s="41"/>
      <c r="AO132" s="41"/>
      <c r="AP132" s="41"/>
      <c r="AQ132" s="41"/>
      <c r="AR132" s="41"/>
      <c r="AS132" s="41"/>
      <c r="AT132" s="41"/>
      <c r="AU132" s="41"/>
      <c r="AV132" s="41"/>
      <c r="AW132" s="41"/>
      <c r="AX132" s="41"/>
      <c r="AY132" s="41"/>
      <c r="AZ132" s="41"/>
      <c r="BA132" s="41"/>
      <c r="BB132" s="41"/>
      <c r="BC132" s="41"/>
      <c r="BD132" s="41"/>
      <c r="BE132" s="41"/>
      <c r="BF132" s="41"/>
      <c r="BG132" s="41"/>
      <c r="BH132" s="41"/>
      <c r="BI132" s="41"/>
      <c r="BJ132" s="41"/>
      <c r="BK132" s="41"/>
      <c r="BL132" s="41"/>
      <c r="BM132" s="41"/>
      <c r="BN132" s="41"/>
      <c r="BO132" s="41"/>
      <c r="BP132" s="41"/>
      <c r="BQ132" s="41"/>
      <c r="BR132" s="41"/>
      <c r="BS132" s="41"/>
      <c r="BT132" s="41"/>
      <c r="BU132" s="41"/>
      <c r="BV132" s="41"/>
      <c r="BW132" s="41"/>
      <c r="BX132" s="41"/>
      <c r="BY132" s="41"/>
      <c r="BZ132" s="41"/>
      <c r="CA132" s="41"/>
      <c r="CB132" s="41"/>
      <c r="CC132" s="41"/>
      <c r="CD132" s="41"/>
      <c r="CE132" s="41"/>
      <c r="CF132" s="41"/>
      <c r="CG132" s="41"/>
      <c r="CH132" s="41"/>
      <c r="CI132" s="41"/>
      <c r="CJ132" s="41"/>
      <c r="CK132" s="41"/>
      <c r="CL132" s="41"/>
      <c r="CM132" s="41"/>
      <c r="CN132" s="41"/>
      <c r="CO132" s="41"/>
      <c r="CP132" s="41"/>
      <c r="CQ132" s="41"/>
      <c r="CR132" s="41"/>
      <c r="CS132" s="41"/>
      <c r="CT132" s="41"/>
      <c r="CU132" s="41"/>
      <c r="CV132" s="41"/>
      <c r="CW132" s="41"/>
    </row>
    <row r="133" spans="1:101" ht="16.5" x14ac:dyDescent="0.35">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c r="AA133" s="41"/>
      <c r="AB133" s="41"/>
      <c r="AC133" s="41"/>
      <c r="AD133" s="41"/>
      <c r="AE133" s="41"/>
      <c r="AF133" s="41"/>
      <c r="AG133" s="41"/>
      <c r="AH133" s="41"/>
      <c r="AI133" s="41"/>
      <c r="AJ133" s="41"/>
      <c r="AK133" s="41"/>
      <c r="AL133" s="41"/>
      <c r="AM133" s="41"/>
      <c r="AN133" s="41"/>
      <c r="AO133" s="41"/>
      <c r="AP133" s="41"/>
      <c r="AQ133" s="41"/>
      <c r="AR133" s="41"/>
      <c r="AS133" s="41"/>
      <c r="AT133" s="41"/>
      <c r="AU133" s="41"/>
      <c r="AV133" s="41"/>
      <c r="AW133" s="41"/>
      <c r="AX133" s="41"/>
      <c r="AY133" s="41"/>
      <c r="AZ133" s="41"/>
      <c r="BA133" s="41"/>
      <c r="BB133" s="41"/>
      <c r="BC133" s="41"/>
      <c r="BD133" s="41"/>
      <c r="BE133" s="41"/>
      <c r="BF133" s="41"/>
      <c r="BG133" s="41"/>
      <c r="BH133" s="41"/>
      <c r="BI133" s="41"/>
      <c r="BJ133" s="41"/>
      <c r="BK133" s="41"/>
      <c r="BL133" s="41"/>
      <c r="BM133" s="41"/>
      <c r="BN133" s="41"/>
      <c r="BO133" s="41"/>
      <c r="BP133" s="41"/>
      <c r="BQ133" s="41"/>
      <c r="BR133" s="41"/>
      <c r="BS133" s="41"/>
      <c r="BT133" s="41"/>
      <c r="BU133" s="41"/>
      <c r="BV133" s="41"/>
      <c r="BW133" s="41"/>
      <c r="BX133" s="41"/>
      <c r="BY133" s="41"/>
      <c r="BZ133" s="41"/>
      <c r="CA133" s="41"/>
      <c r="CB133" s="41"/>
      <c r="CC133" s="41"/>
      <c r="CD133" s="41"/>
      <c r="CE133" s="41"/>
      <c r="CF133" s="41"/>
      <c r="CG133" s="41"/>
      <c r="CH133" s="41"/>
      <c r="CI133" s="41"/>
      <c r="CJ133" s="41"/>
      <c r="CK133" s="41"/>
      <c r="CL133" s="41"/>
      <c r="CM133" s="41"/>
      <c r="CN133" s="41"/>
      <c r="CO133" s="41"/>
      <c r="CP133" s="41"/>
      <c r="CQ133" s="41"/>
      <c r="CR133" s="41"/>
      <c r="CS133" s="41"/>
      <c r="CT133" s="41"/>
      <c r="CU133" s="41"/>
      <c r="CV133" s="41"/>
      <c r="CW133" s="41"/>
    </row>
    <row r="134" spans="1:101" ht="16.5" x14ac:dyDescent="0.35">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c r="AA134" s="41"/>
      <c r="AB134" s="41"/>
      <c r="AC134" s="41"/>
      <c r="AD134" s="41"/>
      <c r="AE134" s="41"/>
      <c r="AF134" s="41"/>
      <c r="AG134" s="41"/>
      <c r="AH134" s="41"/>
      <c r="AI134" s="41"/>
      <c r="AJ134" s="41"/>
      <c r="AK134" s="41"/>
      <c r="AL134" s="41"/>
      <c r="AM134" s="41"/>
      <c r="AN134" s="41"/>
      <c r="AO134" s="41"/>
      <c r="AP134" s="41"/>
      <c r="AQ134" s="41"/>
      <c r="AR134" s="41"/>
      <c r="AS134" s="41"/>
      <c r="AT134" s="41"/>
      <c r="AU134" s="41"/>
      <c r="AV134" s="41"/>
      <c r="AW134" s="41"/>
      <c r="AX134" s="41"/>
      <c r="AY134" s="41"/>
      <c r="AZ134" s="41"/>
      <c r="BA134" s="41"/>
      <c r="BB134" s="41"/>
      <c r="BC134" s="41"/>
      <c r="BD134" s="41"/>
      <c r="BE134" s="41"/>
      <c r="BF134" s="41"/>
      <c r="BG134" s="41"/>
      <c r="BH134" s="41"/>
      <c r="BI134" s="41"/>
      <c r="BJ134" s="41"/>
      <c r="BK134" s="41"/>
      <c r="BL134" s="41"/>
      <c r="BM134" s="41"/>
      <c r="BN134" s="41"/>
      <c r="BO134" s="41"/>
      <c r="BP134" s="41"/>
      <c r="BQ134" s="41"/>
      <c r="BR134" s="41"/>
      <c r="BS134" s="41"/>
      <c r="BT134" s="41"/>
      <c r="BU134" s="41"/>
      <c r="BV134" s="41"/>
      <c r="BW134" s="41"/>
      <c r="BX134" s="41"/>
      <c r="BY134" s="41"/>
      <c r="BZ134" s="41"/>
      <c r="CA134" s="41"/>
      <c r="CB134" s="41"/>
      <c r="CC134" s="41"/>
      <c r="CD134" s="41"/>
      <c r="CE134" s="41"/>
      <c r="CF134" s="41"/>
      <c r="CG134" s="41"/>
      <c r="CH134" s="41"/>
      <c r="CI134" s="41"/>
      <c r="CJ134" s="41"/>
      <c r="CK134" s="41"/>
      <c r="CL134" s="41"/>
      <c r="CM134" s="41"/>
      <c r="CN134" s="41"/>
      <c r="CO134" s="41"/>
      <c r="CP134" s="41"/>
      <c r="CQ134" s="41"/>
      <c r="CR134" s="41"/>
      <c r="CS134" s="41"/>
      <c r="CT134" s="41"/>
      <c r="CU134" s="41"/>
      <c r="CV134" s="41"/>
      <c r="CW134" s="41"/>
    </row>
    <row r="135" spans="1:101" ht="16.5" x14ac:dyDescent="0.35">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c r="AA135" s="41"/>
      <c r="AB135" s="41"/>
      <c r="AC135" s="41"/>
      <c r="AD135" s="41"/>
      <c r="AE135" s="41"/>
      <c r="AF135" s="41"/>
      <c r="AG135" s="41"/>
      <c r="AH135" s="41"/>
      <c r="AI135" s="41"/>
      <c r="AJ135" s="41"/>
      <c r="AK135" s="41"/>
      <c r="AL135" s="41"/>
      <c r="AM135" s="41"/>
      <c r="AN135" s="41"/>
      <c r="AO135" s="41"/>
      <c r="AP135" s="41"/>
      <c r="AQ135" s="41"/>
      <c r="AR135" s="41"/>
      <c r="AS135" s="41"/>
      <c r="AT135" s="41"/>
      <c r="AU135" s="41"/>
      <c r="AV135" s="41"/>
      <c r="AW135" s="41"/>
      <c r="AX135" s="41"/>
      <c r="AY135" s="41"/>
      <c r="AZ135" s="41"/>
      <c r="BA135" s="41"/>
      <c r="BB135" s="41"/>
      <c r="BC135" s="41"/>
      <c r="BD135" s="41"/>
      <c r="BE135" s="41"/>
      <c r="BF135" s="41"/>
      <c r="BG135" s="41"/>
      <c r="BH135" s="41"/>
      <c r="BI135" s="41"/>
      <c r="BJ135" s="41"/>
      <c r="BK135" s="41"/>
      <c r="BL135" s="41"/>
      <c r="BM135" s="41"/>
      <c r="BN135" s="41"/>
      <c r="BO135" s="41"/>
      <c r="BP135" s="41"/>
      <c r="BQ135" s="41"/>
      <c r="BR135" s="41"/>
      <c r="BS135" s="41"/>
      <c r="BT135" s="41"/>
      <c r="BU135" s="41"/>
      <c r="BV135" s="41"/>
      <c r="BW135" s="41"/>
      <c r="BX135" s="41"/>
      <c r="BY135" s="41"/>
      <c r="BZ135" s="41"/>
      <c r="CA135" s="41"/>
      <c r="CB135" s="41"/>
      <c r="CC135" s="41"/>
      <c r="CD135" s="41"/>
      <c r="CE135" s="41"/>
      <c r="CF135" s="41"/>
      <c r="CG135" s="41"/>
      <c r="CH135" s="41"/>
      <c r="CI135" s="41"/>
      <c r="CJ135" s="41"/>
      <c r="CK135" s="41"/>
      <c r="CL135" s="41"/>
      <c r="CM135" s="41"/>
      <c r="CN135" s="41"/>
      <c r="CO135" s="41"/>
      <c r="CP135" s="41"/>
      <c r="CQ135" s="41"/>
      <c r="CR135" s="41"/>
      <c r="CS135" s="41"/>
      <c r="CT135" s="41"/>
      <c r="CU135" s="41"/>
      <c r="CV135" s="41"/>
      <c r="CW135" s="41"/>
    </row>
    <row r="136" spans="1:101" ht="16.5" x14ac:dyDescent="0.35">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c r="AA136" s="41"/>
      <c r="AB136" s="41"/>
      <c r="AC136" s="41"/>
      <c r="AD136" s="41"/>
      <c r="AE136" s="41"/>
      <c r="AF136" s="41"/>
      <c r="AG136" s="41"/>
      <c r="AH136" s="41"/>
      <c r="AI136" s="41"/>
      <c r="AJ136" s="41"/>
      <c r="AK136" s="41"/>
      <c r="AL136" s="41"/>
      <c r="AM136" s="41"/>
      <c r="AN136" s="41"/>
      <c r="AO136" s="41"/>
      <c r="AP136" s="41"/>
      <c r="AQ136" s="41"/>
      <c r="AR136" s="41"/>
      <c r="AS136" s="41"/>
      <c r="AT136" s="41"/>
      <c r="AU136" s="41"/>
      <c r="AV136" s="41"/>
      <c r="AW136" s="41"/>
      <c r="AX136" s="41"/>
      <c r="AY136" s="41"/>
      <c r="AZ136" s="41"/>
      <c r="BA136" s="41"/>
      <c r="BB136" s="41"/>
      <c r="BC136" s="41"/>
      <c r="BD136" s="41"/>
      <c r="BE136" s="41"/>
      <c r="BF136" s="41"/>
      <c r="BG136" s="41"/>
      <c r="BH136" s="41"/>
      <c r="BI136" s="41"/>
      <c r="BJ136" s="41"/>
      <c r="BK136" s="41"/>
      <c r="BL136" s="41"/>
      <c r="BM136" s="41"/>
      <c r="BN136" s="41"/>
      <c r="BO136" s="41"/>
      <c r="BP136" s="41"/>
      <c r="BQ136" s="41"/>
      <c r="BR136" s="41"/>
      <c r="BS136" s="41"/>
      <c r="BT136" s="41"/>
      <c r="BU136" s="41"/>
      <c r="BV136" s="41"/>
      <c r="BW136" s="41"/>
      <c r="BX136" s="41"/>
      <c r="BY136" s="41"/>
      <c r="BZ136" s="41"/>
      <c r="CA136" s="41"/>
      <c r="CB136" s="41"/>
      <c r="CC136" s="41"/>
      <c r="CD136" s="41"/>
      <c r="CE136" s="41"/>
      <c r="CF136" s="41"/>
      <c r="CG136" s="41"/>
      <c r="CH136" s="41"/>
      <c r="CI136" s="41"/>
      <c r="CJ136" s="41"/>
      <c r="CK136" s="41"/>
      <c r="CL136" s="41"/>
      <c r="CM136" s="41"/>
      <c r="CN136" s="41"/>
      <c r="CO136" s="41"/>
      <c r="CP136" s="41"/>
      <c r="CQ136" s="41"/>
      <c r="CR136" s="41"/>
      <c r="CS136" s="41"/>
      <c r="CT136" s="41"/>
      <c r="CU136" s="41"/>
      <c r="CV136" s="41"/>
      <c r="CW136" s="41"/>
    </row>
    <row r="137" spans="1:101" ht="16.5" x14ac:dyDescent="0.35">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c r="AA137" s="41"/>
      <c r="AB137" s="41"/>
      <c r="AC137" s="41"/>
      <c r="AD137" s="41"/>
      <c r="AE137" s="41"/>
      <c r="AF137" s="41"/>
      <c r="AG137" s="41"/>
      <c r="AH137" s="41"/>
      <c r="AI137" s="41"/>
      <c r="AJ137" s="41"/>
      <c r="AK137" s="41"/>
      <c r="AL137" s="41"/>
      <c r="AM137" s="41"/>
      <c r="AN137" s="41"/>
      <c r="AO137" s="41"/>
      <c r="AP137" s="41"/>
      <c r="AQ137" s="41"/>
      <c r="AR137" s="41"/>
      <c r="AS137" s="41"/>
      <c r="AT137" s="41"/>
      <c r="AU137" s="41"/>
      <c r="AV137" s="41"/>
      <c r="AW137" s="41"/>
      <c r="AX137" s="41"/>
      <c r="AY137" s="41"/>
      <c r="AZ137" s="41"/>
      <c r="BA137" s="41"/>
      <c r="BB137" s="41"/>
      <c r="BC137" s="41"/>
      <c r="BD137" s="41"/>
      <c r="BE137" s="41"/>
      <c r="BF137" s="41"/>
      <c r="BG137" s="41"/>
      <c r="BH137" s="41"/>
      <c r="BI137" s="41"/>
      <c r="BJ137" s="41"/>
      <c r="BK137" s="41"/>
      <c r="BL137" s="41"/>
      <c r="BM137" s="41"/>
      <c r="BN137" s="41"/>
      <c r="BO137" s="41"/>
      <c r="BP137" s="41"/>
      <c r="BQ137" s="41"/>
      <c r="BR137" s="41"/>
      <c r="BS137" s="41"/>
      <c r="BT137" s="41"/>
      <c r="BU137" s="41"/>
      <c r="BV137" s="41"/>
      <c r="BW137" s="41"/>
      <c r="BX137" s="41"/>
      <c r="BY137" s="41"/>
      <c r="BZ137" s="41"/>
      <c r="CA137" s="41"/>
      <c r="CB137" s="41"/>
      <c r="CC137" s="41"/>
      <c r="CD137" s="41"/>
      <c r="CE137" s="41"/>
      <c r="CF137" s="41"/>
      <c r="CG137" s="41"/>
      <c r="CH137" s="41"/>
      <c r="CI137" s="41"/>
      <c r="CJ137" s="41"/>
      <c r="CK137" s="41"/>
      <c r="CL137" s="41"/>
      <c r="CM137" s="41"/>
      <c r="CN137" s="41"/>
      <c r="CO137" s="41"/>
      <c r="CP137" s="41"/>
      <c r="CQ137" s="41"/>
      <c r="CR137" s="41"/>
      <c r="CS137" s="41"/>
      <c r="CT137" s="41"/>
      <c r="CU137" s="41"/>
      <c r="CV137" s="41"/>
      <c r="CW137" s="41"/>
    </row>
    <row r="138" spans="1:101" ht="16.5" x14ac:dyDescent="0.35">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c r="AA138" s="41"/>
      <c r="AB138" s="41"/>
      <c r="AC138" s="41"/>
      <c r="AD138" s="41"/>
      <c r="AE138" s="41"/>
      <c r="AF138" s="41"/>
      <c r="AG138" s="41"/>
      <c r="AH138" s="41"/>
      <c r="AI138" s="41"/>
      <c r="AJ138" s="41"/>
      <c r="AK138" s="41"/>
      <c r="AL138" s="41"/>
      <c r="AM138" s="41"/>
      <c r="AN138" s="41"/>
      <c r="AO138" s="41"/>
      <c r="AP138" s="41"/>
      <c r="AQ138" s="41"/>
      <c r="AR138" s="41"/>
      <c r="AS138" s="41"/>
      <c r="AT138" s="41"/>
      <c r="AU138" s="41"/>
      <c r="AV138" s="41"/>
      <c r="AW138" s="41"/>
      <c r="AX138" s="41"/>
      <c r="AY138" s="41"/>
      <c r="AZ138" s="41"/>
      <c r="BA138" s="41"/>
      <c r="BB138" s="41"/>
      <c r="BC138" s="41"/>
      <c r="BD138" s="41"/>
      <c r="BE138" s="41"/>
      <c r="BF138" s="41"/>
      <c r="BG138" s="41"/>
      <c r="BH138" s="41"/>
      <c r="BI138" s="41"/>
      <c r="BJ138" s="41"/>
      <c r="BK138" s="41"/>
      <c r="BL138" s="41"/>
      <c r="BM138" s="41"/>
      <c r="BN138" s="41"/>
      <c r="BO138" s="41"/>
      <c r="BP138" s="41"/>
      <c r="BQ138" s="41"/>
      <c r="BR138" s="41"/>
      <c r="BS138" s="41"/>
      <c r="BT138" s="41"/>
      <c r="BU138" s="41"/>
      <c r="BV138" s="41"/>
      <c r="BW138" s="41"/>
      <c r="BX138" s="41"/>
      <c r="BY138" s="41"/>
      <c r="BZ138" s="41"/>
      <c r="CA138" s="41"/>
      <c r="CB138" s="41"/>
      <c r="CC138" s="41"/>
      <c r="CD138" s="41"/>
      <c r="CE138" s="41"/>
      <c r="CF138" s="41"/>
      <c r="CG138" s="41"/>
      <c r="CH138" s="41"/>
      <c r="CI138" s="41"/>
      <c r="CJ138" s="41"/>
      <c r="CK138" s="41"/>
      <c r="CL138" s="41"/>
      <c r="CM138" s="41"/>
      <c r="CN138" s="41"/>
      <c r="CO138" s="41"/>
      <c r="CP138" s="41"/>
      <c r="CQ138" s="41"/>
      <c r="CR138" s="41"/>
      <c r="CS138" s="41"/>
      <c r="CT138" s="41"/>
      <c r="CU138" s="41"/>
      <c r="CV138" s="41"/>
      <c r="CW138" s="41"/>
    </row>
    <row r="139" spans="1:101" ht="16.5" x14ac:dyDescent="0.35">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c r="AA139" s="41"/>
      <c r="AB139" s="41"/>
      <c r="AC139" s="41"/>
      <c r="AD139" s="41"/>
      <c r="AE139" s="41"/>
      <c r="AF139" s="41"/>
      <c r="AG139" s="41"/>
      <c r="AH139" s="41"/>
      <c r="AI139" s="41"/>
      <c r="AJ139" s="41"/>
      <c r="AK139" s="41"/>
      <c r="AL139" s="41"/>
      <c r="AM139" s="41"/>
      <c r="AN139" s="41"/>
      <c r="AO139" s="41"/>
      <c r="AP139" s="41"/>
      <c r="AQ139" s="41"/>
      <c r="AR139" s="41"/>
      <c r="AS139" s="41"/>
      <c r="AT139" s="41"/>
      <c r="AU139" s="41"/>
      <c r="AV139" s="41"/>
      <c r="AW139" s="41"/>
      <c r="AX139" s="41"/>
      <c r="AY139" s="41"/>
      <c r="AZ139" s="41"/>
      <c r="BA139" s="41"/>
      <c r="BB139" s="41"/>
      <c r="BC139" s="41"/>
      <c r="BD139" s="41"/>
      <c r="BE139" s="41"/>
      <c r="BF139" s="41"/>
      <c r="BG139" s="41"/>
      <c r="BH139" s="41"/>
      <c r="BI139" s="41"/>
      <c r="BJ139" s="41"/>
      <c r="BK139" s="41"/>
      <c r="BL139" s="41"/>
      <c r="BM139" s="41"/>
      <c r="BN139" s="41"/>
      <c r="BO139" s="41"/>
      <c r="BP139" s="41"/>
      <c r="BQ139" s="41"/>
      <c r="BR139" s="41"/>
      <c r="BS139" s="41"/>
      <c r="BT139" s="41"/>
      <c r="BU139" s="41"/>
      <c r="BV139" s="41"/>
      <c r="BW139" s="41"/>
      <c r="BX139" s="41"/>
      <c r="BY139" s="41"/>
      <c r="BZ139" s="41"/>
      <c r="CA139" s="41"/>
      <c r="CB139" s="41"/>
      <c r="CC139" s="41"/>
      <c r="CD139" s="41"/>
      <c r="CE139" s="41"/>
      <c r="CF139" s="41"/>
      <c r="CG139" s="41"/>
      <c r="CH139" s="41"/>
      <c r="CI139" s="41"/>
      <c r="CJ139" s="41"/>
      <c r="CK139" s="41"/>
      <c r="CL139" s="41"/>
      <c r="CM139" s="41"/>
      <c r="CN139" s="41"/>
      <c r="CO139" s="41"/>
      <c r="CP139" s="41"/>
      <c r="CQ139" s="41"/>
      <c r="CR139" s="41"/>
      <c r="CS139" s="41"/>
      <c r="CT139" s="41"/>
      <c r="CU139" s="41"/>
      <c r="CV139" s="41"/>
      <c r="CW139" s="41"/>
    </row>
    <row r="140" spans="1:101" ht="16.5" x14ac:dyDescent="0.35">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c r="AA140" s="41"/>
      <c r="AB140" s="41"/>
      <c r="AC140" s="41"/>
      <c r="AD140" s="41"/>
      <c r="AE140" s="41"/>
      <c r="AF140" s="41"/>
      <c r="AG140" s="41"/>
      <c r="AH140" s="41"/>
      <c r="AI140" s="41"/>
      <c r="AJ140" s="41"/>
      <c r="AK140" s="41"/>
      <c r="AL140" s="41"/>
      <c r="AM140" s="41"/>
      <c r="AN140" s="41"/>
      <c r="AO140" s="41"/>
      <c r="AP140" s="41"/>
      <c r="AQ140" s="41"/>
      <c r="AR140" s="41"/>
      <c r="AS140" s="41"/>
      <c r="AT140" s="41"/>
      <c r="AU140" s="41"/>
      <c r="AV140" s="41"/>
      <c r="AW140" s="41"/>
      <c r="AX140" s="41"/>
      <c r="AY140" s="41"/>
      <c r="AZ140" s="41"/>
      <c r="BA140" s="41"/>
      <c r="BB140" s="41"/>
      <c r="BC140" s="41"/>
      <c r="BD140" s="41"/>
      <c r="BE140" s="41"/>
      <c r="BF140" s="41"/>
      <c r="BG140" s="41"/>
      <c r="BH140" s="41"/>
      <c r="BI140" s="41"/>
      <c r="BJ140" s="41"/>
      <c r="BK140" s="41"/>
      <c r="BL140" s="41"/>
      <c r="BM140" s="41"/>
      <c r="BN140" s="41"/>
      <c r="BO140" s="41"/>
      <c r="BP140" s="41"/>
      <c r="BQ140" s="41"/>
      <c r="BR140" s="41"/>
      <c r="BS140" s="41"/>
      <c r="BT140" s="41"/>
      <c r="BU140" s="41"/>
      <c r="BV140" s="41"/>
      <c r="BW140" s="41"/>
      <c r="BX140" s="41"/>
      <c r="BY140" s="41"/>
      <c r="BZ140" s="41"/>
      <c r="CA140" s="41"/>
      <c r="CB140" s="41"/>
      <c r="CC140" s="41"/>
      <c r="CD140" s="41"/>
      <c r="CE140" s="41"/>
      <c r="CF140" s="41"/>
      <c r="CG140" s="41"/>
      <c r="CH140" s="41"/>
      <c r="CI140" s="41"/>
      <c r="CJ140" s="41"/>
      <c r="CK140" s="41"/>
      <c r="CL140" s="41"/>
      <c r="CM140" s="41"/>
      <c r="CN140" s="41"/>
      <c r="CO140" s="41"/>
      <c r="CP140" s="41"/>
      <c r="CQ140" s="41"/>
      <c r="CR140" s="41"/>
      <c r="CS140" s="41"/>
      <c r="CT140" s="41"/>
      <c r="CU140" s="41"/>
      <c r="CV140" s="41"/>
      <c r="CW140" s="41"/>
    </row>
    <row r="141" spans="1:101" ht="16.5" x14ac:dyDescent="0.35">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c r="AA141" s="41"/>
      <c r="AB141" s="41"/>
      <c r="AC141" s="41"/>
      <c r="AD141" s="41"/>
      <c r="AE141" s="41"/>
      <c r="AF141" s="41"/>
      <c r="AG141" s="41"/>
      <c r="AH141" s="41"/>
      <c r="AI141" s="41"/>
      <c r="AJ141" s="41"/>
      <c r="AK141" s="41"/>
      <c r="AL141" s="41"/>
      <c r="AM141" s="41"/>
      <c r="AN141" s="41"/>
      <c r="AO141" s="41"/>
      <c r="AP141" s="41"/>
      <c r="AQ141" s="41"/>
      <c r="AR141" s="41"/>
      <c r="AS141" s="41"/>
      <c r="AT141" s="41"/>
      <c r="AU141" s="41"/>
      <c r="AV141" s="41"/>
      <c r="AW141" s="41"/>
      <c r="AX141" s="41"/>
      <c r="AY141" s="41"/>
      <c r="AZ141" s="41"/>
      <c r="BA141" s="41"/>
      <c r="BB141" s="41"/>
      <c r="BC141" s="41"/>
      <c r="BD141" s="41"/>
      <c r="BE141" s="41"/>
      <c r="BF141" s="41"/>
      <c r="BG141" s="41"/>
      <c r="BH141" s="41"/>
      <c r="BI141" s="41"/>
      <c r="BJ141" s="41"/>
      <c r="BK141" s="41"/>
      <c r="BL141" s="41"/>
      <c r="BM141" s="41"/>
      <c r="BN141" s="41"/>
      <c r="BO141" s="41"/>
      <c r="BP141" s="41"/>
      <c r="BQ141" s="41"/>
      <c r="BR141" s="41"/>
      <c r="BS141" s="41"/>
      <c r="BT141" s="41"/>
      <c r="BU141" s="41"/>
      <c r="BV141" s="41"/>
      <c r="BW141" s="41"/>
      <c r="BX141" s="41"/>
      <c r="BY141" s="41"/>
      <c r="BZ141" s="41"/>
      <c r="CA141" s="41"/>
      <c r="CB141" s="41"/>
      <c r="CC141" s="41"/>
      <c r="CD141" s="41"/>
      <c r="CE141" s="41"/>
      <c r="CF141" s="41"/>
      <c r="CG141" s="41"/>
      <c r="CH141" s="41"/>
      <c r="CI141" s="41"/>
      <c r="CJ141" s="41"/>
      <c r="CK141" s="41"/>
      <c r="CL141" s="41"/>
      <c r="CM141" s="41"/>
      <c r="CN141" s="41"/>
      <c r="CO141" s="41"/>
      <c r="CP141" s="41"/>
      <c r="CQ141" s="41"/>
      <c r="CR141" s="41"/>
      <c r="CS141" s="41"/>
      <c r="CT141" s="41"/>
      <c r="CU141" s="41"/>
      <c r="CV141" s="41"/>
      <c r="CW141" s="41"/>
    </row>
    <row r="142" spans="1:101" ht="16.5" x14ac:dyDescent="0.35">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c r="AA142" s="41"/>
      <c r="AB142" s="41"/>
      <c r="AC142" s="41"/>
      <c r="AD142" s="41"/>
      <c r="AE142" s="41"/>
      <c r="AF142" s="41"/>
      <c r="AG142" s="41"/>
      <c r="AH142" s="41"/>
      <c r="AI142" s="41"/>
      <c r="AJ142" s="41"/>
      <c r="AK142" s="41"/>
      <c r="AL142" s="41"/>
      <c r="AM142" s="41"/>
      <c r="AN142" s="41"/>
      <c r="AO142" s="41"/>
      <c r="AP142" s="41"/>
      <c r="AQ142" s="41"/>
      <c r="AR142" s="41"/>
      <c r="AS142" s="41"/>
      <c r="AT142" s="41"/>
      <c r="AU142" s="41"/>
      <c r="AV142" s="41"/>
      <c r="AW142" s="41"/>
      <c r="AX142" s="41"/>
      <c r="AY142" s="41"/>
      <c r="AZ142" s="41"/>
      <c r="BA142" s="41"/>
      <c r="BB142" s="41"/>
      <c r="BC142" s="41"/>
      <c r="BD142" s="41"/>
      <c r="BE142" s="41"/>
      <c r="BF142" s="41"/>
      <c r="BG142" s="41"/>
      <c r="BH142" s="41"/>
      <c r="BI142" s="41"/>
      <c r="BJ142" s="41"/>
      <c r="BK142" s="41"/>
      <c r="BL142" s="41"/>
      <c r="BM142" s="41"/>
      <c r="BN142" s="41"/>
      <c r="BO142" s="41"/>
      <c r="BP142" s="41"/>
      <c r="BQ142" s="41"/>
      <c r="BR142" s="41"/>
      <c r="BS142" s="41"/>
      <c r="BT142" s="41"/>
      <c r="BU142" s="41"/>
      <c r="BV142" s="41"/>
      <c r="BW142" s="41"/>
      <c r="BX142" s="41"/>
      <c r="BY142" s="41"/>
      <c r="BZ142" s="41"/>
      <c r="CA142" s="41"/>
      <c r="CB142" s="41"/>
      <c r="CC142" s="41"/>
      <c r="CD142" s="41"/>
      <c r="CE142" s="41"/>
      <c r="CF142" s="41"/>
      <c r="CG142" s="41"/>
      <c r="CH142" s="41"/>
      <c r="CI142" s="41"/>
      <c r="CJ142" s="41"/>
      <c r="CK142" s="41"/>
      <c r="CL142" s="41"/>
      <c r="CM142" s="41"/>
      <c r="CN142" s="41"/>
      <c r="CO142" s="41"/>
      <c r="CP142" s="41"/>
      <c r="CQ142" s="41"/>
      <c r="CR142" s="41"/>
      <c r="CS142" s="41"/>
      <c r="CT142" s="41"/>
      <c r="CU142" s="41"/>
      <c r="CV142" s="41"/>
      <c r="CW142" s="41"/>
    </row>
    <row r="143" spans="1:101" ht="16.5" x14ac:dyDescent="0.35">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row>
    <row r="144" spans="1:101" ht="16.5" x14ac:dyDescent="0.35">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c r="AA144" s="41"/>
      <c r="AB144" s="41"/>
      <c r="AC144" s="41"/>
      <c r="AD144" s="41"/>
      <c r="AE144" s="41"/>
      <c r="AF144" s="41"/>
      <c r="AG144" s="41"/>
      <c r="AH144" s="41"/>
      <c r="AI144" s="41"/>
      <c r="AJ144" s="41"/>
      <c r="AK144" s="41"/>
      <c r="AL144" s="41"/>
      <c r="AM144" s="41"/>
      <c r="AN144" s="41"/>
      <c r="AO144" s="41"/>
      <c r="AP144" s="41"/>
      <c r="AQ144" s="41"/>
      <c r="AR144" s="41"/>
      <c r="AS144" s="41"/>
      <c r="AT144" s="41"/>
      <c r="AU144" s="41"/>
      <c r="AV144" s="41"/>
      <c r="AW144" s="41"/>
      <c r="AX144" s="41"/>
      <c r="AY144" s="41"/>
      <c r="AZ144" s="41"/>
      <c r="BA144" s="41"/>
      <c r="BB144" s="41"/>
      <c r="BC144" s="41"/>
      <c r="BD144" s="41"/>
      <c r="BE144" s="41"/>
      <c r="BF144" s="41"/>
      <c r="BG144" s="41"/>
      <c r="BH144" s="41"/>
      <c r="BI144" s="41"/>
      <c r="BJ144" s="41"/>
      <c r="BK144" s="41"/>
      <c r="BL144" s="41"/>
      <c r="BM144" s="41"/>
      <c r="BN144" s="41"/>
      <c r="BO144" s="41"/>
      <c r="BP144" s="41"/>
      <c r="BQ144" s="41"/>
      <c r="BR144" s="41"/>
      <c r="BS144" s="41"/>
      <c r="BT144" s="41"/>
      <c r="BU144" s="41"/>
      <c r="BV144" s="41"/>
      <c r="BW144" s="41"/>
      <c r="BX144" s="41"/>
      <c r="BY144" s="41"/>
      <c r="BZ144" s="41"/>
      <c r="CA144" s="41"/>
      <c r="CB144" s="41"/>
      <c r="CC144" s="41"/>
      <c r="CD144" s="41"/>
      <c r="CE144" s="41"/>
      <c r="CF144" s="41"/>
      <c r="CG144" s="41"/>
      <c r="CH144" s="41"/>
      <c r="CI144" s="41"/>
      <c r="CJ144" s="41"/>
      <c r="CK144" s="41"/>
      <c r="CL144" s="41"/>
      <c r="CM144" s="41"/>
      <c r="CN144" s="41"/>
      <c r="CO144" s="41"/>
      <c r="CP144" s="41"/>
      <c r="CQ144" s="41"/>
      <c r="CR144" s="41"/>
      <c r="CS144" s="41"/>
      <c r="CT144" s="41"/>
      <c r="CU144" s="41"/>
      <c r="CV144" s="41"/>
      <c r="CW144" s="41"/>
    </row>
    <row r="145" spans="1:101" ht="16.5" x14ac:dyDescent="0.35">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BG145" s="41"/>
      <c r="BH145" s="41"/>
      <c r="BI145" s="41"/>
      <c r="BJ145" s="41"/>
      <c r="BK145" s="41"/>
      <c r="BL145" s="41"/>
      <c r="BM145" s="41"/>
      <c r="BN145" s="41"/>
      <c r="BO145" s="41"/>
      <c r="BP145" s="41"/>
      <c r="BQ145" s="41"/>
      <c r="BR145" s="41"/>
      <c r="BS145" s="41"/>
      <c r="BT145" s="41"/>
      <c r="BU145" s="41"/>
      <c r="BV145" s="41"/>
      <c r="BW145" s="41"/>
      <c r="BX145" s="41"/>
      <c r="BY145" s="41"/>
      <c r="BZ145" s="41"/>
      <c r="CA145" s="41"/>
      <c r="CB145" s="41"/>
      <c r="CC145" s="41"/>
      <c r="CD145" s="41"/>
      <c r="CE145" s="41"/>
      <c r="CF145" s="41"/>
      <c r="CG145" s="41"/>
      <c r="CH145" s="41"/>
      <c r="CI145" s="41"/>
      <c r="CJ145" s="41"/>
      <c r="CK145" s="41"/>
      <c r="CL145" s="41"/>
      <c r="CM145" s="41"/>
      <c r="CN145" s="41"/>
      <c r="CO145" s="41"/>
      <c r="CP145" s="41"/>
      <c r="CQ145" s="41"/>
      <c r="CR145" s="41"/>
      <c r="CS145" s="41"/>
      <c r="CT145" s="41"/>
      <c r="CU145" s="41"/>
      <c r="CV145" s="41"/>
      <c r="CW145" s="41"/>
    </row>
    <row r="146" spans="1:101" ht="16.5" x14ac:dyDescent="0.35">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c r="AA146" s="41"/>
      <c r="AB146" s="41"/>
      <c r="AC146" s="41"/>
      <c r="AD146" s="41"/>
      <c r="AE146" s="41"/>
      <c r="AF146" s="41"/>
      <c r="AG146" s="41"/>
      <c r="AH146" s="41"/>
      <c r="AI146" s="41"/>
      <c r="AJ146" s="41"/>
      <c r="AK146" s="41"/>
      <c r="AL146" s="41"/>
      <c r="AM146" s="41"/>
      <c r="AN146" s="41"/>
      <c r="AO146" s="41"/>
      <c r="AP146" s="41"/>
      <c r="AQ146" s="41"/>
      <c r="AR146" s="41"/>
      <c r="AS146" s="41"/>
      <c r="AT146" s="41"/>
      <c r="AU146" s="41"/>
      <c r="AV146" s="41"/>
      <c r="AW146" s="41"/>
      <c r="AX146" s="41"/>
      <c r="AY146" s="41"/>
      <c r="AZ146" s="41"/>
      <c r="BA146" s="41"/>
      <c r="BB146" s="41"/>
      <c r="BC146" s="41"/>
      <c r="BD146" s="41"/>
      <c r="BE146" s="41"/>
      <c r="BF146" s="41"/>
      <c r="BG146" s="41"/>
      <c r="BH146" s="41"/>
      <c r="BI146" s="41"/>
      <c r="BJ146" s="41"/>
      <c r="BK146" s="41"/>
      <c r="BL146" s="41"/>
      <c r="BM146" s="41"/>
      <c r="BN146" s="41"/>
      <c r="BO146" s="41"/>
      <c r="BP146" s="41"/>
      <c r="BQ146" s="41"/>
      <c r="BR146" s="41"/>
      <c r="BS146" s="41"/>
      <c r="BT146" s="41"/>
      <c r="BU146" s="41"/>
      <c r="BV146" s="41"/>
      <c r="BW146" s="41"/>
      <c r="BX146" s="41"/>
      <c r="BY146" s="41"/>
      <c r="BZ146" s="41"/>
      <c r="CA146" s="41"/>
      <c r="CB146" s="41"/>
      <c r="CC146" s="41"/>
      <c r="CD146" s="41"/>
      <c r="CE146" s="41"/>
      <c r="CF146" s="41"/>
      <c r="CG146" s="41"/>
      <c r="CH146" s="41"/>
      <c r="CI146" s="41"/>
      <c r="CJ146" s="41"/>
      <c r="CK146" s="41"/>
      <c r="CL146" s="41"/>
      <c r="CM146" s="41"/>
      <c r="CN146" s="41"/>
      <c r="CO146" s="41"/>
      <c r="CP146" s="41"/>
      <c r="CQ146" s="41"/>
      <c r="CR146" s="41"/>
      <c r="CS146" s="41"/>
      <c r="CT146" s="41"/>
      <c r="CU146" s="41"/>
      <c r="CV146" s="41"/>
      <c r="CW146" s="41"/>
    </row>
    <row r="147" spans="1:101" ht="16.5" x14ac:dyDescent="0.35">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c r="AA147" s="41"/>
      <c r="AB147" s="41"/>
      <c r="AC147" s="41"/>
      <c r="AD147" s="41"/>
      <c r="AE147" s="41"/>
      <c r="AF147" s="41"/>
      <c r="AG147" s="41"/>
      <c r="AH147" s="41"/>
      <c r="AI147" s="41"/>
      <c r="AJ147" s="41"/>
      <c r="AK147" s="41"/>
      <c r="AL147" s="41"/>
      <c r="AM147" s="41"/>
      <c r="AN147" s="41"/>
      <c r="AO147" s="41"/>
      <c r="AP147" s="41"/>
      <c r="AQ147" s="41"/>
      <c r="AR147" s="41"/>
      <c r="AS147" s="41"/>
      <c r="AT147" s="41"/>
      <c r="AU147" s="41"/>
      <c r="AV147" s="41"/>
      <c r="AW147" s="41"/>
      <c r="AX147" s="41"/>
      <c r="AY147" s="41"/>
      <c r="AZ147" s="41"/>
      <c r="BA147" s="41"/>
      <c r="BB147" s="41"/>
      <c r="BC147" s="41"/>
      <c r="BD147" s="41"/>
      <c r="BE147" s="41"/>
      <c r="BF147" s="41"/>
      <c r="BG147" s="41"/>
      <c r="BH147" s="41"/>
      <c r="BI147" s="41"/>
      <c r="BJ147" s="41"/>
      <c r="BK147" s="41"/>
      <c r="BL147" s="41"/>
      <c r="BM147" s="41"/>
      <c r="BN147" s="41"/>
      <c r="BO147" s="41"/>
      <c r="BP147" s="41"/>
      <c r="BQ147" s="41"/>
      <c r="BR147" s="41"/>
      <c r="BS147" s="41"/>
      <c r="BT147" s="41"/>
      <c r="BU147" s="41"/>
      <c r="BV147" s="41"/>
      <c r="BW147" s="41"/>
      <c r="BX147" s="41"/>
      <c r="BY147" s="41"/>
      <c r="BZ147" s="41"/>
      <c r="CA147" s="41"/>
      <c r="CB147" s="41"/>
      <c r="CC147" s="41"/>
      <c r="CD147" s="41"/>
      <c r="CE147" s="41"/>
      <c r="CF147" s="41"/>
      <c r="CG147" s="41"/>
      <c r="CH147" s="41"/>
      <c r="CI147" s="41"/>
      <c r="CJ147" s="41"/>
      <c r="CK147" s="41"/>
      <c r="CL147" s="41"/>
      <c r="CM147" s="41"/>
      <c r="CN147" s="41"/>
      <c r="CO147" s="41"/>
      <c r="CP147" s="41"/>
      <c r="CQ147" s="41"/>
      <c r="CR147" s="41"/>
      <c r="CS147" s="41"/>
      <c r="CT147" s="41"/>
      <c r="CU147" s="41"/>
      <c r="CV147" s="41"/>
      <c r="CW147" s="41"/>
    </row>
    <row r="148" spans="1:101" ht="16.5" x14ac:dyDescent="0.35">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c r="AA148" s="41"/>
      <c r="AB148" s="41"/>
      <c r="AC148" s="41"/>
      <c r="AD148" s="41"/>
      <c r="AE148" s="41"/>
      <c r="AF148" s="41"/>
      <c r="AG148" s="41"/>
      <c r="AH148" s="41"/>
      <c r="AI148" s="41"/>
      <c r="AJ148" s="41"/>
      <c r="AK148" s="41"/>
      <c r="AL148" s="41"/>
      <c r="AM148" s="41"/>
      <c r="AN148" s="41"/>
      <c r="AO148" s="41"/>
      <c r="AP148" s="41"/>
      <c r="AQ148" s="41"/>
      <c r="AR148" s="41"/>
      <c r="AS148" s="41"/>
      <c r="AT148" s="41"/>
      <c r="AU148" s="41"/>
      <c r="AV148" s="41"/>
      <c r="AW148" s="41"/>
      <c r="AX148" s="41"/>
      <c r="AY148" s="41"/>
      <c r="AZ148" s="41"/>
      <c r="BA148" s="41"/>
      <c r="BB148" s="41"/>
      <c r="BC148" s="41"/>
      <c r="BD148" s="41"/>
      <c r="BE148" s="41"/>
      <c r="BF148" s="41"/>
      <c r="BG148" s="41"/>
      <c r="BH148" s="41"/>
      <c r="BI148" s="41"/>
      <c r="BJ148" s="41"/>
      <c r="BK148" s="41"/>
      <c r="BL148" s="41"/>
      <c r="BM148" s="41"/>
      <c r="BN148" s="41"/>
      <c r="BO148" s="41"/>
      <c r="BP148" s="41"/>
      <c r="BQ148" s="41"/>
      <c r="BR148" s="41"/>
      <c r="BS148" s="41"/>
      <c r="BT148" s="41"/>
      <c r="BU148" s="41"/>
      <c r="BV148" s="41"/>
      <c r="BW148" s="41"/>
      <c r="BX148" s="41"/>
      <c r="BY148" s="41"/>
      <c r="BZ148" s="41"/>
      <c r="CA148" s="41"/>
      <c r="CB148" s="41"/>
      <c r="CC148" s="41"/>
      <c r="CD148" s="41"/>
      <c r="CE148" s="41"/>
      <c r="CF148" s="41"/>
      <c r="CG148" s="41"/>
      <c r="CH148" s="41"/>
      <c r="CI148" s="41"/>
      <c r="CJ148" s="41"/>
      <c r="CK148" s="41"/>
      <c r="CL148" s="41"/>
      <c r="CM148" s="41"/>
      <c r="CN148" s="41"/>
      <c r="CO148" s="41"/>
      <c r="CP148" s="41"/>
      <c r="CQ148" s="41"/>
      <c r="CR148" s="41"/>
      <c r="CS148" s="41"/>
      <c r="CT148" s="41"/>
      <c r="CU148" s="41"/>
      <c r="CV148" s="41"/>
      <c r="CW148" s="41"/>
    </row>
    <row r="149" spans="1:101" ht="16.5" x14ac:dyDescent="0.35">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c r="AA149" s="41"/>
      <c r="AB149" s="41"/>
      <c r="AC149" s="41"/>
      <c r="AD149" s="41"/>
      <c r="AE149" s="41"/>
      <c r="AF149" s="41"/>
      <c r="AG149" s="41"/>
      <c r="AH149" s="41"/>
      <c r="AI149" s="41"/>
      <c r="AJ149" s="41"/>
      <c r="AK149" s="41"/>
      <c r="AL149" s="41"/>
      <c r="AM149" s="41"/>
      <c r="AN149" s="41"/>
      <c r="AO149" s="41"/>
      <c r="AP149" s="41"/>
      <c r="AQ149" s="41"/>
      <c r="AR149" s="41"/>
      <c r="AS149" s="41"/>
      <c r="AT149" s="41"/>
      <c r="AU149" s="41"/>
      <c r="AV149" s="41"/>
      <c r="AW149" s="41"/>
      <c r="AX149" s="41"/>
      <c r="AY149" s="41"/>
      <c r="AZ149" s="41"/>
      <c r="BA149" s="41"/>
      <c r="BB149" s="41"/>
      <c r="BC149" s="41"/>
      <c r="BD149" s="41"/>
      <c r="BE149" s="41"/>
      <c r="BF149" s="41"/>
      <c r="BG149" s="41"/>
      <c r="BH149" s="41"/>
      <c r="BI149" s="41"/>
      <c r="BJ149" s="41"/>
      <c r="BK149" s="41"/>
      <c r="BL149" s="41"/>
      <c r="BM149" s="41"/>
      <c r="BN149" s="41"/>
      <c r="BO149" s="41"/>
      <c r="BP149" s="41"/>
      <c r="BQ149" s="41"/>
      <c r="BR149" s="41"/>
      <c r="BS149" s="41"/>
      <c r="BT149" s="41"/>
      <c r="BU149" s="41"/>
      <c r="BV149" s="41"/>
      <c r="BW149" s="41"/>
      <c r="BX149" s="41"/>
      <c r="BY149" s="41"/>
      <c r="BZ149" s="41"/>
      <c r="CA149" s="41"/>
      <c r="CB149" s="41"/>
      <c r="CC149" s="41"/>
      <c r="CD149" s="41"/>
      <c r="CE149" s="41"/>
      <c r="CF149" s="41"/>
      <c r="CG149" s="41"/>
      <c r="CH149" s="41"/>
      <c r="CI149" s="41"/>
      <c r="CJ149" s="41"/>
      <c r="CK149" s="41"/>
      <c r="CL149" s="41"/>
      <c r="CM149" s="41"/>
      <c r="CN149" s="41"/>
      <c r="CO149" s="41"/>
      <c r="CP149" s="41"/>
      <c r="CQ149" s="41"/>
      <c r="CR149" s="41"/>
      <c r="CS149" s="41"/>
      <c r="CT149" s="41"/>
      <c r="CU149" s="41"/>
      <c r="CV149" s="41"/>
      <c r="CW149" s="41"/>
    </row>
    <row r="150" spans="1:101" ht="16.5" x14ac:dyDescent="0.35">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BG150" s="41"/>
      <c r="BH150" s="41"/>
      <c r="BI150" s="41"/>
      <c r="BJ150" s="41"/>
      <c r="BK150" s="41"/>
      <c r="BL150" s="41"/>
      <c r="BM150" s="41"/>
      <c r="BN150" s="41"/>
      <c r="BO150" s="41"/>
      <c r="BP150" s="41"/>
      <c r="BQ150" s="41"/>
      <c r="BR150" s="41"/>
      <c r="BS150" s="41"/>
      <c r="BT150" s="41"/>
      <c r="BU150" s="41"/>
      <c r="BV150" s="41"/>
      <c r="BW150" s="41"/>
      <c r="BX150" s="41"/>
      <c r="BY150" s="41"/>
      <c r="BZ150" s="41"/>
      <c r="CA150" s="41"/>
      <c r="CB150" s="41"/>
      <c r="CC150" s="41"/>
      <c r="CD150" s="41"/>
      <c r="CE150" s="41"/>
      <c r="CF150" s="41"/>
      <c r="CG150" s="41"/>
      <c r="CH150" s="41"/>
      <c r="CI150" s="41"/>
      <c r="CJ150" s="41"/>
      <c r="CK150" s="41"/>
      <c r="CL150" s="41"/>
      <c r="CM150" s="41"/>
      <c r="CN150" s="41"/>
      <c r="CO150" s="41"/>
      <c r="CP150" s="41"/>
      <c r="CQ150" s="41"/>
      <c r="CR150" s="41"/>
      <c r="CS150" s="41"/>
      <c r="CT150" s="41"/>
      <c r="CU150" s="41"/>
      <c r="CV150" s="41"/>
      <c r="CW150" s="41"/>
    </row>
    <row r="151" spans="1:101" ht="16.5" x14ac:dyDescent="0.35">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BG151" s="41"/>
      <c r="BH151" s="41"/>
      <c r="BI151" s="41"/>
      <c r="BJ151" s="41"/>
      <c r="BK151" s="41"/>
      <c r="BL151" s="41"/>
      <c r="BM151" s="41"/>
      <c r="BN151" s="41"/>
      <c r="BO151" s="41"/>
      <c r="BP151" s="41"/>
      <c r="BQ151" s="41"/>
      <c r="BR151" s="41"/>
      <c r="BS151" s="41"/>
      <c r="BT151" s="41"/>
      <c r="BU151" s="41"/>
      <c r="BV151" s="41"/>
      <c r="BW151" s="41"/>
      <c r="BX151" s="41"/>
      <c r="BY151" s="41"/>
      <c r="BZ151" s="41"/>
      <c r="CA151" s="41"/>
      <c r="CB151" s="41"/>
      <c r="CC151" s="41"/>
      <c r="CD151" s="41"/>
      <c r="CE151" s="41"/>
      <c r="CF151" s="41"/>
      <c r="CG151" s="41"/>
      <c r="CH151" s="41"/>
      <c r="CI151" s="41"/>
      <c r="CJ151" s="41"/>
      <c r="CK151" s="41"/>
      <c r="CL151" s="41"/>
      <c r="CM151" s="41"/>
      <c r="CN151" s="41"/>
      <c r="CO151" s="41"/>
      <c r="CP151" s="41"/>
      <c r="CQ151" s="41"/>
      <c r="CR151" s="41"/>
      <c r="CS151" s="41"/>
      <c r="CT151" s="41"/>
      <c r="CU151" s="41"/>
      <c r="CV151" s="41"/>
      <c r="CW151" s="41"/>
    </row>
    <row r="152" spans="1:101" ht="16.5" x14ac:dyDescent="0.35">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BG152" s="41"/>
      <c r="BH152" s="41"/>
      <c r="BI152" s="41"/>
      <c r="BJ152" s="41"/>
      <c r="BK152" s="41"/>
      <c r="BL152" s="41"/>
      <c r="BM152" s="41"/>
      <c r="BN152" s="41"/>
      <c r="BO152" s="41"/>
      <c r="BP152" s="41"/>
      <c r="BQ152" s="41"/>
      <c r="BR152" s="41"/>
      <c r="BS152" s="41"/>
      <c r="BT152" s="41"/>
      <c r="BU152" s="41"/>
      <c r="BV152" s="41"/>
      <c r="BW152" s="41"/>
      <c r="BX152" s="41"/>
      <c r="BY152" s="41"/>
      <c r="BZ152" s="41"/>
      <c r="CA152" s="41"/>
      <c r="CB152" s="41"/>
      <c r="CC152" s="41"/>
      <c r="CD152" s="41"/>
      <c r="CE152" s="41"/>
      <c r="CF152" s="41"/>
      <c r="CG152" s="41"/>
      <c r="CH152" s="41"/>
      <c r="CI152" s="41"/>
      <c r="CJ152" s="41"/>
      <c r="CK152" s="41"/>
      <c r="CL152" s="41"/>
      <c r="CM152" s="41"/>
      <c r="CN152" s="41"/>
      <c r="CO152" s="41"/>
      <c r="CP152" s="41"/>
      <c r="CQ152" s="41"/>
      <c r="CR152" s="41"/>
      <c r="CS152" s="41"/>
      <c r="CT152" s="41"/>
      <c r="CU152" s="41"/>
      <c r="CV152" s="41"/>
      <c r="CW152" s="41"/>
    </row>
    <row r="153" spans="1:101" ht="16.5" x14ac:dyDescent="0.35">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c r="BW153" s="41"/>
      <c r="BX153" s="41"/>
      <c r="BY153" s="41"/>
      <c r="BZ153" s="41"/>
      <c r="CA153" s="41"/>
      <c r="CB153" s="41"/>
      <c r="CC153" s="41"/>
      <c r="CD153" s="41"/>
      <c r="CE153" s="41"/>
      <c r="CF153" s="41"/>
      <c r="CG153" s="41"/>
      <c r="CH153" s="41"/>
      <c r="CI153" s="41"/>
      <c r="CJ153" s="41"/>
      <c r="CK153" s="41"/>
      <c r="CL153" s="41"/>
      <c r="CM153" s="41"/>
      <c r="CN153" s="41"/>
      <c r="CO153" s="41"/>
      <c r="CP153" s="41"/>
      <c r="CQ153" s="41"/>
      <c r="CR153" s="41"/>
      <c r="CS153" s="41"/>
      <c r="CT153" s="41"/>
      <c r="CU153" s="41"/>
      <c r="CV153" s="41"/>
      <c r="CW153" s="41"/>
    </row>
    <row r="154" spans="1:101" ht="16.5" x14ac:dyDescent="0.35">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BG154" s="41"/>
      <c r="BH154" s="41"/>
      <c r="BI154" s="41"/>
      <c r="BJ154" s="41"/>
      <c r="BK154" s="41"/>
      <c r="BL154" s="41"/>
      <c r="BM154" s="41"/>
      <c r="BN154" s="41"/>
      <c r="BO154" s="41"/>
      <c r="BP154" s="41"/>
      <c r="BQ154" s="41"/>
      <c r="BR154" s="41"/>
      <c r="BS154" s="41"/>
      <c r="BT154" s="41"/>
      <c r="BU154" s="41"/>
      <c r="BV154" s="41"/>
      <c r="BW154" s="41"/>
      <c r="BX154" s="41"/>
      <c r="BY154" s="41"/>
      <c r="BZ154" s="41"/>
      <c r="CA154" s="41"/>
      <c r="CB154" s="41"/>
      <c r="CC154" s="41"/>
      <c r="CD154" s="41"/>
      <c r="CE154" s="41"/>
      <c r="CF154" s="41"/>
      <c r="CG154" s="41"/>
      <c r="CH154" s="41"/>
      <c r="CI154" s="41"/>
      <c r="CJ154" s="41"/>
      <c r="CK154" s="41"/>
      <c r="CL154" s="41"/>
      <c r="CM154" s="41"/>
      <c r="CN154" s="41"/>
      <c r="CO154" s="41"/>
      <c r="CP154" s="41"/>
      <c r="CQ154" s="41"/>
      <c r="CR154" s="41"/>
      <c r="CS154" s="41"/>
      <c r="CT154" s="41"/>
      <c r="CU154" s="41"/>
      <c r="CV154" s="41"/>
      <c r="CW154" s="41"/>
    </row>
    <row r="155" spans="1:101" ht="16.5" x14ac:dyDescent="0.35">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BG155" s="41"/>
      <c r="BH155" s="41"/>
      <c r="BI155" s="41"/>
      <c r="BJ155" s="41"/>
      <c r="BK155" s="41"/>
      <c r="BL155" s="41"/>
      <c r="BM155" s="41"/>
      <c r="BN155" s="41"/>
      <c r="BO155" s="41"/>
      <c r="BP155" s="41"/>
      <c r="BQ155" s="41"/>
      <c r="BR155" s="41"/>
      <c r="BS155" s="41"/>
      <c r="BT155" s="41"/>
      <c r="BU155" s="41"/>
      <c r="BV155" s="41"/>
      <c r="BW155" s="41"/>
      <c r="BX155" s="41"/>
      <c r="BY155" s="41"/>
      <c r="BZ155" s="41"/>
      <c r="CA155" s="41"/>
      <c r="CB155" s="41"/>
      <c r="CC155" s="41"/>
      <c r="CD155" s="41"/>
      <c r="CE155" s="41"/>
      <c r="CF155" s="41"/>
      <c r="CG155" s="41"/>
      <c r="CH155" s="41"/>
      <c r="CI155" s="41"/>
      <c r="CJ155" s="41"/>
      <c r="CK155" s="41"/>
      <c r="CL155" s="41"/>
      <c r="CM155" s="41"/>
      <c r="CN155" s="41"/>
      <c r="CO155" s="41"/>
      <c r="CP155" s="41"/>
      <c r="CQ155" s="41"/>
      <c r="CR155" s="41"/>
      <c r="CS155" s="41"/>
      <c r="CT155" s="41"/>
      <c r="CU155" s="41"/>
      <c r="CV155" s="41"/>
      <c r="CW155" s="41"/>
    </row>
    <row r="156" spans="1:101" ht="16.5" x14ac:dyDescent="0.35">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BG156" s="41"/>
      <c r="BH156" s="41"/>
      <c r="BI156" s="41"/>
      <c r="BJ156" s="41"/>
      <c r="BK156" s="41"/>
      <c r="BL156" s="41"/>
      <c r="BM156" s="41"/>
      <c r="BN156" s="41"/>
      <c r="BO156" s="41"/>
      <c r="BP156" s="41"/>
      <c r="BQ156" s="41"/>
      <c r="BR156" s="41"/>
      <c r="BS156" s="41"/>
      <c r="BT156" s="41"/>
      <c r="BU156" s="41"/>
      <c r="BV156" s="41"/>
      <c r="BW156" s="41"/>
      <c r="BX156" s="41"/>
      <c r="BY156" s="41"/>
      <c r="BZ156" s="41"/>
      <c r="CA156" s="41"/>
      <c r="CB156" s="41"/>
      <c r="CC156" s="41"/>
      <c r="CD156" s="41"/>
      <c r="CE156" s="41"/>
      <c r="CF156" s="41"/>
      <c r="CG156" s="41"/>
      <c r="CH156" s="41"/>
      <c r="CI156" s="41"/>
      <c r="CJ156" s="41"/>
      <c r="CK156" s="41"/>
      <c r="CL156" s="41"/>
      <c r="CM156" s="41"/>
      <c r="CN156" s="41"/>
      <c r="CO156" s="41"/>
      <c r="CP156" s="41"/>
      <c r="CQ156" s="41"/>
      <c r="CR156" s="41"/>
      <c r="CS156" s="41"/>
      <c r="CT156" s="41"/>
      <c r="CU156" s="41"/>
      <c r="CV156" s="41"/>
      <c r="CW156" s="41"/>
    </row>
    <row r="157" spans="1:101" ht="16.5" x14ac:dyDescent="0.35">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BG157" s="41"/>
      <c r="BH157" s="41"/>
      <c r="BI157" s="41"/>
      <c r="BJ157" s="41"/>
      <c r="BK157" s="41"/>
      <c r="BL157" s="41"/>
      <c r="BM157" s="41"/>
      <c r="BN157" s="41"/>
      <c r="BO157" s="41"/>
      <c r="BP157" s="41"/>
      <c r="BQ157" s="41"/>
      <c r="BR157" s="41"/>
      <c r="BS157" s="41"/>
      <c r="BT157" s="41"/>
      <c r="BU157" s="41"/>
      <c r="BV157" s="41"/>
      <c r="BW157" s="41"/>
      <c r="BX157" s="41"/>
      <c r="BY157" s="41"/>
      <c r="BZ157" s="41"/>
      <c r="CA157" s="41"/>
      <c r="CB157" s="41"/>
      <c r="CC157" s="41"/>
      <c r="CD157" s="41"/>
      <c r="CE157" s="41"/>
      <c r="CF157" s="41"/>
      <c r="CG157" s="41"/>
      <c r="CH157" s="41"/>
      <c r="CI157" s="41"/>
      <c r="CJ157" s="41"/>
      <c r="CK157" s="41"/>
      <c r="CL157" s="41"/>
      <c r="CM157" s="41"/>
      <c r="CN157" s="41"/>
      <c r="CO157" s="41"/>
      <c r="CP157" s="41"/>
      <c r="CQ157" s="41"/>
      <c r="CR157" s="41"/>
      <c r="CS157" s="41"/>
      <c r="CT157" s="41"/>
      <c r="CU157" s="41"/>
      <c r="CV157" s="41"/>
      <c r="CW157" s="41"/>
    </row>
    <row r="158" spans="1:101" ht="16.5" x14ac:dyDescent="0.35">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BG158" s="41"/>
      <c r="BH158" s="41"/>
      <c r="BI158" s="41"/>
      <c r="BJ158" s="41"/>
      <c r="BK158" s="41"/>
      <c r="BL158" s="41"/>
      <c r="BM158" s="41"/>
      <c r="BN158" s="41"/>
      <c r="BO158" s="41"/>
      <c r="BP158" s="41"/>
      <c r="BQ158" s="41"/>
      <c r="BR158" s="41"/>
      <c r="BS158" s="41"/>
      <c r="BT158" s="41"/>
      <c r="BU158" s="41"/>
      <c r="BV158" s="41"/>
      <c r="BW158" s="41"/>
      <c r="BX158" s="41"/>
      <c r="BY158" s="41"/>
      <c r="BZ158" s="41"/>
      <c r="CA158" s="41"/>
      <c r="CB158" s="41"/>
      <c r="CC158" s="41"/>
      <c r="CD158" s="41"/>
      <c r="CE158" s="41"/>
      <c r="CF158" s="41"/>
      <c r="CG158" s="41"/>
      <c r="CH158" s="41"/>
      <c r="CI158" s="41"/>
      <c r="CJ158" s="41"/>
      <c r="CK158" s="41"/>
      <c r="CL158" s="41"/>
      <c r="CM158" s="41"/>
      <c r="CN158" s="41"/>
      <c r="CO158" s="41"/>
      <c r="CP158" s="41"/>
      <c r="CQ158" s="41"/>
      <c r="CR158" s="41"/>
      <c r="CS158" s="41"/>
      <c r="CT158" s="41"/>
      <c r="CU158" s="41"/>
      <c r="CV158" s="41"/>
      <c r="CW158" s="41"/>
    </row>
    <row r="159" spans="1:101" ht="16.5" x14ac:dyDescent="0.35">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BG159" s="41"/>
      <c r="BH159" s="41"/>
      <c r="BI159" s="41"/>
      <c r="BJ159" s="41"/>
      <c r="BK159" s="41"/>
      <c r="BL159" s="41"/>
      <c r="BM159" s="41"/>
      <c r="BN159" s="41"/>
      <c r="BO159" s="41"/>
      <c r="BP159" s="41"/>
      <c r="BQ159" s="41"/>
      <c r="BR159" s="41"/>
      <c r="BS159" s="41"/>
      <c r="BT159" s="41"/>
      <c r="BU159" s="41"/>
      <c r="BV159" s="41"/>
      <c r="BW159" s="41"/>
      <c r="BX159" s="41"/>
      <c r="BY159" s="41"/>
      <c r="BZ159" s="41"/>
      <c r="CA159" s="41"/>
      <c r="CB159" s="41"/>
      <c r="CC159" s="41"/>
      <c r="CD159" s="41"/>
      <c r="CE159" s="41"/>
      <c r="CF159" s="41"/>
      <c r="CG159" s="41"/>
      <c r="CH159" s="41"/>
      <c r="CI159" s="41"/>
      <c r="CJ159" s="41"/>
      <c r="CK159" s="41"/>
      <c r="CL159" s="41"/>
      <c r="CM159" s="41"/>
      <c r="CN159" s="41"/>
      <c r="CO159" s="41"/>
      <c r="CP159" s="41"/>
      <c r="CQ159" s="41"/>
      <c r="CR159" s="41"/>
      <c r="CS159" s="41"/>
      <c r="CT159" s="41"/>
      <c r="CU159" s="41"/>
      <c r="CV159" s="41"/>
      <c r="CW159" s="41"/>
    </row>
    <row r="160" spans="1:101" ht="16.5" x14ac:dyDescent="0.35">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BG160" s="41"/>
      <c r="BH160" s="41"/>
      <c r="BI160" s="41"/>
      <c r="BJ160" s="41"/>
      <c r="BK160" s="41"/>
      <c r="BL160" s="41"/>
      <c r="BM160" s="41"/>
      <c r="BN160" s="41"/>
      <c r="BO160" s="41"/>
      <c r="BP160" s="41"/>
      <c r="BQ160" s="41"/>
      <c r="BR160" s="41"/>
      <c r="BS160" s="41"/>
      <c r="BT160" s="41"/>
      <c r="BU160" s="41"/>
      <c r="BV160" s="41"/>
      <c r="BW160" s="41"/>
      <c r="BX160" s="41"/>
      <c r="BY160" s="41"/>
      <c r="BZ160" s="41"/>
      <c r="CA160" s="41"/>
      <c r="CB160" s="41"/>
      <c r="CC160" s="41"/>
      <c r="CD160" s="41"/>
      <c r="CE160" s="41"/>
      <c r="CF160" s="41"/>
      <c r="CG160" s="41"/>
      <c r="CH160" s="41"/>
      <c r="CI160" s="41"/>
      <c r="CJ160" s="41"/>
      <c r="CK160" s="41"/>
      <c r="CL160" s="41"/>
      <c r="CM160" s="41"/>
      <c r="CN160" s="41"/>
      <c r="CO160" s="41"/>
      <c r="CP160" s="41"/>
      <c r="CQ160" s="41"/>
      <c r="CR160" s="41"/>
      <c r="CS160" s="41"/>
      <c r="CT160" s="41"/>
      <c r="CU160" s="41"/>
      <c r="CV160" s="41"/>
      <c r="CW160" s="41"/>
    </row>
    <row r="161" spans="1:101" ht="16.5" x14ac:dyDescent="0.35">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BG161" s="41"/>
      <c r="BH161" s="41"/>
      <c r="BI161" s="41"/>
      <c r="BJ161" s="41"/>
      <c r="BK161" s="41"/>
      <c r="BL161" s="41"/>
      <c r="BM161" s="41"/>
      <c r="BN161" s="41"/>
      <c r="BO161" s="41"/>
      <c r="BP161" s="41"/>
      <c r="BQ161" s="41"/>
      <c r="BR161" s="41"/>
      <c r="BS161" s="41"/>
      <c r="BT161" s="41"/>
      <c r="BU161" s="41"/>
      <c r="BV161" s="41"/>
      <c r="BW161" s="41"/>
      <c r="BX161" s="41"/>
      <c r="BY161" s="41"/>
      <c r="BZ161" s="41"/>
      <c r="CA161" s="41"/>
      <c r="CB161" s="41"/>
      <c r="CC161" s="41"/>
      <c r="CD161" s="41"/>
      <c r="CE161" s="41"/>
      <c r="CF161" s="41"/>
      <c r="CG161" s="41"/>
      <c r="CH161" s="41"/>
      <c r="CI161" s="41"/>
      <c r="CJ161" s="41"/>
      <c r="CK161" s="41"/>
      <c r="CL161" s="41"/>
      <c r="CM161" s="41"/>
      <c r="CN161" s="41"/>
      <c r="CO161" s="41"/>
      <c r="CP161" s="41"/>
      <c r="CQ161" s="41"/>
      <c r="CR161" s="41"/>
      <c r="CS161" s="41"/>
      <c r="CT161" s="41"/>
      <c r="CU161" s="41"/>
      <c r="CV161" s="41"/>
      <c r="CW161" s="41"/>
    </row>
    <row r="162" spans="1:101" ht="16.5" x14ac:dyDescent="0.35">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41"/>
      <c r="CW162" s="41"/>
    </row>
    <row r="163" spans="1:101" ht="16.5" x14ac:dyDescent="0.35">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41"/>
      <c r="CW163" s="41"/>
    </row>
    <row r="164" spans="1:101" ht="16.5" x14ac:dyDescent="0.35">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BG164" s="41"/>
      <c r="BH164" s="41"/>
      <c r="BI164" s="41"/>
      <c r="BJ164" s="41"/>
      <c r="BK164" s="41"/>
      <c r="BL164" s="41"/>
      <c r="BM164" s="41"/>
      <c r="BN164" s="41"/>
      <c r="BO164" s="41"/>
      <c r="BP164" s="41"/>
      <c r="BQ164" s="41"/>
      <c r="BR164" s="41"/>
      <c r="BS164" s="41"/>
      <c r="BT164" s="41"/>
      <c r="BU164" s="41"/>
      <c r="BV164" s="41"/>
      <c r="BW164" s="41"/>
      <c r="BX164" s="41"/>
      <c r="BY164" s="41"/>
      <c r="BZ164" s="41"/>
      <c r="CA164" s="41"/>
      <c r="CB164" s="41"/>
      <c r="CC164" s="41"/>
      <c r="CD164" s="41"/>
      <c r="CE164" s="41"/>
      <c r="CF164" s="41"/>
      <c r="CG164" s="41"/>
      <c r="CH164" s="41"/>
      <c r="CI164" s="41"/>
      <c r="CJ164" s="41"/>
      <c r="CK164" s="41"/>
      <c r="CL164" s="41"/>
      <c r="CM164" s="41"/>
      <c r="CN164" s="41"/>
      <c r="CO164" s="41"/>
      <c r="CP164" s="41"/>
      <c r="CQ164" s="41"/>
      <c r="CR164" s="41"/>
      <c r="CS164" s="41"/>
      <c r="CT164" s="41"/>
      <c r="CU164" s="41"/>
      <c r="CV164" s="41"/>
      <c r="CW164" s="41"/>
    </row>
    <row r="165" spans="1:101" ht="16.5" x14ac:dyDescent="0.35">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BG165" s="41"/>
      <c r="BH165" s="41"/>
      <c r="BI165" s="41"/>
      <c r="BJ165" s="41"/>
      <c r="BK165" s="41"/>
      <c r="BL165" s="41"/>
      <c r="BM165" s="41"/>
      <c r="BN165" s="41"/>
      <c r="BO165" s="41"/>
      <c r="BP165" s="41"/>
      <c r="BQ165" s="41"/>
      <c r="BR165" s="41"/>
      <c r="BS165" s="41"/>
      <c r="BT165" s="41"/>
      <c r="BU165" s="41"/>
      <c r="BV165" s="41"/>
      <c r="BW165" s="41"/>
      <c r="BX165" s="41"/>
      <c r="BY165" s="41"/>
      <c r="BZ165" s="41"/>
      <c r="CA165" s="41"/>
      <c r="CB165" s="41"/>
      <c r="CC165" s="41"/>
      <c r="CD165" s="41"/>
      <c r="CE165" s="41"/>
      <c r="CF165" s="41"/>
      <c r="CG165" s="41"/>
      <c r="CH165" s="41"/>
      <c r="CI165" s="41"/>
      <c r="CJ165" s="41"/>
      <c r="CK165" s="41"/>
      <c r="CL165" s="41"/>
      <c r="CM165" s="41"/>
      <c r="CN165" s="41"/>
      <c r="CO165" s="41"/>
      <c r="CP165" s="41"/>
      <c r="CQ165" s="41"/>
      <c r="CR165" s="41"/>
      <c r="CS165" s="41"/>
      <c r="CT165" s="41"/>
      <c r="CU165" s="41"/>
      <c r="CV165" s="41"/>
      <c r="CW165" s="41"/>
    </row>
    <row r="166" spans="1:101" ht="16.5" x14ac:dyDescent="0.35">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BG166" s="41"/>
      <c r="BH166" s="41"/>
      <c r="BI166" s="41"/>
      <c r="BJ166" s="41"/>
      <c r="BK166" s="41"/>
      <c r="BL166" s="41"/>
      <c r="BM166" s="41"/>
      <c r="BN166" s="41"/>
      <c r="BO166" s="41"/>
      <c r="BP166" s="41"/>
      <c r="BQ166" s="41"/>
      <c r="BR166" s="41"/>
      <c r="BS166" s="41"/>
      <c r="BT166" s="41"/>
      <c r="BU166" s="41"/>
      <c r="BV166" s="41"/>
      <c r="BW166" s="41"/>
      <c r="BX166" s="41"/>
      <c r="BY166" s="41"/>
      <c r="BZ166" s="41"/>
      <c r="CA166" s="41"/>
      <c r="CB166" s="41"/>
      <c r="CC166" s="41"/>
      <c r="CD166" s="41"/>
      <c r="CE166" s="41"/>
      <c r="CF166" s="41"/>
      <c r="CG166" s="41"/>
      <c r="CH166" s="41"/>
      <c r="CI166" s="41"/>
      <c r="CJ166" s="41"/>
      <c r="CK166" s="41"/>
      <c r="CL166" s="41"/>
      <c r="CM166" s="41"/>
      <c r="CN166" s="41"/>
      <c r="CO166" s="41"/>
      <c r="CP166" s="41"/>
      <c r="CQ166" s="41"/>
      <c r="CR166" s="41"/>
      <c r="CS166" s="41"/>
      <c r="CT166" s="41"/>
      <c r="CU166" s="41"/>
      <c r="CV166" s="41"/>
      <c r="CW166" s="41"/>
    </row>
    <row r="167" spans="1:101" ht="16.5" x14ac:dyDescent="0.35">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BG167" s="41"/>
      <c r="BH167" s="41"/>
      <c r="BI167" s="41"/>
      <c r="BJ167" s="41"/>
      <c r="BK167" s="41"/>
      <c r="BL167" s="41"/>
      <c r="BM167" s="41"/>
      <c r="BN167" s="41"/>
      <c r="BO167" s="41"/>
      <c r="BP167" s="41"/>
      <c r="BQ167" s="41"/>
      <c r="BR167" s="41"/>
      <c r="BS167" s="41"/>
      <c r="BT167" s="41"/>
      <c r="BU167" s="41"/>
      <c r="BV167" s="41"/>
      <c r="BW167" s="41"/>
      <c r="BX167" s="41"/>
      <c r="BY167" s="41"/>
      <c r="BZ167" s="41"/>
      <c r="CA167" s="41"/>
      <c r="CB167" s="41"/>
      <c r="CC167" s="41"/>
      <c r="CD167" s="41"/>
      <c r="CE167" s="41"/>
      <c r="CF167" s="41"/>
      <c r="CG167" s="41"/>
      <c r="CH167" s="41"/>
      <c r="CI167" s="41"/>
      <c r="CJ167" s="41"/>
      <c r="CK167" s="41"/>
      <c r="CL167" s="41"/>
      <c r="CM167" s="41"/>
      <c r="CN167" s="41"/>
      <c r="CO167" s="41"/>
      <c r="CP167" s="41"/>
      <c r="CQ167" s="41"/>
      <c r="CR167" s="41"/>
      <c r="CS167" s="41"/>
      <c r="CT167" s="41"/>
      <c r="CU167" s="41"/>
      <c r="CV167" s="41"/>
      <c r="CW167" s="41"/>
    </row>
    <row r="168" spans="1:101" ht="16.5" x14ac:dyDescent="0.35">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41"/>
      <c r="CW168" s="41"/>
    </row>
    <row r="169" spans="1:101" ht="16.5" x14ac:dyDescent="0.35">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41"/>
      <c r="CW169" s="41"/>
    </row>
    <row r="170" spans="1:101" ht="16.5" x14ac:dyDescent="0.35">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BG170" s="41"/>
      <c r="BH170" s="41"/>
      <c r="BI170" s="41"/>
      <c r="BJ170" s="41"/>
      <c r="BK170" s="41"/>
      <c r="BL170" s="41"/>
      <c r="BM170" s="41"/>
      <c r="BN170" s="41"/>
      <c r="BO170" s="41"/>
      <c r="BP170" s="41"/>
      <c r="BQ170" s="41"/>
      <c r="BR170" s="41"/>
      <c r="BS170" s="41"/>
      <c r="BT170" s="41"/>
      <c r="BU170" s="41"/>
      <c r="BV170" s="41"/>
      <c r="BW170" s="41"/>
      <c r="BX170" s="41"/>
      <c r="BY170" s="41"/>
      <c r="BZ170" s="41"/>
      <c r="CA170" s="41"/>
      <c r="CB170" s="41"/>
      <c r="CC170" s="41"/>
      <c r="CD170" s="41"/>
      <c r="CE170" s="41"/>
      <c r="CF170" s="41"/>
      <c r="CG170" s="41"/>
      <c r="CH170" s="41"/>
      <c r="CI170" s="41"/>
      <c r="CJ170" s="41"/>
      <c r="CK170" s="41"/>
      <c r="CL170" s="41"/>
      <c r="CM170" s="41"/>
      <c r="CN170" s="41"/>
      <c r="CO170" s="41"/>
      <c r="CP170" s="41"/>
      <c r="CQ170" s="41"/>
      <c r="CR170" s="41"/>
      <c r="CS170" s="41"/>
      <c r="CT170" s="41"/>
      <c r="CU170" s="41"/>
      <c r="CV170" s="41"/>
      <c r="CW170" s="41"/>
    </row>
    <row r="171" spans="1:101" ht="16.5" x14ac:dyDescent="0.35">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c r="AA171" s="41"/>
      <c r="AB171" s="41"/>
      <c r="AC171" s="41"/>
      <c r="AD171" s="41"/>
      <c r="AE171" s="41"/>
      <c r="AF171" s="41"/>
      <c r="AG171" s="41"/>
      <c r="AH171" s="41"/>
      <c r="AI171" s="41"/>
      <c r="AJ171" s="41"/>
      <c r="AK171" s="41"/>
      <c r="AL171" s="41"/>
      <c r="AM171" s="41"/>
      <c r="AN171" s="41"/>
      <c r="AO171" s="41"/>
      <c r="AP171" s="41"/>
      <c r="AQ171" s="41"/>
      <c r="AR171" s="41"/>
      <c r="AS171" s="41"/>
      <c r="AT171" s="41"/>
      <c r="AU171" s="41"/>
      <c r="AV171" s="41"/>
      <c r="AW171" s="41"/>
      <c r="AX171" s="41"/>
      <c r="AY171" s="41"/>
      <c r="AZ171" s="41"/>
      <c r="BA171" s="41"/>
      <c r="BB171" s="41"/>
      <c r="BC171" s="41"/>
      <c r="BD171" s="41"/>
      <c r="BE171" s="41"/>
      <c r="BF171" s="41"/>
      <c r="BG171" s="41"/>
      <c r="BH171" s="41"/>
      <c r="BI171" s="41"/>
      <c r="BJ171" s="41"/>
      <c r="BK171" s="41"/>
      <c r="BL171" s="41"/>
      <c r="BM171" s="41"/>
      <c r="BN171" s="41"/>
      <c r="BO171" s="41"/>
      <c r="BP171" s="41"/>
      <c r="BQ171" s="41"/>
      <c r="BR171" s="41"/>
      <c r="BS171" s="41"/>
      <c r="BT171" s="41"/>
      <c r="BU171" s="41"/>
      <c r="BV171" s="41"/>
      <c r="BW171" s="41"/>
      <c r="BX171" s="41"/>
      <c r="BY171" s="41"/>
      <c r="BZ171" s="41"/>
      <c r="CA171" s="41"/>
      <c r="CB171" s="41"/>
      <c r="CC171" s="41"/>
      <c r="CD171" s="41"/>
      <c r="CE171" s="41"/>
      <c r="CF171" s="41"/>
      <c r="CG171" s="41"/>
      <c r="CH171" s="41"/>
      <c r="CI171" s="41"/>
      <c r="CJ171" s="41"/>
      <c r="CK171" s="41"/>
      <c r="CL171" s="41"/>
      <c r="CM171" s="41"/>
      <c r="CN171" s="41"/>
      <c r="CO171" s="41"/>
      <c r="CP171" s="41"/>
      <c r="CQ171" s="41"/>
      <c r="CR171" s="41"/>
      <c r="CS171" s="41"/>
      <c r="CT171" s="41"/>
      <c r="CU171" s="41"/>
      <c r="CV171" s="41"/>
      <c r="CW171" s="41"/>
    </row>
    <row r="172" spans="1:101" ht="16.5" x14ac:dyDescent="0.35">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c r="AA172" s="41"/>
      <c r="AB172" s="41"/>
      <c r="AC172" s="41"/>
      <c r="AD172" s="41"/>
      <c r="AE172" s="41"/>
      <c r="AF172" s="41"/>
      <c r="AG172" s="41"/>
      <c r="AH172" s="41"/>
      <c r="AI172" s="41"/>
      <c r="AJ172" s="41"/>
      <c r="AK172" s="41"/>
      <c r="AL172" s="41"/>
      <c r="AM172" s="41"/>
      <c r="AN172" s="41"/>
      <c r="AO172" s="41"/>
      <c r="AP172" s="41"/>
      <c r="AQ172" s="41"/>
      <c r="AR172" s="41"/>
      <c r="AS172" s="41"/>
      <c r="AT172" s="41"/>
      <c r="AU172" s="41"/>
      <c r="AV172" s="41"/>
      <c r="AW172" s="41"/>
      <c r="AX172" s="41"/>
      <c r="AY172" s="41"/>
      <c r="AZ172" s="41"/>
      <c r="BA172" s="41"/>
      <c r="BB172" s="41"/>
      <c r="BC172" s="41"/>
      <c r="BD172" s="41"/>
      <c r="BE172" s="41"/>
      <c r="BF172" s="41"/>
      <c r="BG172" s="41"/>
      <c r="BH172" s="41"/>
      <c r="BI172" s="41"/>
      <c r="BJ172" s="41"/>
      <c r="BK172" s="41"/>
      <c r="BL172" s="41"/>
      <c r="BM172" s="41"/>
      <c r="BN172" s="41"/>
      <c r="BO172" s="41"/>
      <c r="BP172" s="41"/>
      <c r="BQ172" s="41"/>
      <c r="BR172" s="41"/>
      <c r="BS172" s="41"/>
      <c r="BT172" s="41"/>
      <c r="BU172" s="41"/>
      <c r="BV172" s="41"/>
      <c r="BW172" s="41"/>
      <c r="BX172" s="41"/>
      <c r="BY172" s="41"/>
      <c r="BZ172" s="41"/>
      <c r="CA172" s="41"/>
      <c r="CB172" s="41"/>
      <c r="CC172" s="41"/>
      <c r="CD172" s="41"/>
      <c r="CE172" s="41"/>
      <c r="CF172" s="41"/>
      <c r="CG172" s="41"/>
      <c r="CH172" s="41"/>
      <c r="CI172" s="41"/>
      <c r="CJ172" s="41"/>
      <c r="CK172" s="41"/>
      <c r="CL172" s="41"/>
      <c r="CM172" s="41"/>
      <c r="CN172" s="41"/>
      <c r="CO172" s="41"/>
      <c r="CP172" s="41"/>
      <c r="CQ172" s="41"/>
      <c r="CR172" s="41"/>
      <c r="CS172" s="41"/>
      <c r="CT172" s="41"/>
      <c r="CU172" s="41"/>
      <c r="CV172" s="41"/>
      <c r="CW172" s="41"/>
    </row>
    <row r="173" spans="1:101" ht="16.5" x14ac:dyDescent="0.35">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c r="AA173" s="41"/>
      <c r="AB173" s="41"/>
      <c r="AC173" s="41"/>
      <c r="AD173" s="41"/>
      <c r="AE173" s="41"/>
      <c r="AF173" s="41"/>
      <c r="AG173" s="41"/>
      <c r="AH173" s="41"/>
      <c r="AI173" s="41"/>
      <c r="AJ173" s="41"/>
      <c r="AK173" s="41"/>
      <c r="AL173" s="41"/>
      <c r="AM173" s="41"/>
      <c r="AN173" s="41"/>
      <c r="AO173" s="41"/>
      <c r="AP173" s="41"/>
      <c r="AQ173" s="41"/>
      <c r="AR173" s="41"/>
      <c r="AS173" s="41"/>
      <c r="AT173" s="41"/>
      <c r="AU173" s="41"/>
      <c r="AV173" s="41"/>
      <c r="AW173" s="41"/>
      <c r="AX173" s="41"/>
      <c r="AY173" s="41"/>
      <c r="AZ173" s="41"/>
      <c r="BA173" s="41"/>
      <c r="BB173" s="41"/>
      <c r="BC173" s="41"/>
      <c r="BD173" s="41"/>
      <c r="BE173" s="41"/>
      <c r="BF173" s="41"/>
      <c r="BG173" s="41"/>
      <c r="BH173" s="41"/>
      <c r="BI173" s="41"/>
      <c r="BJ173" s="41"/>
      <c r="BK173" s="41"/>
      <c r="BL173" s="41"/>
      <c r="BM173" s="41"/>
      <c r="BN173" s="41"/>
      <c r="BO173" s="41"/>
      <c r="BP173" s="41"/>
      <c r="BQ173" s="41"/>
      <c r="BR173" s="41"/>
      <c r="BS173" s="41"/>
      <c r="BT173" s="41"/>
      <c r="BU173" s="41"/>
      <c r="BV173" s="41"/>
      <c r="BW173" s="41"/>
      <c r="BX173" s="41"/>
      <c r="BY173" s="41"/>
      <c r="BZ173" s="41"/>
      <c r="CA173" s="41"/>
      <c r="CB173" s="41"/>
      <c r="CC173" s="41"/>
      <c r="CD173" s="41"/>
      <c r="CE173" s="41"/>
      <c r="CF173" s="41"/>
      <c r="CG173" s="41"/>
      <c r="CH173" s="41"/>
      <c r="CI173" s="41"/>
      <c r="CJ173" s="41"/>
      <c r="CK173" s="41"/>
      <c r="CL173" s="41"/>
      <c r="CM173" s="41"/>
      <c r="CN173" s="41"/>
      <c r="CO173" s="41"/>
      <c r="CP173" s="41"/>
      <c r="CQ173" s="41"/>
      <c r="CR173" s="41"/>
      <c r="CS173" s="41"/>
      <c r="CT173" s="41"/>
      <c r="CU173" s="41"/>
      <c r="CV173" s="41"/>
      <c r="CW173" s="41"/>
    </row>
    <row r="174" spans="1:101" ht="16.5" x14ac:dyDescent="0.35">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c r="AA174" s="41"/>
      <c r="AB174" s="41"/>
      <c r="AC174" s="41"/>
      <c r="AD174" s="41"/>
      <c r="AE174" s="41"/>
      <c r="AF174" s="41"/>
      <c r="AG174" s="41"/>
      <c r="AH174" s="41"/>
      <c r="AI174" s="41"/>
      <c r="AJ174" s="41"/>
      <c r="AK174" s="41"/>
      <c r="AL174" s="41"/>
      <c r="AM174" s="41"/>
      <c r="AN174" s="41"/>
      <c r="AO174" s="41"/>
      <c r="AP174" s="41"/>
      <c r="AQ174" s="41"/>
      <c r="AR174" s="41"/>
      <c r="AS174" s="41"/>
      <c r="AT174" s="41"/>
      <c r="AU174" s="41"/>
      <c r="AV174" s="41"/>
      <c r="AW174" s="41"/>
      <c r="AX174" s="41"/>
      <c r="AY174" s="41"/>
      <c r="AZ174" s="41"/>
      <c r="BA174" s="41"/>
      <c r="BB174" s="41"/>
      <c r="BC174" s="41"/>
      <c r="BD174" s="41"/>
      <c r="BE174" s="41"/>
      <c r="BF174" s="41"/>
      <c r="BG174" s="41"/>
      <c r="BH174" s="41"/>
      <c r="BI174" s="41"/>
      <c r="BJ174" s="41"/>
      <c r="BK174" s="41"/>
      <c r="BL174" s="41"/>
      <c r="BM174" s="41"/>
      <c r="BN174" s="41"/>
      <c r="BO174" s="41"/>
      <c r="BP174" s="41"/>
      <c r="BQ174" s="41"/>
      <c r="BR174" s="41"/>
      <c r="BS174" s="41"/>
      <c r="BT174" s="41"/>
      <c r="BU174" s="41"/>
      <c r="BV174" s="41"/>
      <c r="BW174" s="41"/>
      <c r="BX174" s="41"/>
      <c r="BY174" s="41"/>
      <c r="BZ174" s="41"/>
      <c r="CA174" s="41"/>
      <c r="CB174" s="41"/>
      <c r="CC174" s="41"/>
      <c r="CD174" s="41"/>
      <c r="CE174" s="41"/>
      <c r="CF174" s="41"/>
      <c r="CG174" s="41"/>
      <c r="CH174" s="41"/>
      <c r="CI174" s="41"/>
      <c r="CJ174" s="41"/>
      <c r="CK174" s="41"/>
      <c r="CL174" s="41"/>
      <c r="CM174" s="41"/>
      <c r="CN174" s="41"/>
      <c r="CO174" s="41"/>
      <c r="CP174" s="41"/>
      <c r="CQ174" s="41"/>
      <c r="CR174" s="41"/>
      <c r="CS174" s="41"/>
      <c r="CT174" s="41"/>
      <c r="CU174" s="41"/>
      <c r="CV174" s="41"/>
      <c r="CW174" s="41"/>
    </row>
    <row r="175" spans="1:101" ht="16.5" x14ac:dyDescent="0.35">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c r="AA175" s="41"/>
      <c r="AB175" s="41"/>
      <c r="AC175" s="41"/>
      <c r="AD175" s="41"/>
      <c r="AE175" s="41"/>
      <c r="AF175" s="41"/>
      <c r="AG175" s="41"/>
      <c r="AH175" s="41"/>
      <c r="AI175" s="41"/>
      <c r="AJ175" s="41"/>
      <c r="AK175" s="41"/>
      <c r="AL175" s="41"/>
      <c r="AM175" s="41"/>
      <c r="AN175" s="41"/>
      <c r="AO175" s="41"/>
      <c r="AP175" s="41"/>
      <c r="AQ175" s="41"/>
      <c r="AR175" s="41"/>
      <c r="AS175" s="41"/>
      <c r="AT175" s="41"/>
      <c r="AU175" s="41"/>
      <c r="AV175" s="41"/>
      <c r="AW175" s="41"/>
      <c r="AX175" s="41"/>
      <c r="AY175" s="41"/>
      <c r="AZ175" s="41"/>
      <c r="BA175" s="41"/>
      <c r="BB175" s="41"/>
      <c r="BC175" s="41"/>
      <c r="BD175" s="41"/>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41"/>
      <c r="CF175" s="41"/>
      <c r="CG175" s="41"/>
      <c r="CH175" s="41"/>
      <c r="CI175" s="41"/>
      <c r="CJ175" s="41"/>
      <c r="CK175" s="41"/>
      <c r="CL175" s="41"/>
      <c r="CM175" s="41"/>
      <c r="CN175" s="41"/>
      <c r="CO175" s="41"/>
      <c r="CP175" s="41"/>
      <c r="CQ175" s="41"/>
      <c r="CR175" s="41"/>
      <c r="CS175" s="41"/>
      <c r="CT175" s="41"/>
      <c r="CU175" s="41"/>
      <c r="CV175" s="41"/>
      <c r="CW175" s="41"/>
    </row>
    <row r="176" spans="1:101" ht="16.5" x14ac:dyDescent="0.35">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c r="AA176" s="41"/>
      <c r="AB176" s="41"/>
      <c r="AC176" s="41"/>
      <c r="AD176" s="41"/>
      <c r="AE176" s="41"/>
      <c r="AF176" s="41"/>
      <c r="AG176" s="41"/>
      <c r="AH176" s="41"/>
      <c r="AI176" s="41"/>
      <c r="AJ176" s="41"/>
      <c r="AK176" s="41"/>
      <c r="AL176" s="41"/>
      <c r="AM176" s="41"/>
      <c r="AN176" s="41"/>
      <c r="AO176" s="41"/>
      <c r="AP176" s="41"/>
      <c r="AQ176" s="41"/>
      <c r="AR176" s="41"/>
      <c r="AS176" s="41"/>
      <c r="AT176" s="41"/>
      <c r="AU176" s="41"/>
      <c r="AV176" s="41"/>
      <c r="AW176" s="41"/>
      <c r="AX176" s="41"/>
      <c r="AY176" s="41"/>
      <c r="AZ176" s="41"/>
      <c r="BA176" s="41"/>
      <c r="BB176" s="41"/>
      <c r="BC176" s="41"/>
      <c r="BD176" s="41"/>
      <c r="BE176" s="41"/>
      <c r="BF176" s="41"/>
      <c r="BG176" s="41"/>
      <c r="BH176" s="41"/>
      <c r="BI176" s="41"/>
      <c r="BJ176" s="41"/>
      <c r="BK176" s="41"/>
      <c r="BL176" s="41"/>
      <c r="BM176" s="41"/>
      <c r="BN176" s="41"/>
      <c r="BO176" s="41"/>
      <c r="BP176" s="41"/>
      <c r="BQ176" s="41"/>
      <c r="BR176" s="41"/>
      <c r="BS176" s="41"/>
      <c r="BT176" s="41"/>
      <c r="BU176" s="41"/>
      <c r="BV176" s="41"/>
      <c r="BW176" s="41"/>
      <c r="BX176" s="41"/>
      <c r="BY176" s="41"/>
      <c r="BZ176" s="41"/>
      <c r="CA176" s="41"/>
      <c r="CB176" s="41"/>
      <c r="CC176" s="41"/>
      <c r="CD176" s="41"/>
      <c r="CE176" s="41"/>
      <c r="CF176" s="41"/>
      <c r="CG176" s="41"/>
      <c r="CH176" s="41"/>
      <c r="CI176" s="41"/>
      <c r="CJ176" s="41"/>
      <c r="CK176" s="41"/>
      <c r="CL176" s="41"/>
      <c r="CM176" s="41"/>
      <c r="CN176" s="41"/>
      <c r="CO176" s="41"/>
      <c r="CP176" s="41"/>
      <c r="CQ176" s="41"/>
      <c r="CR176" s="41"/>
      <c r="CS176" s="41"/>
      <c r="CT176" s="41"/>
      <c r="CU176" s="41"/>
      <c r="CV176" s="41"/>
      <c r="CW176" s="41"/>
    </row>
    <row r="177" spans="1:101" ht="16.5" x14ac:dyDescent="0.35">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c r="AA177" s="41"/>
      <c r="AB177" s="41"/>
      <c r="AC177" s="41"/>
      <c r="AD177" s="41"/>
      <c r="AE177" s="41"/>
      <c r="AF177" s="41"/>
      <c r="AG177" s="41"/>
      <c r="AH177" s="41"/>
      <c r="AI177" s="41"/>
      <c r="AJ177" s="41"/>
      <c r="AK177" s="41"/>
      <c r="AL177" s="41"/>
      <c r="AM177" s="41"/>
      <c r="AN177" s="41"/>
      <c r="AO177" s="41"/>
      <c r="AP177" s="41"/>
      <c r="AQ177" s="41"/>
      <c r="AR177" s="41"/>
      <c r="AS177" s="41"/>
      <c r="AT177" s="41"/>
      <c r="AU177" s="41"/>
      <c r="AV177" s="41"/>
      <c r="AW177" s="41"/>
      <c r="AX177" s="41"/>
      <c r="AY177" s="41"/>
      <c r="AZ177" s="41"/>
      <c r="BA177" s="41"/>
      <c r="BB177" s="41"/>
      <c r="BC177" s="41"/>
      <c r="BD177" s="41"/>
      <c r="BE177" s="41"/>
      <c r="BF177" s="41"/>
      <c r="BG177" s="41"/>
      <c r="BH177" s="41"/>
      <c r="BI177" s="41"/>
      <c r="BJ177" s="41"/>
      <c r="BK177" s="41"/>
      <c r="BL177" s="41"/>
      <c r="BM177" s="41"/>
      <c r="BN177" s="41"/>
      <c r="BO177" s="41"/>
      <c r="BP177" s="41"/>
      <c r="BQ177" s="41"/>
      <c r="BR177" s="41"/>
      <c r="BS177" s="41"/>
      <c r="BT177" s="41"/>
      <c r="BU177" s="41"/>
      <c r="BV177" s="41"/>
      <c r="BW177" s="41"/>
      <c r="BX177" s="41"/>
      <c r="BY177" s="41"/>
      <c r="BZ177" s="41"/>
      <c r="CA177" s="41"/>
      <c r="CB177" s="41"/>
      <c r="CC177" s="41"/>
      <c r="CD177" s="41"/>
      <c r="CE177" s="41"/>
      <c r="CF177" s="41"/>
      <c r="CG177" s="41"/>
      <c r="CH177" s="41"/>
      <c r="CI177" s="41"/>
      <c r="CJ177" s="41"/>
      <c r="CK177" s="41"/>
      <c r="CL177" s="41"/>
      <c r="CM177" s="41"/>
      <c r="CN177" s="41"/>
      <c r="CO177" s="41"/>
      <c r="CP177" s="41"/>
      <c r="CQ177" s="41"/>
      <c r="CR177" s="41"/>
      <c r="CS177" s="41"/>
      <c r="CT177" s="41"/>
      <c r="CU177" s="41"/>
      <c r="CV177" s="41"/>
      <c r="CW177" s="41"/>
    </row>
    <row r="178" spans="1:101" ht="16.5" x14ac:dyDescent="0.35">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c r="AA178" s="41"/>
      <c r="AB178" s="41"/>
      <c r="AC178" s="41"/>
      <c r="AD178" s="41"/>
      <c r="AE178" s="41"/>
      <c r="AF178" s="41"/>
      <c r="AG178" s="41"/>
      <c r="AH178" s="41"/>
      <c r="AI178" s="41"/>
      <c r="AJ178" s="41"/>
      <c r="AK178" s="41"/>
      <c r="AL178" s="41"/>
      <c r="AM178" s="41"/>
      <c r="AN178" s="41"/>
      <c r="AO178" s="41"/>
      <c r="AP178" s="41"/>
      <c r="AQ178" s="41"/>
      <c r="AR178" s="41"/>
      <c r="AS178" s="41"/>
      <c r="AT178" s="41"/>
      <c r="AU178" s="41"/>
      <c r="AV178" s="41"/>
      <c r="AW178" s="41"/>
      <c r="AX178" s="41"/>
      <c r="AY178" s="41"/>
      <c r="AZ178" s="41"/>
      <c r="BA178" s="41"/>
      <c r="BB178" s="41"/>
      <c r="BC178" s="41"/>
      <c r="BD178" s="41"/>
      <c r="BE178" s="41"/>
      <c r="BF178" s="41"/>
      <c r="BG178" s="41"/>
      <c r="BH178" s="41"/>
      <c r="BI178" s="41"/>
      <c r="BJ178" s="41"/>
      <c r="BK178" s="41"/>
      <c r="BL178" s="41"/>
      <c r="BM178" s="41"/>
      <c r="BN178" s="41"/>
      <c r="BO178" s="41"/>
      <c r="BP178" s="41"/>
      <c r="BQ178" s="41"/>
      <c r="BR178" s="41"/>
      <c r="BS178" s="41"/>
      <c r="BT178" s="41"/>
      <c r="BU178" s="41"/>
      <c r="BV178" s="41"/>
      <c r="BW178" s="41"/>
      <c r="BX178" s="41"/>
      <c r="BY178" s="41"/>
      <c r="BZ178" s="41"/>
      <c r="CA178" s="41"/>
      <c r="CB178" s="41"/>
      <c r="CC178" s="41"/>
      <c r="CD178" s="41"/>
      <c r="CE178" s="41"/>
      <c r="CF178" s="41"/>
      <c r="CG178" s="41"/>
      <c r="CH178" s="41"/>
      <c r="CI178" s="41"/>
      <c r="CJ178" s="41"/>
      <c r="CK178" s="41"/>
      <c r="CL178" s="41"/>
      <c r="CM178" s="41"/>
      <c r="CN178" s="41"/>
      <c r="CO178" s="41"/>
      <c r="CP178" s="41"/>
      <c r="CQ178" s="41"/>
      <c r="CR178" s="41"/>
      <c r="CS178" s="41"/>
      <c r="CT178" s="41"/>
      <c r="CU178" s="41"/>
      <c r="CV178" s="41"/>
      <c r="CW178" s="41"/>
    </row>
    <row r="179" spans="1:101" ht="16.5" x14ac:dyDescent="0.35">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c r="AA179" s="41"/>
      <c r="AB179" s="41"/>
      <c r="AC179" s="41"/>
      <c r="AD179" s="41"/>
      <c r="AE179" s="41"/>
      <c r="AF179" s="41"/>
      <c r="AG179" s="41"/>
      <c r="AH179" s="41"/>
      <c r="AI179" s="41"/>
      <c r="AJ179" s="41"/>
      <c r="AK179" s="41"/>
      <c r="AL179" s="41"/>
      <c r="AM179" s="41"/>
      <c r="AN179" s="41"/>
      <c r="AO179" s="41"/>
      <c r="AP179" s="41"/>
      <c r="AQ179" s="41"/>
      <c r="AR179" s="41"/>
      <c r="AS179" s="41"/>
      <c r="AT179" s="41"/>
      <c r="AU179" s="41"/>
      <c r="AV179" s="41"/>
      <c r="AW179" s="41"/>
      <c r="AX179" s="41"/>
      <c r="AY179" s="41"/>
      <c r="AZ179" s="41"/>
      <c r="BA179" s="41"/>
      <c r="BB179" s="41"/>
      <c r="BC179" s="41"/>
      <c r="BD179" s="41"/>
      <c r="BE179" s="41"/>
      <c r="BF179" s="41"/>
      <c r="BG179" s="41"/>
      <c r="BH179" s="41"/>
      <c r="BI179" s="41"/>
      <c r="BJ179" s="41"/>
      <c r="BK179" s="41"/>
      <c r="BL179" s="41"/>
      <c r="BM179" s="41"/>
      <c r="BN179" s="41"/>
      <c r="BO179" s="41"/>
      <c r="BP179" s="41"/>
      <c r="BQ179" s="41"/>
      <c r="BR179" s="41"/>
      <c r="BS179" s="41"/>
      <c r="BT179" s="41"/>
      <c r="BU179" s="41"/>
      <c r="BV179" s="41"/>
      <c r="BW179" s="41"/>
      <c r="BX179" s="41"/>
      <c r="BY179" s="41"/>
      <c r="BZ179" s="41"/>
      <c r="CA179" s="41"/>
      <c r="CB179" s="41"/>
      <c r="CC179" s="41"/>
      <c r="CD179" s="41"/>
      <c r="CE179" s="41"/>
      <c r="CF179" s="41"/>
      <c r="CG179" s="41"/>
      <c r="CH179" s="41"/>
      <c r="CI179" s="41"/>
      <c r="CJ179" s="41"/>
      <c r="CK179" s="41"/>
      <c r="CL179" s="41"/>
      <c r="CM179" s="41"/>
      <c r="CN179" s="41"/>
      <c r="CO179" s="41"/>
      <c r="CP179" s="41"/>
      <c r="CQ179" s="41"/>
      <c r="CR179" s="41"/>
      <c r="CS179" s="41"/>
      <c r="CT179" s="41"/>
      <c r="CU179" s="41"/>
      <c r="CV179" s="41"/>
      <c r="CW179" s="41"/>
    </row>
    <row r="180" spans="1:101" ht="16.5" x14ac:dyDescent="0.35">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c r="AA180" s="41"/>
      <c r="AB180" s="41"/>
      <c r="AC180" s="41"/>
      <c r="AD180" s="41"/>
      <c r="AE180" s="41"/>
      <c r="AF180" s="41"/>
      <c r="AG180" s="41"/>
      <c r="AH180" s="41"/>
      <c r="AI180" s="41"/>
      <c r="AJ180" s="41"/>
      <c r="AK180" s="41"/>
      <c r="AL180" s="41"/>
      <c r="AM180" s="41"/>
      <c r="AN180" s="41"/>
      <c r="AO180" s="41"/>
      <c r="AP180" s="41"/>
      <c r="AQ180" s="41"/>
      <c r="AR180" s="41"/>
      <c r="AS180" s="41"/>
      <c r="AT180" s="41"/>
      <c r="AU180" s="41"/>
      <c r="AV180" s="41"/>
      <c r="AW180" s="41"/>
      <c r="AX180" s="41"/>
      <c r="AY180" s="41"/>
      <c r="AZ180" s="41"/>
      <c r="BA180" s="41"/>
      <c r="BB180" s="41"/>
      <c r="BC180" s="41"/>
      <c r="BD180" s="41"/>
      <c r="BE180" s="41"/>
      <c r="BF180" s="41"/>
      <c r="BG180" s="41"/>
      <c r="BH180" s="41"/>
      <c r="BI180" s="41"/>
      <c r="BJ180" s="41"/>
      <c r="BK180" s="41"/>
      <c r="BL180" s="41"/>
      <c r="BM180" s="41"/>
      <c r="BN180" s="41"/>
      <c r="BO180" s="41"/>
      <c r="BP180" s="41"/>
      <c r="BQ180" s="41"/>
      <c r="BR180" s="41"/>
      <c r="BS180" s="41"/>
      <c r="BT180" s="41"/>
      <c r="BU180" s="41"/>
      <c r="BV180" s="41"/>
      <c r="BW180" s="41"/>
      <c r="BX180" s="41"/>
      <c r="BY180" s="41"/>
      <c r="BZ180" s="41"/>
      <c r="CA180" s="41"/>
      <c r="CB180" s="41"/>
      <c r="CC180" s="41"/>
      <c r="CD180" s="41"/>
      <c r="CE180" s="41"/>
      <c r="CF180" s="41"/>
      <c r="CG180" s="41"/>
      <c r="CH180" s="41"/>
      <c r="CI180" s="41"/>
      <c r="CJ180" s="41"/>
      <c r="CK180" s="41"/>
      <c r="CL180" s="41"/>
      <c r="CM180" s="41"/>
      <c r="CN180" s="41"/>
      <c r="CO180" s="41"/>
      <c r="CP180" s="41"/>
      <c r="CQ180" s="41"/>
      <c r="CR180" s="41"/>
      <c r="CS180" s="41"/>
      <c r="CT180" s="41"/>
      <c r="CU180" s="41"/>
      <c r="CV180" s="41"/>
      <c r="CW180" s="41"/>
    </row>
    <row r="181" spans="1:101" ht="16.5" x14ac:dyDescent="0.35">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c r="AA181" s="41"/>
      <c r="AB181" s="41"/>
      <c r="AC181" s="41"/>
      <c r="AD181" s="41"/>
      <c r="AE181" s="41"/>
      <c r="AF181" s="41"/>
      <c r="AG181" s="41"/>
      <c r="AH181" s="41"/>
      <c r="AI181" s="41"/>
      <c r="AJ181" s="41"/>
      <c r="AK181" s="41"/>
      <c r="AL181" s="41"/>
      <c r="AM181" s="41"/>
      <c r="AN181" s="41"/>
      <c r="AO181" s="41"/>
      <c r="AP181" s="41"/>
      <c r="AQ181" s="41"/>
      <c r="AR181" s="41"/>
      <c r="AS181" s="41"/>
      <c r="AT181" s="41"/>
      <c r="AU181" s="41"/>
      <c r="AV181" s="41"/>
      <c r="AW181" s="41"/>
      <c r="AX181" s="41"/>
      <c r="AY181" s="41"/>
      <c r="AZ181" s="41"/>
      <c r="BA181" s="41"/>
      <c r="BB181" s="41"/>
      <c r="BC181" s="41"/>
      <c r="BD181" s="41"/>
      <c r="BE181" s="41"/>
      <c r="BF181" s="41"/>
      <c r="BG181" s="41"/>
      <c r="BH181" s="41"/>
      <c r="BI181" s="41"/>
      <c r="BJ181" s="41"/>
      <c r="BK181" s="41"/>
      <c r="BL181" s="41"/>
      <c r="BM181" s="41"/>
      <c r="BN181" s="41"/>
      <c r="BO181" s="41"/>
      <c r="BP181" s="41"/>
      <c r="BQ181" s="41"/>
      <c r="BR181" s="41"/>
      <c r="BS181" s="41"/>
      <c r="BT181" s="41"/>
      <c r="BU181" s="41"/>
      <c r="BV181" s="41"/>
      <c r="BW181" s="41"/>
      <c r="BX181" s="41"/>
      <c r="BY181" s="41"/>
      <c r="BZ181" s="41"/>
      <c r="CA181" s="41"/>
      <c r="CB181" s="41"/>
      <c r="CC181" s="41"/>
      <c r="CD181" s="41"/>
      <c r="CE181" s="41"/>
      <c r="CF181" s="41"/>
      <c r="CG181" s="41"/>
      <c r="CH181" s="41"/>
      <c r="CI181" s="41"/>
      <c r="CJ181" s="41"/>
      <c r="CK181" s="41"/>
      <c r="CL181" s="41"/>
      <c r="CM181" s="41"/>
      <c r="CN181" s="41"/>
      <c r="CO181" s="41"/>
      <c r="CP181" s="41"/>
      <c r="CQ181" s="41"/>
      <c r="CR181" s="41"/>
      <c r="CS181" s="41"/>
      <c r="CT181" s="41"/>
      <c r="CU181" s="41"/>
      <c r="CV181" s="41"/>
      <c r="CW181" s="41"/>
    </row>
    <row r="182" spans="1:101" ht="16.5" x14ac:dyDescent="0.35">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c r="AA182" s="41"/>
      <c r="AB182" s="41"/>
      <c r="AC182" s="41"/>
      <c r="AD182" s="41"/>
      <c r="AE182" s="41"/>
      <c r="AF182" s="41"/>
      <c r="AG182" s="41"/>
      <c r="AH182" s="41"/>
      <c r="AI182" s="41"/>
      <c r="AJ182" s="41"/>
      <c r="AK182" s="41"/>
      <c r="AL182" s="41"/>
      <c r="AM182" s="41"/>
      <c r="AN182" s="41"/>
      <c r="AO182" s="41"/>
      <c r="AP182" s="41"/>
      <c r="AQ182" s="41"/>
      <c r="AR182" s="41"/>
      <c r="AS182" s="41"/>
      <c r="AT182" s="41"/>
      <c r="AU182" s="41"/>
      <c r="AV182" s="41"/>
      <c r="AW182" s="41"/>
      <c r="AX182" s="41"/>
      <c r="AY182" s="41"/>
      <c r="AZ182" s="41"/>
      <c r="BA182" s="41"/>
      <c r="BB182" s="41"/>
      <c r="BC182" s="41"/>
      <c r="BD182" s="41"/>
      <c r="BE182" s="41"/>
      <c r="BF182" s="41"/>
      <c r="BG182" s="41"/>
      <c r="BH182" s="41"/>
      <c r="BI182" s="41"/>
      <c r="BJ182" s="41"/>
      <c r="BK182" s="41"/>
      <c r="BL182" s="41"/>
      <c r="BM182" s="41"/>
      <c r="BN182" s="41"/>
      <c r="BO182" s="41"/>
      <c r="BP182" s="41"/>
      <c r="BQ182" s="41"/>
      <c r="BR182" s="41"/>
      <c r="BS182" s="41"/>
      <c r="BT182" s="41"/>
      <c r="BU182" s="41"/>
      <c r="BV182" s="41"/>
      <c r="BW182" s="41"/>
      <c r="BX182" s="41"/>
      <c r="BY182" s="41"/>
      <c r="BZ182" s="41"/>
      <c r="CA182" s="41"/>
      <c r="CB182" s="41"/>
      <c r="CC182" s="41"/>
      <c r="CD182" s="41"/>
      <c r="CE182" s="41"/>
      <c r="CF182" s="41"/>
      <c r="CG182" s="41"/>
      <c r="CH182" s="41"/>
      <c r="CI182" s="41"/>
      <c r="CJ182" s="41"/>
      <c r="CK182" s="41"/>
      <c r="CL182" s="41"/>
      <c r="CM182" s="41"/>
      <c r="CN182" s="41"/>
      <c r="CO182" s="41"/>
      <c r="CP182" s="41"/>
      <c r="CQ182" s="41"/>
      <c r="CR182" s="41"/>
      <c r="CS182" s="41"/>
      <c r="CT182" s="41"/>
      <c r="CU182" s="41"/>
      <c r="CV182" s="41"/>
      <c r="CW182" s="41"/>
    </row>
    <row r="183" spans="1:101" ht="16.5" x14ac:dyDescent="0.35">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c r="AA183" s="41"/>
      <c r="AB183" s="41"/>
      <c r="AC183" s="41"/>
      <c r="AD183" s="41"/>
      <c r="AE183" s="41"/>
      <c r="AF183" s="41"/>
      <c r="AG183" s="41"/>
      <c r="AH183" s="41"/>
      <c r="AI183" s="41"/>
      <c r="AJ183" s="41"/>
      <c r="AK183" s="41"/>
      <c r="AL183" s="41"/>
      <c r="AM183" s="41"/>
      <c r="AN183" s="41"/>
      <c r="AO183" s="41"/>
      <c r="AP183" s="41"/>
      <c r="AQ183" s="41"/>
      <c r="AR183" s="41"/>
      <c r="AS183" s="41"/>
      <c r="AT183" s="41"/>
      <c r="AU183" s="41"/>
      <c r="AV183" s="41"/>
      <c r="AW183" s="41"/>
      <c r="AX183" s="41"/>
      <c r="AY183" s="41"/>
      <c r="AZ183" s="41"/>
      <c r="BA183" s="41"/>
      <c r="BB183" s="41"/>
      <c r="BC183" s="41"/>
      <c r="BD183" s="41"/>
      <c r="BE183" s="41"/>
      <c r="BF183" s="41"/>
      <c r="BG183" s="41"/>
      <c r="BH183" s="41"/>
      <c r="BI183" s="41"/>
      <c r="BJ183" s="41"/>
      <c r="BK183" s="41"/>
      <c r="BL183" s="41"/>
      <c r="BM183" s="41"/>
      <c r="BN183" s="41"/>
      <c r="BO183" s="41"/>
      <c r="BP183" s="41"/>
      <c r="BQ183" s="41"/>
      <c r="BR183" s="41"/>
      <c r="BS183" s="41"/>
      <c r="BT183" s="41"/>
      <c r="BU183" s="41"/>
      <c r="BV183" s="41"/>
      <c r="BW183" s="41"/>
      <c r="BX183" s="41"/>
      <c r="BY183" s="41"/>
      <c r="BZ183" s="41"/>
      <c r="CA183" s="41"/>
      <c r="CB183" s="41"/>
      <c r="CC183" s="41"/>
      <c r="CD183" s="41"/>
      <c r="CE183" s="41"/>
      <c r="CF183" s="41"/>
      <c r="CG183" s="41"/>
      <c r="CH183" s="41"/>
      <c r="CI183" s="41"/>
      <c r="CJ183" s="41"/>
      <c r="CK183" s="41"/>
      <c r="CL183" s="41"/>
      <c r="CM183" s="41"/>
      <c r="CN183" s="41"/>
      <c r="CO183" s="41"/>
      <c r="CP183" s="41"/>
      <c r="CQ183" s="41"/>
      <c r="CR183" s="41"/>
      <c r="CS183" s="41"/>
      <c r="CT183" s="41"/>
      <c r="CU183" s="41"/>
      <c r="CV183" s="41"/>
      <c r="CW183" s="41"/>
    </row>
    <row r="184" spans="1:101" ht="16.5" x14ac:dyDescent="0.35">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c r="AA184" s="41"/>
      <c r="AB184" s="41"/>
      <c r="AC184" s="41"/>
      <c r="AD184" s="41"/>
      <c r="AE184" s="41"/>
      <c r="AF184" s="41"/>
      <c r="AG184" s="41"/>
      <c r="AH184" s="41"/>
      <c r="AI184" s="41"/>
      <c r="AJ184" s="41"/>
      <c r="AK184" s="41"/>
      <c r="AL184" s="41"/>
      <c r="AM184" s="41"/>
      <c r="AN184" s="41"/>
      <c r="AO184" s="41"/>
      <c r="AP184" s="41"/>
      <c r="AQ184" s="41"/>
      <c r="AR184" s="41"/>
      <c r="AS184" s="41"/>
      <c r="AT184" s="41"/>
      <c r="AU184" s="41"/>
      <c r="AV184" s="41"/>
      <c r="AW184" s="41"/>
      <c r="AX184" s="41"/>
      <c r="AY184" s="41"/>
      <c r="AZ184" s="41"/>
      <c r="BA184" s="41"/>
      <c r="BB184" s="41"/>
      <c r="BC184" s="41"/>
      <c r="BD184" s="41"/>
      <c r="BE184" s="41"/>
      <c r="BF184" s="41"/>
      <c r="BG184" s="41"/>
      <c r="BH184" s="41"/>
      <c r="BI184" s="41"/>
      <c r="BJ184" s="41"/>
      <c r="BK184" s="41"/>
      <c r="BL184" s="41"/>
      <c r="BM184" s="41"/>
      <c r="BN184" s="41"/>
      <c r="BO184" s="41"/>
      <c r="BP184" s="41"/>
      <c r="BQ184" s="41"/>
      <c r="BR184" s="41"/>
      <c r="BS184" s="41"/>
      <c r="BT184" s="41"/>
      <c r="BU184" s="41"/>
      <c r="BV184" s="41"/>
      <c r="BW184" s="41"/>
      <c r="BX184" s="41"/>
      <c r="BY184" s="41"/>
      <c r="BZ184" s="41"/>
      <c r="CA184" s="41"/>
      <c r="CB184" s="41"/>
      <c r="CC184" s="41"/>
      <c r="CD184" s="41"/>
      <c r="CE184" s="41"/>
      <c r="CF184" s="41"/>
      <c r="CG184" s="41"/>
      <c r="CH184" s="41"/>
      <c r="CI184" s="41"/>
      <c r="CJ184" s="41"/>
      <c r="CK184" s="41"/>
      <c r="CL184" s="41"/>
      <c r="CM184" s="41"/>
      <c r="CN184" s="41"/>
      <c r="CO184" s="41"/>
      <c r="CP184" s="41"/>
      <c r="CQ184" s="41"/>
      <c r="CR184" s="41"/>
      <c r="CS184" s="41"/>
      <c r="CT184" s="41"/>
      <c r="CU184" s="41"/>
      <c r="CV184" s="41"/>
      <c r="CW184" s="41"/>
    </row>
    <row r="185" spans="1:101" ht="16.5" x14ac:dyDescent="0.35">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c r="AA185" s="41"/>
      <c r="AB185" s="41"/>
      <c r="AC185" s="41"/>
      <c r="AD185" s="41"/>
      <c r="AE185" s="41"/>
      <c r="AF185" s="41"/>
      <c r="AG185" s="41"/>
      <c r="AH185" s="41"/>
      <c r="AI185" s="41"/>
      <c r="AJ185" s="41"/>
      <c r="AK185" s="41"/>
      <c r="AL185" s="41"/>
      <c r="AM185" s="41"/>
      <c r="AN185" s="41"/>
      <c r="AO185" s="41"/>
      <c r="AP185" s="41"/>
      <c r="AQ185" s="41"/>
      <c r="AR185" s="41"/>
      <c r="AS185" s="41"/>
      <c r="AT185" s="41"/>
      <c r="AU185" s="41"/>
      <c r="AV185" s="41"/>
      <c r="AW185" s="41"/>
      <c r="AX185" s="41"/>
      <c r="AY185" s="41"/>
      <c r="AZ185" s="41"/>
      <c r="BA185" s="41"/>
      <c r="BB185" s="41"/>
      <c r="BC185" s="41"/>
      <c r="BD185" s="41"/>
      <c r="BE185" s="41"/>
      <c r="BF185" s="41"/>
      <c r="BG185" s="41"/>
      <c r="BH185" s="41"/>
      <c r="BI185" s="41"/>
      <c r="BJ185" s="41"/>
      <c r="BK185" s="41"/>
      <c r="BL185" s="41"/>
      <c r="BM185" s="41"/>
      <c r="BN185" s="41"/>
      <c r="BO185" s="41"/>
      <c r="BP185" s="41"/>
      <c r="BQ185" s="41"/>
      <c r="BR185" s="41"/>
      <c r="BS185" s="41"/>
      <c r="BT185" s="41"/>
      <c r="BU185" s="41"/>
      <c r="BV185" s="41"/>
      <c r="BW185" s="41"/>
      <c r="BX185" s="41"/>
      <c r="BY185" s="41"/>
      <c r="BZ185" s="41"/>
      <c r="CA185" s="41"/>
      <c r="CB185" s="41"/>
      <c r="CC185" s="41"/>
      <c r="CD185" s="41"/>
      <c r="CE185" s="41"/>
      <c r="CF185" s="41"/>
      <c r="CG185" s="41"/>
      <c r="CH185" s="41"/>
      <c r="CI185" s="41"/>
      <c r="CJ185" s="41"/>
      <c r="CK185" s="41"/>
      <c r="CL185" s="41"/>
      <c r="CM185" s="41"/>
      <c r="CN185" s="41"/>
      <c r="CO185" s="41"/>
      <c r="CP185" s="41"/>
      <c r="CQ185" s="41"/>
      <c r="CR185" s="41"/>
      <c r="CS185" s="41"/>
      <c r="CT185" s="41"/>
      <c r="CU185" s="41"/>
      <c r="CV185" s="41"/>
      <c r="CW185" s="41"/>
    </row>
    <row r="186" spans="1:101" ht="16.5" x14ac:dyDescent="0.35">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c r="AA186" s="41"/>
      <c r="AB186" s="41"/>
      <c r="AC186" s="41"/>
      <c r="AD186" s="41"/>
      <c r="AE186" s="41"/>
      <c r="AF186" s="41"/>
      <c r="AG186" s="41"/>
      <c r="AH186" s="41"/>
      <c r="AI186" s="41"/>
      <c r="AJ186" s="41"/>
      <c r="AK186" s="41"/>
      <c r="AL186" s="41"/>
      <c r="AM186" s="41"/>
      <c r="AN186" s="41"/>
      <c r="AO186" s="41"/>
      <c r="AP186" s="41"/>
      <c r="AQ186" s="41"/>
      <c r="AR186" s="41"/>
      <c r="AS186" s="41"/>
      <c r="AT186" s="41"/>
      <c r="AU186" s="41"/>
      <c r="AV186" s="41"/>
      <c r="AW186" s="41"/>
      <c r="AX186" s="41"/>
      <c r="AY186" s="41"/>
      <c r="AZ186" s="41"/>
      <c r="BA186" s="41"/>
      <c r="BB186" s="41"/>
      <c r="BC186" s="41"/>
      <c r="BD186" s="41"/>
      <c r="BE186" s="41"/>
      <c r="BF186" s="41"/>
      <c r="BG186" s="41"/>
      <c r="BH186" s="41"/>
      <c r="BI186" s="41"/>
      <c r="BJ186" s="41"/>
      <c r="BK186" s="41"/>
      <c r="BL186" s="41"/>
      <c r="BM186" s="41"/>
      <c r="BN186" s="41"/>
      <c r="BO186" s="41"/>
      <c r="BP186" s="41"/>
      <c r="BQ186" s="41"/>
      <c r="BR186" s="41"/>
      <c r="BS186" s="41"/>
      <c r="BT186" s="41"/>
      <c r="BU186" s="41"/>
      <c r="BV186" s="41"/>
      <c r="BW186" s="41"/>
      <c r="BX186" s="41"/>
      <c r="BY186" s="41"/>
      <c r="BZ186" s="41"/>
      <c r="CA186" s="41"/>
      <c r="CB186" s="41"/>
      <c r="CC186" s="41"/>
      <c r="CD186" s="41"/>
      <c r="CE186" s="41"/>
      <c r="CF186" s="41"/>
      <c r="CG186" s="41"/>
      <c r="CH186" s="41"/>
      <c r="CI186" s="41"/>
      <c r="CJ186" s="41"/>
      <c r="CK186" s="41"/>
      <c r="CL186" s="41"/>
      <c r="CM186" s="41"/>
      <c r="CN186" s="41"/>
      <c r="CO186" s="41"/>
      <c r="CP186" s="41"/>
      <c r="CQ186" s="41"/>
      <c r="CR186" s="41"/>
      <c r="CS186" s="41"/>
      <c r="CT186" s="41"/>
      <c r="CU186" s="41"/>
      <c r="CV186" s="41"/>
      <c r="CW186" s="41"/>
    </row>
    <row r="187" spans="1:101" ht="16.5" x14ac:dyDescent="0.35">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c r="AA187" s="41"/>
      <c r="AB187" s="41"/>
      <c r="AC187" s="41"/>
      <c r="AD187" s="41"/>
      <c r="AE187" s="41"/>
      <c r="AF187" s="41"/>
      <c r="AG187" s="41"/>
      <c r="AH187" s="41"/>
      <c r="AI187" s="41"/>
      <c r="AJ187" s="41"/>
      <c r="AK187" s="41"/>
      <c r="AL187" s="41"/>
      <c r="AM187" s="41"/>
      <c r="AN187" s="41"/>
      <c r="AO187" s="41"/>
      <c r="AP187" s="41"/>
      <c r="AQ187" s="41"/>
      <c r="AR187" s="41"/>
      <c r="AS187" s="41"/>
      <c r="AT187" s="41"/>
      <c r="AU187" s="41"/>
      <c r="AV187" s="41"/>
      <c r="AW187" s="41"/>
      <c r="AX187" s="41"/>
      <c r="AY187" s="41"/>
      <c r="AZ187" s="41"/>
      <c r="BA187" s="41"/>
      <c r="BB187" s="41"/>
      <c r="BC187" s="41"/>
      <c r="BD187" s="41"/>
      <c r="BE187" s="41"/>
      <c r="BF187" s="41"/>
      <c r="BG187" s="41"/>
      <c r="BH187" s="41"/>
      <c r="BI187" s="41"/>
      <c r="BJ187" s="41"/>
      <c r="BK187" s="41"/>
      <c r="BL187" s="41"/>
      <c r="BM187" s="41"/>
      <c r="BN187" s="41"/>
      <c r="BO187" s="41"/>
      <c r="BP187" s="41"/>
      <c r="BQ187" s="41"/>
      <c r="BR187" s="41"/>
      <c r="BS187" s="41"/>
      <c r="BT187" s="41"/>
      <c r="BU187" s="41"/>
      <c r="BV187" s="41"/>
      <c r="BW187" s="41"/>
      <c r="BX187" s="41"/>
      <c r="BY187" s="41"/>
      <c r="BZ187" s="41"/>
      <c r="CA187" s="41"/>
      <c r="CB187" s="41"/>
      <c r="CC187" s="41"/>
      <c r="CD187" s="41"/>
      <c r="CE187" s="41"/>
      <c r="CF187" s="41"/>
      <c r="CG187" s="41"/>
      <c r="CH187" s="41"/>
      <c r="CI187" s="41"/>
      <c r="CJ187" s="41"/>
      <c r="CK187" s="41"/>
      <c r="CL187" s="41"/>
      <c r="CM187" s="41"/>
      <c r="CN187" s="41"/>
      <c r="CO187" s="41"/>
      <c r="CP187" s="41"/>
      <c r="CQ187" s="41"/>
      <c r="CR187" s="41"/>
      <c r="CS187" s="41"/>
      <c r="CT187" s="41"/>
      <c r="CU187" s="41"/>
      <c r="CV187" s="41"/>
      <c r="CW187" s="41"/>
    </row>
    <row r="188" spans="1:101" ht="16.5" x14ac:dyDescent="0.35">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c r="AA188" s="41"/>
      <c r="AB188" s="41"/>
      <c r="AC188" s="41"/>
      <c r="AD188" s="41"/>
      <c r="AE188" s="41"/>
      <c r="AF188" s="41"/>
      <c r="AG188" s="41"/>
      <c r="AH188" s="41"/>
      <c r="AI188" s="41"/>
      <c r="AJ188" s="41"/>
      <c r="AK188" s="41"/>
      <c r="AL188" s="41"/>
      <c r="AM188" s="41"/>
      <c r="AN188" s="41"/>
      <c r="AO188" s="41"/>
      <c r="AP188" s="41"/>
      <c r="AQ188" s="41"/>
      <c r="AR188" s="41"/>
      <c r="AS188" s="41"/>
      <c r="AT188" s="41"/>
      <c r="AU188" s="41"/>
      <c r="AV188" s="41"/>
      <c r="AW188" s="41"/>
      <c r="AX188" s="41"/>
      <c r="AY188" s="41"/>
      <c r="AZ188" s="41"/>
      <c r="BA188" s="41"/>
      <c r="BB188" s="41"/>
      <c r="BC188" s="41"/>
      <c r="BD188" s="41"/>
      <c r="BE188" s="41"/>
      <c r="BF188" s="41"/>
      <c r="BG188" s="41"/>
      <c r="BH188" s="41"/>
      <c r="BI188" s="41"/>
      <c r="BJ188" s="41"/>
      <c r="BK188" s="41"/>
      <c r="BL188" s="41"/>
      <c r="BM188" s="41"/>
      <c r="BN188" s="41"/>
      <c r="BO188" s="41"/>
      <c r="BP188" s="41"/>
      <c r="BQ188" s="41"/>
      <c r="BR188" s="41"/>
      <c r="BS188" s="41"/>
      <c r="BT188" s="41"/>
      <c r="BU188" s="41"/>
      <c r="BV188" s="41"/>
      <c r="BW188" s="41"/>
      <c r="BX188" s="41"/>
      <c r="BY188" s="41"/>
      <c r="BZ188" s="41"/>
      <c r="CA188" s="41"/>
      <c r="CB188" s="41"/>
      <c r="CC188" s="41"/>
      <c r="CD188" s="41"/>
      <c r="CE188" s="41"/>
      <c r="CF188" s="41"/>
      <c r="CG188" s="41"/>
      <c r="CH188" s="41"/>
      <c r="CI188" s="41"/>
      <c r="CJ188" s="41"/>
      <c r="CK188" s="41"/>
      <c r="CL188" s="41"/>
      <c r="CM188" s="41"/>
      <c r="CN188" s="41"/>
      <c r="CO188" s="41"/>
      <c r="CP188" s="41"/>
      <c r="CQ188" s="41"/>
      <c r="CR188" s="41"/>
      <c r="CS188" s="41"/>
      <c r="CT188" s="41"/>
      <c r="CU188" s="41"/>
      <c r="CV188" s="41"/>
      <c r="CW188" s="41"/>
    </row>
    <row r="189" spans="1:101" ht="16.5" x14ac:dyDescent="0.35">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c r="AA189" s="41"/>
      <c r="AB189" s="41"/>
      <c r="AC189" s="41"/>
      <c r="AD189" s="41"/>
      <c r="AE189" s="41"/>
      <c r="AF189" s="41"/>
      <c r="AG189" s="41"/>
      <c r="AH189" s="41"/>
      <c r="AI189" s="41"/>
      <c r="AJ189" s="41"/>
      <c r="AK189" s="41"/>
      <c r="AL189" s="41"/>
      <c r="AM189" s="41"/>
      <c r="AN189" s="41"/>
      <c r="AO189" s="41"/>
      <c r="AP189" s="41"/>
      <c r="AQ189" s="41"/>
      <c r="AR189" s="41"/>
      <c r="AS189" s="41"/>
      <c r="AT189" s="41"/>
      <c r="AU189" s="41"/>
      <c r="AV189" s="41"/>
      <c r="AW189" s="41"/>
      <c r="AX189" s="41"/>
      <c r="AY189" s="41"/>
      <c r="AZ189" s="41"/>
      <c r="BA189" s="41"/>
      <c r="BB189" s="41"/>
      <c r="BC189" s="41"/>
      <c r="BD189" s="41"/>
      <c r="BE189" s="41"/>
      <c r="BF189" s="41"/>
      <c r="BG189" s="41"/>
      <c r="BH189" s="41"/>
      <c r="BI189" s="41"/>
      <c r="BJ189" s="41"/>
      <c r="BK189" s="41"/>
      <c r="BL189" s="41"/>
      <c r="BM189" s="41"/>
      <c r="BN189" s="41"/>
      <c r="BO189" s="41"/>
      <c r="BP189" s="41"/>
      <c r="BQ189" s="41"/>
      <c r="BR189" s="41"/>
      <c r="BS189" s="41"/>
      <c r="BT189" s="41"/>
      <c r="BU189" s="41"/>
      <c r="BV189" s="41"/>
      <c r="BW189" s="41"/>
      <c r="BX189" s="41"/>
      <c r="BY189" s="41"/>
      <c r="BZ189" s="41"/>
      <c r="CA189" s="41"/>
      <c r="CB189" s="41"/>
      <c r="CC189" s="41"/>
      <c r="CD189" s="41"/>
      <c r="CE189" s="41"/>
      <c r="CF189" s="41"/>
      <c r="CG189" s="41"/>
      <c r="CH189" s="41"/>
      <c r="CI189" s="41"/>
      <c r="CJ189" s="41"/>
      <c r="CK189" s="41"/>
      <c r="CL189" s="41"/>
      <c r="CM189" s="41"/>
      <c r="CN189" s="41"/>
      <c r="CO189" s="41"/>
      <c r="CP189" s="41"/>
      <c r="CQ189" s="41"/>
      <c r="CR189" s="41"/>
      <c r="CS189" s="41"/>
      <c r="CT189" s="41"/>
      <c r="CU189" s="41"/>
      <c r="CV189" s="41"/>
      <c r="CW189" s="41"/>
    </row>
    <row r="190" spans="1:101" ht="16.5" x14ac:dyDescent="0.35">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c r="AA190" s="41"/>
      <c r="AB190" s="41"/>
      <c r="AC190" s="41"/>
      <c r="AD190" s="41"/>
      <c r="AE190" s="41"/>
      <c r="AF190" s="41"/>
      <c r="AG190" s="41"/>
      <c r="AH190" s="41"/>
      <c r="AI190" s="41"/>
      <c r="AJ190" s="41"/>
      <c r="AK190" s="41"/>
      <c r="AL190" s="41"/>
      <c r="AM190" s="41"/>
      <c r="AN190" s="41"/>
      <c r="AO190" s="41"/>
      <c r="AP190" s="41"/>
      <c r="AQ190" s="41"/>
      <c r="AR190" s="41"/>
      <c r="AS190" s="41"/>
      <c r="AT190" s="41"/>
      <c r="AU190" s="41"/>
      <c r="AV190" s="41"/>
      <c r="AW190" s="41"/>
      <c r="AX190" s="41"/>
      <c r="AY190" s="41"/>
      <c r="AZ190" s="41"/>
      <c r="BA190" s="41"/>
      <c r="BB190" s="41"/>
      <c r="BC190" s="41"/>
      <c r="BD190" s="41"/>
      <c r="BE190" s="41"/>
      <c r="BF190" s="41"/>
      <c r="BG190" s="41"/>
      <c r="BH190" s="41"/>
      <c r="BI190" s="41"/>
      <c r="BJ190" s="41"/>
      <c r="BK190" s="41"/>
      <c r="BL190" s="41"/>
      <c r="BM190" s="41"/>
      <c r="BN190" s="41"/>
      <c r="BO190" s="41"/>
      <c r="BP190" s="41"/>
      <c r="BQ190" s="41"/>
      <c r="BR190" s="41"/>
      <c r="BS190" s="41"/>
      <c r="BT190" s="41"/>
      <c r="BU190" s="41"/>
      <c r="BV190" s="41"/>
      <c r="BW190" s="41"/>
      <c r="BX190" s="41"/>
      <c r="BY190" s="41"/>
      <c r="BZ190" s="41"/>
      <c r="CA190" s="41"/>
      <c r="CB190" s="41"/>
      <c r="CC190" s="41"/>
      <c r="CD190" s="41"/>
      <c r="CE190" s="41"/>
      <c r="CF190" s="41"/>
      <c r="CG190" s="41"/>
      <c r="CH190" s="41"/>
      <c r="CI190" s="41"/>
      <c r="CJ190" s="41"/>
      <c r="CK190" s="41"/>
      <c r="CL190" s="41"/>
      <c r="CM190" s="41"/>
      <c r="CN190" s="41"/>
      <c r="CO190" s="41"/>
      <c r="CP190" s="41"/>
      <c r="CQ190" s="41"/>
      <c r="CR190" s="41"/>
      <c r="CS190" s="41"/>
      <c r="CT190" s="41"/>
      <c r="CU190" s="41"/>
      <c r="CV190" s="41"/>
      <c r="CW190" s="41"/>
    </row>
    <row r="191" spans="1:101" ht="16.5" x14ac:dyDescent="0.35">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c r="AA191" s="41"/>
      <c r="AB191" s="41"/>
      <c r="AC191" s="41"/>
      <c r="AD191" s="41"/>
      <c r="AE191" s="41"/>
      <c r="AF191" s="41"/>
      <c r="AG191" s="41"/>
      <c r="AH191" s="41"/>
      <c r="AI191" s="41"/>
      <c r="AJ191" s="41"/>
      <c r="AK191" s="41"/>
      <c r="AL191" s="41"/>
      <c r="AM191" s="41"/>
      <c r="AN191" s="41"/>
      <c r="AO191" s="41"/>
      <c r="AP191" s="41"/>
      <c r="AQ191" s="41"/>
      <c r="AR191" s="41"/>
      <c r="AS191" s="41"/>
      <c r="AT191" s="41"/>
      <c r="AU191" s="41"/>
      <c r="AV191" s="41"/>
      <c r="AW191" s="41"/>
      <c r="AX191" s="41"/>
      <c r="AY191" s="41"/>
      <c r="AZ191" s="41"/>
      <c r="BA191" s="41"/>
      <c r="BB191" s="41"/>
      <c r="BC191" s="41"/>
      <c r="BD191" s="41"/>
      <c r="BE191" s="41"/>
      <c r="BF191" s="41"/>
      <c r="BG191" s="41"/>
      <c r="BH191" s="41"/>
      <c r="BI191" s="41"/>
      <c r="BJ191" s="41"/>
      <c r="BK191" s="41"/>
      <c r="BL191" s="41"/>
      <c r="BM191" s="41"/>
      <c r="BN191" s="41"/>
      <c r="BO191" s="41"/>
      <c r="BP191" s="41"/>
      <c r="BQ191" s="41"/>
      <c r="BR191" s="41"/>
      <c r="BS191" s="41"/>
      <c r="BT191" s="41"/>
      <c r="BU191" s="41"/>
      <c r="BV191" s="41"/>
      <c r="BW191" s="41"/>
      <c r="BX191" s="41"/>
      <c r="BY191" s="41"/>
      <c r="BZ191" s="41"/>
      <c r="CA191" s="41"/>
      <c r="CB191" s="41"/>
      <c r="CC191" s="41"/>
      <c r="CD191" s="41"/>
      <c r="CE191" s="41"/>
      <c r="CF191" s="41"/>
      <c r="CG191" s="41"/>
      <c r="CH191" s="41"/>
      <c r="CI191" s="41"/>
      <c r="CJ191" s="41"/>
      <c r="CK191" s="41"/>
      <c r="CL191" s="41"/>
      <c r="CM191" s="41"/>
      <c r="CN191" s="41"/>
      <c r="CO191" s="41"/>
      <c r="CP191" s="41"/>
      <c r="CQ191" s="41"/>
      <c r="CR191" s="41"/>
      <c r="CS191" s="41"/>
      <c r="CT191" s="41"/>
      <c r="CU191" s="41"/>
      <c r="CV191" s="41"/>
      <c r="CW191" s="41"/>
    </row>
    <row r="192" spans="1:101" ht="16.5" x14ac:dyDescent="0.35">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c r="AA192" s="41"/>
      <c r="AB192" s="41"/>
      <c r="AC192" s="41"/>
      <c r="AD192" s="41"/>
      <c r="AE192" s="41"/>
      <c r="AF192" s="41"/>
      <c r="AG192" s="41"/>
      <c r="AH192" s="41"/>
      <c r="AI192" s="41"/>
      <c r="AJ192" s="41"/>
      <c r="AK192" s="41"/>
      <c r="AL192" s="41"/>
      <c r="AM192" s="41"/>
      <c r="AN192" s="41"/>
      <c r="AO192" s="41"/>
      <c r="AP192" s="41"/>
      <c r="AQ192" s="41"/>
      <c r="AR192" s="41"/>
      <c r="AS192" s="41"/>
      <c r="AT192" s="41"/>
      <c r="AU192" s="41"/>
      <c r="AV192" s="41"/>
      <c r="AW192" s="41"/>
      <c r="AX192" s="41"/>
      <c r="AY192" s="41"/>
      <c r="AZ192" s="41"/>
      <c r="BA192" s="41"/>
      <c r="BB192" s="41"/>
      <c r="BC192" s="41"/>
      <c r="BD192" s="41"/>
      <c r="BE192" s="41"/>
      <c r="BF192" s="41"/>
      <c r="BG192" s="41"/>
      <c r="BH192" s="41"/>
      <c r="BI192" s="41"/>
      <c r="BJ192" s="41"/>
      <c r="BK192" s="41"/>
      <c r="BL192" s="41"/>
      <c r="BM192" s="41"/>
      <c r="BN192" s="41"/>
      <c r="BO192" s="41"/>
      <c r="BP192" s="41"/>
      <c r="BQ192" s="41"/>
      <c r="BR192" s="41"/>
      <c r="BS192" s="41"/>
      <c r="BT192" s="41"/>
      <c r="BU192" s="41"/>
      <c r="BV192" s="41"/>
      <c r="BW192" s="41"/>
      <c r="BX192" s="41"/>
      <c r="BY192" s="41"/>
      <c r="BZ192" s="41"/>
      <c r="CA192" s="41"/>
      <c r="CB192" s="41"/>
      <c r="CC192" s="41"/>
      <c r="CD192" s="41"/>
      <c r="CE192" s="41"/>
      <c r="CF192" s="41"/>
      <c r="CG192" s="41"/>
      <c r="CH192" s="41"/>
      <c r="CI192" s="41"/>
      <c r="CJ192" s="41"/>
      <c r="CK192" s="41"/>
      <c r="CL192" s="41"/>
      <c r="CM192" s="41"/>
      <c r="CN192" s="41"/>
      <c r="CO192" s="41"/>
      <c r="CP192" s="41"/>
      <c r="CQ192" s="41"/>
      <c r="CR192" s="41"/>
      <c r="CS192" s="41"/>
      <c r="CT192" s="41"/>
      <c r="CU192" s="41"/>
      <c r="CV192" s="41"/>
      <c r="CW192" s="41"/>
    </row>
    <row r="193" spans="1:101" ht="16.5" x14ac:dyDescent="0.35">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c r="AA193" s="41"/>
      <c r="AB193" s="41"/>
      <c r="AC193" s="41"/>
      <c r="AD193" s="41"/>
      <c r="AE193" s="41"/>
      <c r="AF193" s="41"/>
      <c r="AG193" s="41"/>
      <c r="AH193" s="41"/>
      <c r="AI193" s="41"/>
      <c r="AJ193" s="41"/>
      <c r="AK193" s="41"/>
      <c r="AL193" s="41"/>
      <c r="AM193" s="41"/>
      <c r="AN193" s="41"/>
      <c r="AO193" s="41"/>
      <c r="AP193" s="41"/>
      <c r="AQ193" s="41"/>
      <c r="AR193" s="41"/>
      <c r="AS193" s="41"/>
      <c r="AT193" s="41"/>
      <c r="AU193" s="41"/>
      <c r="AV193" s="41"/>
      <c r="AW193" s="41"/>
      <c r="AX193" s="41"/>
      <c r="AY193" s="41"/>
      <c r="AZ193" s="41"/>
      <c r="BA193" s="41"/>
      <c r="BB193" s="41"/>
      <c r="BC193" s="41"/>
      <c r="BD193" s="41"/>
      <c r="BE193" s="41"/>
      <c r="BF193" s="41"/>
      <c r="BG193" s="41"/>
      <c r="BH193" s="41"/>
      <c r="BI193" s="41"/>
      <c r="BJ193" s="41"/>
      <c r="BK193" s="41"/>
      <c r="BL193" s="41"/>
      <c r="BM193" s="41"/>
      <c r="BN193" s="41"/>
      <c r="BO193" s="41"/>
      <c r="BP193" s="41"/>
      <c r="BQ193" s="41"/>
      <c r="BR193" s="41"/>
      <c r="BS193" s="41"/>
      <c r="BT193" s="41"/>
      <c r="BU193" s="41"/>
      <c r="BV193" s="41"/>
      <c r="BW193" s="41"/>
      <c r="BX193" s="41"/>
      <c r="BY193" s="41"/>
      <c r="BZ193" s="41"/>
      <c r="CA193" s="41"/>
      <c r="CB193" s="41"/>
      <c r="CC193" s="41"/>
      <c r="CD193" s="41"/>
      <c r="CE193" s="41"/>
      <c r="CF193" s="41"/>
      <c r="CG193" s="41"/>
      <c r="CH193" s="41"/>
      <c r="CI193" s="41"/>
      <c r="CJ193" s="41"/>
      <c r="CK193" s="41"/>
      <c r="CL193" s="41"/>
      <c r="CM193" s="41"/>
      <c r="CN193" s="41"/>
      <c r="CO193" s="41"/>
      <c r="CP193" s="41"/>
      <c r="CQ193" s="41"/>
      <c r="CR193" s="41"/>
      <c r="CS193" s="41"/>
      <c r="CT193" s="41"/>
      <c r="CU193" s="41"/>
      <c r="CV193" s="41"/>
      <c r="CW193" s="41"/>
    </row>
    <row r="194" spans="1:101" ht="16.5" x14ac:dyDescent="0.35">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41"/>
      <c r="AZ194" s="41"/>
      <c r="BA194" s="41"/>
      <c r="BB194" s="41"/>
      <c r="BC194" s="41"/>
      <c r="BD194" s="41"/>
      <c r="BE194" s="41"/>
      <c r="BF194" s="41"/>
      <c r="BG194" s="41"/>
      <c r="BH194" s="41"/>
      <c r="BI194" s="41"/>
      <c r="BJ194" s="41"/>
      <c r="BK194" s="41"/>
      <c r="BL194" s="41"/>
      <c r="BM194" s="41"/>
      <c r="BN194" s="41"/>
      <c r="BO194" s="41"/>
      <c r="BP194" s="41"/>
      <c r="BQ194" s="41"/>
      <c r="BR194" s="41"/>
      <c r="BS194" s="41"/>
      <c r="BT194" s="41"/>
      <c r="BU194" s="41"/>
      <c r="BV194" s="41"/>
      <c r="BW194" s="41"/>
      <c r="BX194" s="41"/>
      <c r="BY194" s="41"/>
      <c r="BZ194" s="41"/>
      <c r="CA194" s="41"/>
      <c r="CB194" s="41"/>
      <c r="CC194" s="41"/>
      <c r="CD194" s="41"/>
      <c r="CE194" s="41"/>
      <c r="CF194" s="41"/>
      <c r="CG194" s="41"/>
      <c r="CH194" s="41"/>
      <c r="CI194" s="41"/>
      <c r="CJ194" s="41"/>
      <c r="CK194" s="41"/>
      <c r="CL194" s="41"/>
      <c r="CM194" s="41"/>
      <c r="CN194" s="41"/>
      <c r="CO194" s="41"/>
      <c r="CP194" s="41"/>
      <c r="CQ194" s="41"/>
      <c r="CR194" s="41"/>
      <c r="CS194" s="41"/>
      <c r="CT194" s="41"/>
      <c r="CU194" s="41"/>
      <c r="CV194" s="41"/>
      <c r="CW194" s="41"/>
    </row>
    <row r="195" spans="1:101" ht="16.5" x14ac:dyDescent="0.35">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c r="AA195" s="41"/>
      <c r="AB195" s="41"/>
      <c r="AC195" s="41"/>
      <c r="AD195" s="41"/>
      <c r="AE195" s="41"/>
      <c r="AF195" s="41"/>
      <c r="AG195" s="41"/>
      <c r="AH195" s="41"/>
      <c r="AI195" s="41"/>
      <c r="AJ195" s="41"/>
      <c r="AK195" s="41"/>
      <c r="AL195" s="41"/>
      <c r="AM195" s="41"/>
      <c r="AN195" s="41"/>
      <c r="AO195" s="41"/>
      <c r="AP195" s="41"/>
      <c r="AQ195" s="41"/>
      <c r="AR195" s="41"/>
      <c r="AS195" s="41"/>
      <c r="AT195" s="41"/>
      <c r="AU195" s="41"/>
      <c r="AV195" s="41"/>
      <c r="AW195" s="41"/>
      <c r="AX195" s="41"/>
      <c r="AY195" s="41"/>
      <c r="AZ195" s="41"/>
      <c r="BA195" s="41"/>
      <c r="BB195" s="41"/>
      <c r="BC195" s="41"/>
      <c r="BD195" s="41"/>
      <c r="BE195" s="41"/>
      <c r="BF195" s="41"/>
      <c r="BG195" s="41"/>
      <c r="BH195" s="41"/>
      <c r="BI195" s="41"/>
      <c r="BJ195" s="41"/>
      <c r="BK195" s="41"/>
      <c r="BL195" s="41"/>
      <c r="BM195" s="41"/>
      <c r="BN195" s="41"/>
      <c r="BO195" s="41"/>
      <c r="BP195" s="41"/>
      <c r="BQ195" s="41"/>
      <c r="BR195" s="41"/>
      <c r="BS195" s="41"/>
      <c r="BT195" s="41"/>
      <c r="BU195" s="41"/>
      <c r="BV195" s="41"/>
      <c r="BW195" s="41"/>
      <c r="BX195" s="41"/>
      <c r="BY195" s="41"/>
      <c r="BZ195" s="41"/>
      <c r="CA195" s="41"/>
      <c r="CB195" s="41"/>
      <c r="CC195" s="41"/>
      <c r="CD195" s="41"/>
      <c r="CE195" s="41"/>
      <c r="CF195" s="41"/>
      <c r="CG195" s="41"/>
      <c r="CH195" s="41"/>
      <c r="CI195" s="41"/>
      <c r="CJ195" s="41"/>
      <c r="CK195" s="41"/>
      <c r="CL195" s="41"/>
      <c r="CM195" s="41"/>
      <c r="CN195" s="41"/>
      <c r="CO195" s="41"/>
      <c r="CP195" s="41"/>
      <c r="CQ195" s="41"/>
      <c r="CR195" s="41"/>
      <c r="CS195" s="41"/>
      <c r="CT195" s="41"/>
      <c r="CU195" s="41"/>
      <c r="CV195" s="41"/>
      <c r="CW195" s="41"/>
    </row>
    <row r="196" spans="1:101" ht="16.5" x14ac:dyDescent="0.35">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c r="AA196" s="41"/>
      <c r="AB196" s="41"/>
      <c r="AC196" s="41"/>
      <c r="AD196" s="41"/>
      <c r="AE196" s="41"/>
      <c r="AF196" s="41"/>
      <c r="AG196" s="41"/>
      <c r="AH196" s="41"/>
      <c r="AI196" s="41"/>
      <c r="AJ196" s="41"/>
      <c r="AK196" s="41"/>
      <c r="AL196" s="41"/>
      <c r="AM196" s="41"/>
      <c r="AN196" s="41"/>
      <c r="AO196" s="41"/>
      <c r="AP196" s="41"/>
      <c r="AQ196" s="41"/>
      <c r="AR196" s="41"/>
      <c r="AS196" s="41"/>
      <c r="AT196" s="41"/>
      <c r="AU196" s="41"/>
      <c r="AV196" s="41"/>
      <c r="AW196" s="41"/>
      <c r="AX196" s="41"/>
      <c r="AY196" s="41"/>
      <c r="AZ196" s="41"/>
      <c r="BA196" s="41"/>
      <c r="BB196" s="41"/>
      <c r="BC196" s="41"/>
      <c r="BD196" s="41"/>
      <c r="BE196" s="41"/>
      <c r="BF196" s="41"/>
      <c r="BG196" s="41"/>
      <c r="BH196" s="41"/>
      <c r="BI196" s="41"/>
      <c r="BJ196" s="41"/>
      <c r="BK196" s="41"/>
      <c r="BL196" s="41"/>
      <c r="BM196" s="41"/>
      <c r="BN196" s="41"/>
      <c r="BO196" s="41"/>
      <c r="BP196" s="41"/>
      <c r="BQ196" s="41"/>
      <c r="BR196" s="41"/>
      <c r="BS196" s="41"/>
      <c r="BT196" s="41"/>
      <c r="BU196" s="41"/>
      <c r="BV196" s="41"/>
      <c r="BW196" s="41"/>
      <c r="BX196" s="41"/>
      <c r="BY196" s="41"/>
      <c r="BZ196" s="41"/>
      <c r="CA196" s="41"/>
      <c r="CB196" s="41"/>
      <c r="CC196" s="41"/>
      <c r="CD196" s="41"/>
      <c r="CE196" s="41"/>
      <c r="CF196" s="41"/>
      <c r="CG196" s="41"/>
      <c r="CH196" s="41"/>
      <c r="CI196" s="41"/>
      <c r="CJ196" s="41"/>
      <c r="CK196" s="41"/>
      <c r="CL196" s="41"/>
      <c r="CM196" s="41"/>
      <c r="CN196" s="41"/>
      <c r="CO196" s="41"/>
      <c r="CP196" s="41"/>
      <c r="CQ196" s="41"/>
      <c r="CR196" s="41"/>
      <c r="CS196" s="41"/>
      <c r="CT196" s="41"/>
      <c r="CU196" s="41"/>
      <c r="CV196" s="41"/>
      <c r="CW196" s="41"/>
    </row>
    <row r="197" spans="1:101" ht="16.5" x14ac:dyDescent="0.35">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c r="AA197" s="41"/>
      <c r="AB197" s="41"/>
      <c r="AC197" s="41"/>
      <c r="AD197" s="41"/>
      <c r="AE197" s="41"/>
      <c r="AF197" s="41"/>
      <c r="AG197" s="41"/>
      <c r="AH197" s="41"/>
      <c r="AI197" s="41"/>
      <c r="AJ197" s="41"/>
      <c r="AK197" s="41"/>
      <c r="AL197" s="41"/>
      <c r="AM197" s="41"/>
      <c r="AN197" s="41"/>
      <c r="AO197" s="41"/>
      <c r="AP197" s="41"/>
      <c r="AQ197" s="41"/>
      <c r="AR197" s="41"/>
      <c r="AS197" s="41"/>
      <c r="AT197" s="41"/>
      <c r="AU197" s="41"/>
      <c r="AV197" s="41"/>
      <c r="AW197" s="41"/>
      <c r="AX197" s="41"/>
      <c r="AY197" s="41"/>
      <c r="AZ197" s="41"/>
      <c r="BA197" s="41"/>
      <c r="BB197" s="41"/>
      <c r="BC197" s="41"/>
      <c r="BD197" s="41"/>
      <c r="BE197" s="41"/>
      <c r="BF197" s="41"/>
      <c r="BG197" s="41"/>
      <c r="BH197" s="41"/>
      <c r="BI197" s="41"/>
      <c r="BJ197" s="41"/>
      <c r="BK197" s="41"/>
      <c r="BL197" s="41"/>
      <c r="BM197" s="41"/>
      <c r="BN197" s="41"/>
      <c r="BO197" s="41"/>
      <c r="BP197" s="41"/>
      <c r="BQ197" s="41"/>
      <c r="BR197" s="41"/>
      <c r="BS197" s="41"/>
      <c r="BT197" s="41"/>
      <c r="BU197" s="41"/>
      <c r="BV197" s="41"/>
      <c r="BW197" s="41"/>
      <c r="BX197" s="41"/>
      <c r="BY197" s="41"/>
      <c r="BZ197" s="41"/>
      <c r="CA197" s="41"/>
      <c r="CB197" s="41"/>
      <c r="CC197" s="41"/>
      <c r="CD197" s="41"/>
      <c r="CE197" s="41"/>
      <c r="CF197" s="41"/>
      <c r="CG197" s="41"/>
      <c r="CH197" s="41"/>
      <c r="CI197" s="41"/>
      <c r="CJ197" s="41"/>
      <c r="CK197" s="41"/>
      <c r="CL197" s="41"/>
      <c r="CM197" s="41"/>
      <c r="CN197" s="41"/>
      <c r="CO197" s="41"/>
      <c r="CP197" s="41"/>
      <c r="CQ197" s="41"/>
      <c r="CR197" s="41"/>
      <c r="CS197" s="41"/>
      <c r="CT197" s="41"/>
      <c r="CU197" s="41"/>
      <c r="CV197" s="41"/>
      <c r="CW197" s="41"/>
    </row>
    <row r="198" spans="1:101" ht="16.5" x14ac:dyDescent="0.35">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c r="AA198" s="41"/>
      <c r="AB198" s="41"/>
      <c r="AC198" s="41"/>
      <c r="AD198" s="41"/>
      <c r="AE198" s="41"/>
      <c r="AF198" s="41"/>
      <c r="AG198" s="41"/>
      <c r="AH198" s="41"/>
      <c r="AI198" s="41"/>
      <c r="AJ198" s="41"/>
      <c r="AK198" s="41"/>
      <c r="AL198" s="41"/>
      <c r="AM198" s="41"/>
      <c r="AN198" s="41"/>
      <c r="AO198" s="41"/>
      <c r="AP198" s="41"/>
      <c r="AQ198" s="41"/>
      <c r="AR198" s="41"/>
      <c r="AS198" s="41"/>
      <c r="AT198" s="41"/>
      <c r="AU198" s="41"/>
      <c r="AV198" s="41"/>
      <c r="AW198" s="41"/>
      <c r="AX198" s="41"/>
      <c r="AY198" s="41"/>
      <c r="AZ198" s="41"/>
      <c r="BA198" s="41"/>
      <c r="BB198" s="41"/>
      <c r="BC198" s="41"/>
      <c r="BD198" s="41"/>
      <c r="BE198" s="41"/>
      <c r="BF198" s="41"/>
      <c r="BG198" s="41"/>
      <c r="BH198" s="41"/>
      <c r="BI198" s="41"/>
      <c r="BJ198" s="41"/>
      <c r="BK198" s="41"/>
      <c r="BL198" s="41"/>
      <c r="BM198" s="41"/>
      <c r="BN198" s="41"/>
      <c r="BO198" s="41"/>
      <c r="BP198" s="41"/>
      <c r="BQ198" s="41"/>
      <c r="BR198" s="41"/>
      <c r="BS198" s="41"/>
      <c r="BT198" s="41"/>
      <c r="BU198" s="41"/>
      <c r="BV198" s="41"/>
      <c r="BW198" s="41"/>
      <c r="BX198" s="41"/>
      <c r="BY198" s="41"/>
      <c r="BZ198" s="41"/>
      <c r="CA198" s="41"/>
      <c r="CB198" s="41"/>
      <c r="CC198" s="41"/>
      <c r="CD198" s="41"/>
      <c r="CE198" s="41"/>
      <c r="CF198" s="41"/>
      <c r="CG198" s="41"/>
      <c r="CH198" s="41"/>
      <c r="CI198" s="41"/>
      <c r="CJ198" s="41"/>
      <c r="CK198" s="41"/>
      <c r="CL198" s="41"/>
      <c r="CM198" s="41"/>
      <c r="CN198" s="41"/>
      <c r="CO198" s="41"/>
      <c r="CP198" s="41"/>
      <c r="CQ198" s="41"/>
      <c r="CR198" s="41"/>
      <c r="CS198" s="41"/>
      <c r="CT198" s="41"/>
      <c r="CU198" s="41"/>
      <c r="CV198" s="41"/>
      <c r="CW198" s="41"/>
    </row>
    <row r="199" spans="1:101" ht="16.5" x14ac:dyDescent="0.35">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c r="AA199" s="41"/>
      <c r="AB199" s="41"/>
      <c r="AC199" s="41"/>
      <c r="AD199" s="41"/>
      <c r="AE199" s="41"/>
      <c r="AF199" s="41"/>
      <c r="AG199" s="41"/>
      <c r="AH199" s="41"/>
      <c r="AI199" s="41"/>
      <c r="AJ199" s="41"/>
      <c r="AK199" s="41"/>
      <c r="AL199" s="41"/>
      <c r="AM199" s="41"/>
      <c r="AN199" s="41"/>
      <c r="AO199" s="41"/>
      <c r="AP199" s="41"/>
      <c r="AQ199" s="41"/>
      <c r="AR199" s="41"/>
      <c r="AS199" s="41"/>
      <c r="AT199" s="41"/>
      <c r="AU199" s="41"/>
      <c r="AV199" s="41"/>
      <c r="AW199" s="41"/>
      <c r="AX199" s="41"/>
      <c r="AY199" s="41"/>
      <c r="AZ199" s="41"/>
      <c r="BA199" s="41"/>
      <c r="BB199" s="41"/>
      <c r="BC199" s="41"/>
      <c r="BD199" s="41"/>
      <c r="BE199" s="41"/>
      <c r="BF199" s="41"/>
      <c r="BG199" s="41"/>
      <c r="BH199" s="41"/>
      <c r="BI199" s="41"/>
      <c r="BJ199" s="41"/>
      <c r="BK199" s="41"/>
      <c r="BL199" s="41"/>
      <c r="BM199" s="41"/>
      <c r="BN199" s="41"/>
      <c r="BO199" s="41"/>
      <c r="BP199" s="41"/>
      <c r="BQ199" s="41"/>
      <c r="BR199" s="41"/>
      <c r="BS199" s="41"/>
      <c r="BT199" s="41"/>
      <c r="BU199" s="41"/>
      <c r="BV199" s="41"/>
      <c r="BW199" s="41"/>
      <c r="BX199" s="41"/>
      <c r="BY199" s="41"/>
      <c r="BZ199" s="41"/>
      <c r="CA199" s="41"/>
      <c r="CB199" s="41"/>
      <c r="CC199" s="41"/>
      <c r="CD199" s="41"/>
      <c r="CE199" s="41"/>
      <c r="CF199" s="41"/>
      <c r="CG199" s="41"/>
      <c r="CH199" s="41"/>
      <c r="CI199" s="41"/>
      <c r="CJ199" s="41"/>
      <c r="CK199" s="41"/>
      <c r="CL199" s="41"/>
      <c r="CM199" s="41"/>
      <c r="CN199" s="41"/>
      <c r="CO199" s="41"/>
      <c r="CP199" s="41"/>
      <c r="CQ199" s="41"/>
      <c r="CR199" s="41"/>
      <c r="CS199" s="41"/>
      <c r="CT199" s="41"/>
      <c r="CU199" s="41"/>
      <c r="CV199" s="41"/>
      <c r="CW199" s="41"/>
    </row>
    <row r="200" spans="1:101" ht="16.5" x14ac:dyDescent="0.35">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41"/>
      <c r="AW200" s="41"/>
      <c r="AX200" s="41"/>
      <c r="AY200" s="41"/>
      <c r="AZ200" s="41"/>
      <c r="BA200" s="41"/>
      <c r="BB200" s="41"/>
      <c r="BC200" s="41"/>
      <c r="BD200" s="41"/>
      <c r="BE200" s="41"/>
      <c r="BF200" s="41"/>
      <c r="BG200" s="41"/>
      <c r="BH200" s="41"/>
      <c r="BI200" s="41"/>
      <c r="BJ200" s="41"/>
      <c r="BK200" s="41"/>
      <c r="BL200" s="41"/>
      <c r="BM200" s="41"/>
      <c r="BN200" s="41"/>
      <c r="BO200" s="41"/>
      <c r="BP200" s="41"/>
      <c r="BQ200" s="41"/>
      <c r="BR200" s="41"/>
      <c r="BS200" s="41"/>
      <c r="BT200" s="41"/>
      <c r="BU200" s="41"/>
      <c r="BV200" s="41"/>
      <c r="BW200" s="41"/>
      <c r="BX200" s="41"/>
      <c r="BY200" s="41"/>
      <c r="BZ200" s="41"/>
      <c r="CA200" s="41"/>
      <c r="CB200" s="41"/>
      <c r="CC200" s="41"/>
      <c r="CD200" s="41"/>
      <c r="CE200" s="41"/>
      <c r="CF200" s="41"/>
      <c r="CG200" s="41"/>
      <c r="CH200" s="41"/>
      <c r="CI200" s="41"/>
      <c r="CJ200" s="41"/>
      <c r="CK200" s="41"/>
      <c r="CL200" s="41"/>
      <c r="CM200" s="41"/>
      <c r="CN200" s="41"/>
      <c r="CO200" s="41"/>
      <c r="CP200" s="41"/>
      <c r="CQ200" s="41"/>
      <c r="CR200" s="41"/>
      <c r="CS200" s="41"/>
      <c r="CT200" s="41"/>
      <c r="CU200" s="41"/>
      <c r="CV200" s="41"/>
      <c r="CW200" s="41"/>
    </row>
    <row r="201" spans="1:101" ht="16.5" x14ac:dyDescent="0.35">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c r="AA201" s="41"/>
      <c r="AB201" s="41"/>
      <c r="AC201" s="41"/>
      <c r="AD201" s="41"/>
      <c r="AE201" s="41"/>
      <c r="AF201" s="41"/>
      <c r="AG201" s="41"/>
      <c r="AH201" s="41"/>
      <c r="AI201" s="41"/>
      <c r="AJ201" s="41"/>
      <c r="AK201" s="41"/>
      <c r="AL201" s="41"/>
      <c r="AM201" s="41"/>
      <c r="AN201" s="41"/>
      <c r="AO201" s="41"/>
      <c r="AP201" s="41"/>
      <c r="AQ201" s="41"/>
      <c r="AR201" s="41"/>
      <c r="AS201" s="41"/>
      <c r="AT201" s="41"/>
      <c r="AU201" s="41"/>
      <c r="AV201" s="41"/>
      <c r="AW201" s="41"/>
      <c r="AX201" s="41"/>
      <c r="AY201" s="41"/>
      <c r="AZ201" s="41"/>
      <c r="BA201" s="41"/>
      <c r="BB201" s="41"/>
      <c r="BC201" s="41"/>
      <c r="BD201" s="41"/>
      <c r="BE201" s="41"/>
      <c r="BF201" s="41"/>
      <c r="BG201" s="41"/>
      <c r="BH201" s="41"/>
      <c r="BI201" s="41"/>
      <c r="BJ201" s="41"/>
      <c r="BK201" s="41"/>
      <c r="BL201" s="41"/>
      <c r="BM201" s="41"/>
      <c r="BN201" s="41"/>
      <c r="BO201" s="41"/>
      <c r="BP201" s="41"/>
      <c r="BQ201" s="41"/>
      <c r="BR201" s="41"/>
      <c r="BS201" s="41"/>
      <c r="BT201" s="41"/>
      <c r="BU201" s="41"/>
      <c r="BV201" s="41"/>
      <c r="BW201" s="41"/>
      <c r="BX201" s="41"/>
      <c r="BY201" s="41"/>
      <c r="BZ201" s="41"/>
      <c r="CA201" s="41"/>
      <c r="CB201" s="41"/>
      <c r="CC201" s="41"/>
      <c r="CD201" s="41"/>
      <c r="CE201" s="41"/>
      <c r="CF201" s="41"/>
      <c r="CG201" s="41"/>
      <c r="CH201" s="41"/>
      <c r="CI201" s="41"/>
      <c r="CJ201" s="41"/>
      <c r="CK201" s="41"/>
      <c r="CL201" s="41"/>
      <c r="CM201" s="41"/>
      <c r="CN201" s="41"/>
      <c r="CO201" s="41"/>
      <c r="CP201" s="41"/>
      <c r="CQ201" s="41"/>
      <c r="CR201" s="41"/>
      <c r="CS201" s="41"/>
      <c r="CT201" s="41"/>
      <c r="CU201" s="41"/>
      <c r="CV201" s="41"/>
      <c r="CW201" s="41"/>
    </row>
    <row r="202" spans="1:101" ht="16.5" x14ac:dyDescent="0.35">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c r="AA202" s="41"/>
      <c r="AB202" s="41"/>
      <c r="AC202" s="41"/>
      <c r="AD202" s="41"/>
      <c r="AE202" s="41"/>
      <c r="AF202" s="41"/>
      <c r="AG202" s="41"/>
      <c r="AH202" s="41"/>
      <c r="AI202" s="41"/>
      <c r="AJ202" s="41"/>
      <c r="AK202" s="41"/>
      <c r="AL202" s="41"/>
      <c r="AM202" s="41"/>
      <c r="AN202" s="41"/>
      <c r="AO202" s="41"/>
      <c r="AP202" s="41"/>
      <c r="AQ202" s="41"/>
      <c r="AR202" s="41"/>
      <c r="AS202" s="41"/>
      <c r="AT202" s="41"/>
      <c r="AU202" s="41"/>
      <c r="AV202" s="41"/>
      <c r="AW202" s="41"/>
      <c r="AX202" s="41"/>
      <c r="AY202" s="41"/>
      <c r="AZ202" s="41"/>
      <c r="BA202" s="41"/>
      <c r="BB202" s="41"/>
      <c r="BC202" s="41"/>
      <c r="BD202" s="41"/>
      <c r="BE202" s="41"/>
      <c r="BF202" s="41"/>
      <c r="BG202" s="41"/>
      <c r="BH202" s="41"/>
      <c r="BI202" s="41"/>
      <c r="BJ202" s="41"/>
      <c r="BK202" s="41"/>
      <c r="BL202" s="41"/>
      <c r="BM202" s="41"/>
      <c r="BN202" s="41"/>
      <c r="BO202" s="41"/>
      <c r="BP202" s="41"/>
      <c r="BQ202" s="41"/>
      <c r="BR202" s="41"/>
      <c r="BS202" s="41"/>
      <c r="BT202" s="41"/>
      <c r="BU202" s="41"/>
      <c r="BV202" s="41"/>
      <c r="BW202" s="41"/>
      <c r="BX202" s="41"/>
      <c r="BY202" s="41"/>
      <c r="BZ202" s="41"/>
      <c r="CA202" s="41"/>
      <c r="CB202" s="41"/>
      <c r="CC202" s="41"/>
      <c r="CD202" s="41"/>
      <c r="CE202" s="41"/>
      <c r="CF202" s="41"/>
      <c r="CG202" s="41"/>
      <c r="CH202" s="41"/>
      <c r="CI202" s="41"/>
      <c r="CJ202" s="41"/>
      <c r="CK202" s="41"/>
      <c r="CL202" s="41"/>
      <c r="CM202" s="41"/>
      <c r="CN202" s="41"/>
      <c r="CO202" s="41"/>
      <c r="CP202" s="41"/>
      <c r="CQ202" s="41"/>
      <c r="CR202" s="41"/>
      <c r="CS202" s="41"/>
      <c r="CT202" s="41"/>
      <c r="CU202" s="41"/>
      <c r="CV202" s="41"/>
      <c r="CW202" s="41"/>
    </row>
    <row r="203" spans="1:101" ht="16.5" x14ac:dyDescent="0.35">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c r="AA203" s="41"/>
      <c r="AB203" s="41"/>
      <c r="AC203" s="41"/>
      <c r="AD203" s="41"/>
      <c r="AE203" s="41"/>
      <c r="AF203" s="41"/>
      <c r="AG203" s="41"/>
      <c r="AH203" s="41"/>
      <c r="AI203" s="41"/>
      <c r="AJ203" s="41"/>
      <c r="AK203" s="41"/>
      <c r="AL203" s="41"/>
      <c r="AM203" s="41"/>
      <c r="AN203" s="41"/>
      <c r="AO203" s="41"/>
      <c r="AP203" s="41"/>
      <c r="AQ203" s="41"/>
      <c r="AR203" s="41"/>
      <c r="AS203" s="41"/>
      <c r="AT203" s="41"/>
      <c r="AU203" s="41"/>
      <c r="AV203" s="41"/>
      <c r="AW203" s="41"/>
      <c r="AX203" s="41"/>
      <c r="AY203" s="41"/>
      <c r="AZ203" s="41"/>
      <c r="BA203" s="41"/>
      <c r="BB203" s="41"/>
      <c r="BC203" s="41"/>
      <c r="BD203" s="41"/>
      <c r="BE203" s="41"/>
      <c r="BF203" s="41"/>
      <c r="BG203" s="41"/>
      <c r="BH203" s="41"/>
      <c r="BI203" s="41"/>
      <c r="BJ203" s="41"/>
      <c r="BK203" s="41"/>
      <c r="BL203" s="41"/>
      <c r="BM203" s="41"/>
      <c r="BN203" s="41"/>
      <c r="BO203" s="41"/>
      <c r="BP203" s="41"/>
      <c r="BQ203" s="41"/>
      <c r="BR203" s="41"/>
      <c r="BS203" s="41"/>
      <c r="BT203" s="41"/>
      <c r="BU203" s="41"/>
      <c r="BV203" s="41"/>
      <c r="BW203" s="41"/>
      <c r="BX203" s="41"/>
      <c r="BY203" s="41"/>
      <c r="BZ203" s="41"/>
      <c r="CA203" s="41"/>
      <c r="CB203" s="41"/>
      <c r="CC203" s="41"/>
      <c r="CD203" s="41"/>
      <c r="CE203" s="41"/>
      <c r="CF203" s="41"/>
      <c r="CG203" s="41"/>
      <c r="CH203" s="41"/>
      <c r="CI203" s="41"/>
      <c r="CJ203" s="41"/>
      <c r="CK203" s="41"/>
      <c r="CL203" s="41"/>
      <c r="CM203" s="41"/>
      <c r="CN203" s="41"/>
      <c r="CO203" s="41"/>
      <c r="CP203" s="41"/>
      <c r="CQ203" s="41"/>
      <c r="CR203" s="41"/>
      <c r="CS203" s="41"/>
      <c r="CT203" s="41"/>
      <c r="CU203" s="41"/>
      <c r="CV203" s="41"/>
      <c r="CW203" s="41"/>
    </row>
    <row r="204" spans="1:101" ht="16.5" x14ac:dyDescent="0.35">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c r="AA204" s="41"/>
      <c r="AB204" s="41"/>
      <c r="AC204" s="41"/>
      <c r="AD204" s="41"/>
      <c r="AE204" s="41"/>
      <c r="AF204" s="41"/>
      <c r="AG204" s="41"/>
      <c r="AH204" s="41"/>
      <c r="AI204" s="41"/>
      <c r="AJ204" s="41"/>
      <c r="AK204" s="41"/>
      <c r="AL204" s="41"/>
      <c r="AM204" s="41"/>
      <c r="AN204" s="41"/>
      <c r="AO204" s="41"/>
      <c r="AP204" s="41"/>
      <c r="AQ204" s="41"/>
      <c r="AR204" s="41"/>
      <c r="AS204" s="41"/>
      <c r="AT204" s="41"/>
      <c r="AU204" s="41"/>
      <c r="AV204" s="41"/>
      <c r="AW204" s="41"/>
      <c r="AX204" s="41"/>
      <c r="AY204" s="41"/>
      <c r="AZ204" s="41"/>
      <c r="BA204" s="41"/>
      <c r="BB204" s="41"/>
      <c r="BC204" s="41"/>
      <c r="BD204" s="41"/>
      <c r="BE204" s="41"/>
      <c r="BF204" s="41"/>
      <c r="BG204" s="41"/>
      <c r="BH204" s="41"/>
      <c r="BI204" s="41"/>
      <c r="BJ204" s="41"/>
      <c r="BK204" s="41"/>
      <c r="BL204" s="41"/>
      <c r="BM204" s="41"/>
      <c r="BN204" s="41"/>
      <c r="BO204" s="41"/>
      <c r="BP204" s="41"/>
      <c r="BQ204" s="41"/>
      <c r="BR204" s="41"/>
      <c r="BS204" s="41"/>
      <c r="BT204" s="41"/>
      <c r="BU204" s="41"/>
      <c r="BV204" s="41"/>
      <c r="BW204" s="41"/>
      <c r="BX204" s="41"/>
      <c r="BY204" s="41"/>
      <c r="BZ204" s="41"/>
      <c r="CA204" s="41"/>
      <c r="CB204" s="41"/>
      <c r="CC204" s="41"/>
      <c r="CD204" s="41"/>
      <c r="CE204" s="41"/>
      <c r="CF204" s="41"/>
      <c r="CG204" s="41"/>
      <c r="CH204" s="41"/>
      <c r="CI204" s="41"/>
      <c r="CJ204" s="41"/>
      <c r="CK204" s="41"/>
      <c r="CL204" s="41"/>
      <c r="CM204" s="41"/>
      <c r="CN204" s="41"/>
      <c r="CO204" s="41"/>
      <c r="CP204" s="41"/>
      <c r="CQ204" s="41"/>
      <c r="CR204" s="41"/>
      <c r="CS204" s="41"/>
      <c r="CT204" s="41"/>
      <c r="CU204" s="41"/>
      <c r="CV204" s="41"/>
      <c r="CW204" s="41"/>
    </row>
    <row r="205" spans="1:101" ht="16.5" x14ac:dyDescent="0.35">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c r="AA205" s="41"/>
      <c r="AB205" s="41"/>
      <c r="AC205" s="41"/>
      <c r="AD205" s="41"/>
      <c r="AE205" s="41"/>
      <c r="AF205" s="41"/>
      <c r="AG205" s="41"/>
      <c r="AH205" s="41"/>
      <c r="AI205" s="41"/>
      <c r="AJ205" s="41"/>
      <c r="AK205" s="41"/>
      <c r="AL205" s="41"/>
      <c r="AM205" s="41"/>
      <c r="AN205" s="41"/>
      <c r="AO205" s="41"/>
      <c r="AP205" s="41"/>
      <c r="AQ205" s="41"/>
      <c r="AR205" s="41"/>
      <c r="AS205" s="41"/>
      <c r="AT205" s="41"/>
      <c r="AU205" s="41"/>
      <c r="AV205" s="41"/>
      <c r="AW205" s="41"/>
      <c r="AX205" s="41"/>
      <c r="AY205" s="41"/>
      <c r="AZ205" s="41"/>
      <c r="BA205" s="41"/>
      <c r="BB205" s="41"/>
      <c r="BC205" s="41"/>
      <c r="BD205" s="41"/>
      <c r="BE205" s="41"/>
      <c r="BF205" s="41"/>
      <c r="BG205" s="41"/>
      <c r="BH205" s="41"/>
      <c r="BI205" s="41"/>
      <c r="BJ205" s="41"/>
      <c r="BK205" s="41"/>
      <c r="BL205" s="41"/>
      <c r="BM205" s="41"/>
      <c r="BN205" s="41"/>
      <c r="BO205" s="41"/>
      <c r="BP205" s="41"/>
      <c r="BQ205" s="41"/>
      <c r="BR205" s="41"/>
      <c r="BS205" s="41"/>
      <c r="BT205" s="41"/>
      <c r="BU205" s="41"/>
      <c r="BV205" s="41"/>
      <c r="BW205" s="41"/>
      <c r="BX205" s="41"/>
      <c r="BY205" s="41"/>
      <c r="BZ205" s="41"/>
      <c r="CA205" s="41"/>
      <c r="CB205" s="41"/>
      <c r="CC205" s="41"/>
      <c r="CD205" s="41"/>
      <c r="CE205" s="41"/>
      <c r="CF205" s="41"/>
      <c r="CG205" s="41"/>
      <c r="CH205" s="41"/>
      <c r="CI205" s="41"/>
      <c r="CJ205" s="41"/>
      <c r="CK205" s="41"/>
      <c r="CL205" s="41"/>
      <c r="CM205" s="41"/>
      <c r="CN205" s="41"/>
      <c r="CO205" s="41"/>
      <c r="CP205" s="41"/>
      <c r="CQ205" s="41"/>
      <c r="CR205" s="41"/>
      <c r="CS205" s="41"/>
      <c r="CT205" s="41"/>
      <c r="CU205" s="41"/>
      <c r="CV205" s="41"/>
      <c r="CW205" s="41"/>
    </row>
    <row r="206" spans="1:101" ht="16.5" x14ac:dyDescent="0.35">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41"/>
      <c r="AU206" s="41"/>
      <c r="AV206" s="41"/>
      <c r="AW206" s="41"/>
      <c r="AX206" s="41"/>
      <c r="AY206" s="41"/>
      <c r="AZ206" s="41"/>
      <c r="BA206" s="41"/>
      <c r="BB206" s="41"/>
      <c r="BC206" s="41"/>
      <c r="BD206" s="41"/>
      <c r="BE206" s="41"/>
      <c r="BF206" s="41"/>
      <c r="BG206" s="41"/>
      <c r="BH206" s="41"/>
      <c r="BI206" s="41"/>
      <c r="BJ206" s="41"/>
      <c r="BK206" s="41"/>
      <c r="BL206" s="41"/>
      <c r="BM206" s="41"/>
      <c r="BN206" s="41"/>
      <c r="BO206" s="41"/>
      <c r="BP206" s="41"/>
      <c r="BQ206" s="41"/>
      <c r="BR206" s="41"/>
      <c r="BS206" s="41"/>
      <c r="BT206" s="41"/>
      <c r="BU206" s="41"/>
      <c r="BV206" s="41"/>
      <c r="BW206" s="41"/>
      <c r="BX206" s="41"/>
      <c r="BY206" s="41"/>
      <c r="BZ206" s="41"/>
      <c r="CA206" s="41"/>
      <c r="CB206" s="41"/>
      <c r="CC206" s="41"/>
      <c r="CD206" s="41"/>
      <c r="CE206" s="41"/>
      <c r="CF206" s="41"/>
      <c r="CG206" s="41"/>
      <c r="CH206" s="41"/>
      <c r="CI206" s="41"/>
      <c r="CJ206" s="41"/>
      <c r="CK206" s="41"/>
      <c r="CL206" s="41"/>
      <c r="CM206" s="41"/>
      <c r="CN206" s="41"/>
      <c r="CO206" s="41"/>
      <c r="CP206" s="41"/>
      <c r="CQ206" s="41"/>
      <c r="CR206" s="41"/>
      <c r="CS206" s="41"/>
      <c r="CT206" s="41"/>
      <c r="CU206" s="41"/>
      <c r="CV206" s="41"/>
      <c r="CW206" s="41"/>
    </row>
    <row r="207" spans="1:101" ht="16.5" x14ac:dyDescent="0.35">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c r="AA207" s="41"/>
      <c r="AB207" s="41"/>
      <c r="AC207" s="41"/>
      <c r="AD207" s="41"/>
      <c r="AE207" s="41"/>
      <c r="AF207" s="41"/>
      <c r="AG207" s="41"/>
      <c r="AH207" s="41"/>
      <c r="AI207" s="41"/>
      <c r="AJ207" s="41"/>
      <c r="AK207" s="41"/>
      <c r="AL207" s="41"/>
      <c r="AM207" s="41"/>
      <c r="AN207" s="41"/>
      <c r="AO207" s="41"/>
      <c r="AP207" s="41"/>
      <c r="AQ207" s="41"/>
      <c r="AR207" s="41"/>
      <c r="AS207" s="41"/>
      <c r="AT207" s="41"/>
      <c r="AU207" s="41"/>
      <c r="AV207" s="41"/>
      <c r="AW207" s="41"/>
      <c r="AX207" s="41"/>
      <c r="AY207" s="41"/>
      <c r="AZ207" s="41"/>
      <c r="BA207" s="41"/>
      <c r="BB207" s="41"/>
      <c r="BC207" s="41"/>
      <c r="BD207" s="41"/>
      <c r="BE207" s="41"/>
      <c r="BF207" s="41"/>
      <c r="BG207" s="41"/>
      <c r="BH207" s="41"/>
      <c r="BI207" s="41"/>
      <c r="BJ207" s="41"/>
      <c r="BK207" s="41"/>
      <c r="BL207" s="41"/>
      <c r="BM207" s="41"/>
      <c r="BN207" s="41"/>
      <c r="BO207" s="41"/>
      <c r="BP207" s="41"/>
      <c r="BQ207" s="41"/>
      <c r="BR207" s="41"/>
      <c r="BS207" s="41"/>
      <c r="BT207" s="41"/>
      <c r="BU207" s="41"/>
      <c r="BV207" s="41"/>
      <c r="BW207" s="41"/>
      <c r="BX207" s="41"/>
      <c r="BY207" s="41"/>
      <c r="BZ207" s="41"/>
      <c r="CA207" s="41"/>
      <c r="CB207" s="41"/>
      <c r="CC207" s="41"/>
      <c r="CD207" s="41"/>
      <c r="CE207" s="41"/>
      <c r="CF207" s="41"/>
      <c r="CG207" s="41"/>
      <c r="CH207" s="41"/>
      <c r="CI207" s="41"/>
      <c r="CJ207" s="41"/>
      <c r="CK207" s="41"/>
      <c r="CL207" s="41"/>
      <c r="CM207" s="41"/>
      <c r="CN207" s="41"/>
      <c r="CO207" s="41"/>
      <c r="CP207" s="41"/>
      <c r="CQ207" s="41"/>
      <c r="CR207" s="41"/>
      <c r="CS207" s="41"/>
      <c r="CT207" s="41"/>
      <c r="CU207" s="41"/>
      <c r="CV207" s="41"/>
      <c r="CW207" s="41"/>
    </row>
    <row r="208" spans="1:101" ht="16.5" x14ac:dyDescent="0.35">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c r="AA208" s="41"/>
      <c r="AB208" s="41"/>
      <c r="AC208" s="41"/>
      <c r="AD208" s="41"/>
      <c r="AE208" s="41"/>
      <c r="AF208" s="41"/>
      <c r="AG208" s="41"/>
      <c r="AH208" s="41"/>
      <c r="AI208" s="41"/>
      <c r="AJ208" s="41"/>
      <c r="AK208" s="41"/>
      <c r="AL208" s="41"/>
      <c r="AM208" s="41"/>
      <c r="AN208" s="41"/>
      <c r="AO208" s="41"/>
      <c r="AP208" s="41"/>
      <c r="AQ208" s="41"/>
      <c r="AR208" s="41"/>
      <c r="AS208" s="41"/>
      <c r="AT208" s="41"/>
      <c r="AU208" s="41"/>
      <c r="AV208" s="41"/>
      <c r="AW208" s="41"/>
      <c r="AX208" s="41"/>
      <c r="AY208" s="41"/>
      <c r="AZ208" s="41"/>
      <c r="BA208" s="41"/>
      <c r="BB208" s="41"/>
      <c r="BC208" s="41"/>
      <c r="BD208" s="41"/>
      <c r="BE208" s="41"/>
      <c r="BF208" s="41"/>
      <c r="BG208" s="41"/>
      <c r="BH208" s="41"/>
      <c r="BI208" s="41"/>
      <c r="BJ208" s="41"/>
      <c r="BK208" s="41"/>
      <c r="BL208" s="41"/>
      <c r="BM208" s="41"/>
      <c r="BN208" s="41"/>
      <c r="BO208" s="41"/>
      <c r="BP208" s="41"/>
      <c r="BQ208" s="41"/>
      <c r="BR208" s="41"/>
      <c r="BS208" s="41"/>
      <c r="BT208" s="41"/>
      <c r="BU208" s="41"/>
      <c r="BV208" s="41"/>
      <c r="BW208" s="41"/>
      <c r="BX208" s="41"/>
      <c r="BY208" s="41"/>
      <c r="BZ208" s="41"/>
      <c r="CA208" s="41"/>
      <c r="CB208" s="41"/>
      <c r="CC208" s="41"/>
      <c r="CD208" s="41"/>
      <c r="CE208" s="41"/>
      <c r="CF208" s="41"/>
      <c r="CG208" s="41"/>
      <c r="CH208" s="41"/>
      <c r="CI208" s="41"/>
      <c r="CJ208" s="41"/>
      <c r="CK208" s="41"/>
      <c r="CL208" s="41"/>
      <c r="CM208" s="41"/>
      <c r="CN208" s="41"/>
      <c r="CO208" s="41"/>
      <c r="CP208" s="41"/>
      <c r="CQ208" s="41"/>
      <c r="CR208" s="41"/>
      <c r="CS208" s="41"/>
      <c r="CT208" s="41"/>
      <c r="CU208" s="41"/>
      <c r="CV208" s="41"/>
      <c r="CW208" s="41"/>
    </row>
    <row r="209" spans="1:101" ht="16.5" x14ac:dyDescent="0.35">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c r="AA209" s="41"/>
      <c r="AB209" s="41"/>
      <c r="AC209" s="41"/>
      <c r="AD209" s="41"/>
      <c r="AE209" s="41"/>
      <c r="AF209" s="41"/>
      <c r="AG209" s="41"/>
      <c r="AH209" s="41"/>
      <c r="AI209" s="41"/>
      <c r="AJ209" s="41"/>
      <c r="AK209" s="41"/>
      <c r="AL209" s="41"/>
      <c r="AM209" s="41"/>
      <c r="AN209" s="41"/>
      <c r="AO209" s="41"/>
      <c r="AP209" s="41"/>
      <c r="AQ209" s="41"/>
      <c r="AR209" s="41"/>
      <c r="AS209" s="41"/>
      <c r="AT209" s="41"/>
      <c r="AU209" s="41"/>
      <c r="AV209" s="41"/>
      <c r="AW209" s="41"/>
      <c r="AX209" s="41"/>
      <c r="AY209" s="41"/>
      <c r="AZ209" s="41"/>
      <c r="BA209" s="41"/>
      <c r="BB209" s="41"/>
      <c r="BC209" s="41"/>
      <c r="BD209" s="41"/>
      <c r="BE209" s="41"/>
      <c r="BF209" s="41"/>
      <c r="BG209" s="41"/>
      <c r="BH209" s="41"/>
      <c r="BI209" s="41"/>
      <c r="BJ209" s="41"/>
      <c r="BK209" s="41"/>
      <c r="BL209" s="41"/>
      <c r="BM209" s="41"/>
      <c r="BN209" s="41"/>
      <c r="BO209" s="41"/>
      <c r="BP209" s="41"/>
      <c r="BQ209" s="41"/>
      <c r="BR209" s="41"/>
      <c r="BS209" s="41"/>
      <c r="BT209" s="41"/>
      <c r="BU209" s="41"/>
      <c r="BV209" s="41"/>
      <c r="BW209" s="41"/>
      <c r="BX209" s="41"/>
      <c r="BY209" s="41"/>
      <c r="BZ209" s="41"/>
      <c r="CA209" s="41"/>
      <c r="CB209" s="41"/>
      <c r="CC209" s="41"/>
      <c r="CD209" s="41"/>
      <c r="CE209" s="41"/>
      <c r="CF209" s="41"/>
      <c r="CG209" s="41"/>
      <c r="CH209" s="41"/>
      <c r="CI209" s="41"/>
      <c r="CJ209" s="41"/>
      <c r="CK209" s="41"/>
      <c r="CL209" s="41"/>
      <c r="CM209" s="41"/>
      <c r="CN209" s="41"/>
      <c r="CO209" s="41"/>
      <c r="CP209" s="41"/>
      <c r="CQ209" s="41"/>
      <c r="CR209" s="41"/>
      <c r="CS209" s="41"/>
      <c r="CT209" s="41"/>
      <c r="CU209" s="41"/>
      <c r="CV209" s="41"/>
      <c r="CW209" s="41"/>
    </row>
    <row r="210" spans="1:101" ht="16.5" x14ac:dyDescent="0.35">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c r="AI210" s="41"/>
      <c r="AJ210" s="41"/>
      <c r="AK210" s="41"/>
      <c r="AL210" s="41"/>
      <c r="AM210" s="41"/>
      <c r="AN210" s="41"/>
      <c r="AO210" s="41"/>
      <c r="AP210" s="41"/>
      <c r="AQ210" s="41"/>
      <c r="AR210" s="41"/>
      <c r="AS210" s="41"/>
      <c r="AT210" s="41"/>
      <c r="AU210" s="41"/>
      <c r="AV210" s="41"/>
      <c r="AW210" s="41"/>
      <c r="AX210" s="41"/>
      <c r="AY210" s="41"/>
      <c r="AZ210" s="41"/>
      <c r="BA210" s="41"/>
      <c r="BB210" s="41"/>
      <c r="BC210" s="41"/>
      <c r="BD210" s="41"/>
      <c r="BE210" s="41"/>
      <c r="BF210" s="41"/>
      <c r="BG210" s="41"/>
      <c r="BH210" s="41"/>
      <c r="BI210" s="41"/>
      <c r="BJ210" s="41"/>
      <c r="BK210" s="41"/>
      <c r="BL210" s="41"/>
      <c r="BM210" s="41"/>
      <c r="BN210" s="41"/>
      <c r="BO210" s="41"/>
      <c r="BP210" s="41"/>
      <c r="BQ210" s="41"/>
      <c r="BR210" s="41"/>
      <c r="BS210" s="41"/>
      <c r="BT210" s="41"/>
      <c r="BU210" s="41"/>
      <c r="BV210" s="41"/>
      <c r="BW210" s="41"/>
      <c r="BX210" s="41"/>
      <c r="BY210" s="41"/>
      <c r="BZ210" s="41"/>
      <c r="CA210" s="41"/>
      <c r="CB210" s="41"/>
      <c r="CC210" s="41"/>
      <c r="CD210" s="41"/>
      <c r="CE210" s="41"/>
      <c r="CF210" s="41"/>
      <c r="CG210" s="41"/>
      <c r="CH210" s="41"/>
      <c r="CI210" s="41"/>
      <c r="CJ210" s="41"/>
      <c r="CK210" s="41"/>
      <c r="CL210" s="41"/>
      <c r="CM210" s="41"/>
      <c r="CN210" s="41"/>
      <c r="CO210" s="41"/>
      <c r="CP210" s="41"/>
      <c r="CQ210" s="41"/>
      <c r="CR210" s="41"/>
      <c r="CS210" s="41"/>
      <c r="CT210" s="41"/>
      <c r="CU210" s="41"/>
      <c r="CV210" s="41"/>
      <c r="CW210" s="41"/>
    </row>
    <row r="211" spans="1:101" ht="16.5" x14ac:dyDescent="0.35">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41"/>
      <c r="AG211" s="41"/>
      <c r="AH211" s="41"/>
      <c r="AI211" s="41"/>
      <c r="AJ211" s="41"/>
      <c r="AK211" s="41"/>
      <c r="AL211" s="41"/>
      <c r="AM211" s="41"/>
      <c r="AN211" s="41"/>
      <c r="AO211" s="41"/>
      <c r="AP211" s="41"/>
      <c r="AQ211" s="41"/>
      <c r="AR211" s="41"/>
      <c r="AS211" s="41"/>
      <c r="AT211" s="41"/>
      <c r="AU211" s="41"/>
      <c r="AV211" s="41"/>
      <c r="AW211" s="41"/>
      <c r="AX211" s="41"/>
      <c r="AY211" s="41"/>
      <c r="AZ211" s="41"/>
      <c r="BA211" s="41"/>
      <c r="BB211" s="41"/>
      <c r="BC211" s="41"/>
      <c r="BD211" s="41"/>
      <c r="BE211" s="41"/>
      <c r="BF211" s="41"/>
      <c r="BG211" s="41"/>
      <c r="BH211" s="41"/>
      <c r="BI211" s="41"/>
      <c r="BJ211" s="41"/>
      <c r="BK211" s="41"/>
      <c r="BL211" s="41"/>
      <c r="BM211" s="41"/>
      <c r="BN211" s="41"/>
      <c r="BO211" s="41"/>
      <c r="BP211" s="41"/>
      <c r="BQ211" s="41"/>
      <c r="BR211" s="41"/>
      <c r="BS211" s="41"/>
      <c r="BT211" s="41"/>
      <c r="BU211" s="41"/>
      <c r="BV211" s="41"/>
      <c r="BW211" s="41"/>
      <c r="BX211" s="41"/>
      <c r="BY211" s="41"/>
      <c r="BZ211" s="41"/>
      <c r="CA211" s="41"/>
      <c r="CB211" s="41"/>
      <c r="CC211" s="41"/>
      <c r="CD211" s="41"/>
      <c r="CE211" s="41"/>
      <c r="CF211" s="41"/>
      <c r="CG211" s="41"/>
      <c r="CH211" s="41"/>
      <c r="CI211" s="41"/>
      <c r="CJ211" s="41"/>
      <c r="CK211" s="41"/>
      <c r="CL211" s="41"/>
      <c r="CM211" s="41"/>
      <c r="CN211" s="41"/>
      <c r="CO211" s="41"/>
      <c r="CP211" s="41"/>
      <c r="CQ211" s="41"/>
      <c r="CR211" s="41"/>
      <c r="CS211" s="41"/>
      <c r="CT211" s="41"/>
      <c r="CU211" s="41"/>
      <c r="CV211" s="41"/>
      <c r="CW211" s="41"/>
    </row>
    <row r="212" spans="1:101" ht="16.5" x14ac:dyDescent="0.35">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c r="AA212" s="41"/>
      <c r="AB212" s="41"/>
      <c r="AC212" s="41"/>
      <c r="AD212" s="41"/>
      <c r="AE212" s="41"/>
      <c r="AF212" s="41"/>
      <c r="AG212" s="41"/>
      <c r="AH212" s="41"/>
      <c r="AI212" s="41"/>
      <c r="AJ212" s="41"/>
      <c r="AK212" s="41"/>
      <c r="AL212" s="41"/>
      <c r="AM212" s="41"/>
      <c r="AN212" s="41"/>
      <c r="AO212" s="41"/>
      <c r="AP212" s="41"/>
      <c r="AQ212" s="41"/>
      <c r="AR212" s="41"/>
      <c r="AS212" s="41"/>
      <c r="AT212" s="41"/>
      <c r="AU212" s="41"/>
      <c r="AV212" s="41"/>
      <c r="AW212" s="41"/>
      <c r="AX212" s="41"/>
      <c r="AY212" s="41"/>
      <c r="AZ212" s="41"/>
      <c r="BA212" s="41"/>
      <c r="BB212" s="41"/>
      <c r="BC212" s="41"/>
      <c r="BD212" s="41"/>
      <c r="BE212" s="41"/>
      <c r="BF212" s="41"/>
      <c r="BG212" s="41"/>
      <c r="BH212" s="41"/>
      <c r="BI212" s="41"/>
      <c r="BJ212" s="41"/>
      <c r="BK212" s="41"/>
      <c r="BL212" s="41"/>
      <c r="BM212" s="41"/>
      <c r="BN212" s="41"/>
      <c r="BO212" s="41"/>
      <c r="BP212" s="41"/>
      <c r="BQ212" s="41"/>
      <c r="BR212" s="41"/>
      <c r="BS212" s="41"/>
      <c r="BT212" s="41"/>
      <c r="BU212" s="41"/>
      <c r="BV212" s="41"/>
      <c r="BW212" s="41"/>
      <c r="BX212" s="41"/>
      <c r="BY212" s="41"/>
      <c r="BZ212" s="41"/>
      <c r="CA212" s="41"/>
      <c r="CB212" s="41"/>
      <c r="CC212" s="41"/>
      <c r="CD212" s="41"/>
      <c r="CE212" s="41"/>
      <c r="CF212" s="41"/>
      <c r="CG212" s="41"/>
      <c r="CH212" s="41"/>
      <c r="CI212" s="41"/>
      <c r="CJ212" s="41"/>
      <c r="CK212" s="41"/>
      <c r="CL212" s="41"/>
      <c r="CM212" s="41"/>
      <c r="CN212" s="41"/>
      <c r="CO212" s="41"/>
      <c r="CP212" s="41"/>
      <c r="CQ212" s="41"/>
      <c r="CR212" s="41"/>
      <c r="CS212" s="41"/>
      <c r="CT212" s="41"/>
      <c r="CU212" s="41"/>
      <c r="CV212" s="41"/>
      <c r="CW212" s="41"/>
    </row>
    <row r="213" spans="1:101" ht="16.5" x14ac:dyDescent="0.35">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41"/>
      <c r="AT213" s="41"/>
      <c r="AU213" s="41"/>
      <c r="AV213" s="41"/>
      <c r="AW213" s="41"/>
      <c r="AX213" s="41"/>
      <c r="AY213" s="41"/>
      <c r="AZ213" s="41"/>
      <c r="BA213" s="41"/>
      <c r="BB213" s="41"/>
      <c r="BC213" s="41"/>
      <c r="BD213" s="41"/>
      <c r="BE213" s="41"/>
      <c r="BF213" s="41"/>
      <c r="BG213" s="41"/>
      <c r="BH213" s="41"/>
      <c r="BI213" s="41"/>
      <c r="BJ213" s="41"/>
      <c r="BK213" s="41"/>
      <c r="BL213" s="41"/>
      <c r="BM213" s="41"/>
      <c r="BN213" s="41"/>
      <c r="BO213" s="41"/>
      <c r="BP213" s="41"/>
      <c r="BQ213" s="41"/>
      <c r="BR213" s="41"/>
      <c r="BS213" s="41"/>
      <c r="BT213" s="41"/>
      <c r="BU213" s="41"/>
      <c r="BV213" s="41"/>
      <c r="BW213" s="41"/>
      <c r="BX213" s="41"/>
      <c r="BY213" s="41"/>
      <c r="BZ213" s="41"/>
      <c r="CA213" s="41"/>
      <c r="CB213" s="41"/>
      <c r="CC213" s="41"/>
      <c r="CD213" s="41"/>
      <c r="CE213" s="41"/>
      <c r="CF213" s="41"/>
      <c r="CG213" s="41"/>
      <c r="CH213" s="41"/>
      <c r="CI213" s="41"/>
      <c r="CJ213" s="41"/>
      <c r="CK213" s="41"/>
      <c r="CL213" s="41"/>
      <c r="CM213" s="41"/>
      <c r="CN213" s="41"/>
      <c r="CO213" s="41"/>
      <c r="CP213" s="41"/>
      <c r="CQ213" s="41"/>
      <c r="CR213" s="41"/>
      <c r="CS213" s="41"/>
      <c r="CT213" s="41"/>
      <c r="CU213" s="41"/>
      <c r="CV213" s="41"/>
      <c r="CW213" s="41"/>
    </row>
    <row r="214" spans="1:101" ht="16.5" x14ac:dyDescent="0.35">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c r="AA214" s="41"/>
      <c r="AB214" s="41"/>
      <c r="AC214" s="41"/>
      <c r="AD214" s="41"/>
      <c r="AE214" s="41"/>
      <c r="AF214" s="41"/>
      <c r="AG214" s="41"/>
      <c r="AH214" s="41"/>
      <c r="AI214" s="41"/>
      <c r="AJ214" s="41"/>
      <c r="AK214" s="41"/>
      <c r="AL214" s="41"/>
      <c r="AM214" s="41"/>
      <c r="AN214" s="41"/>
      <c r="AO214" s="41"/>
      <c r="AP214" s="41"/>
      <c r="AQ214" s="41"/>
      <c r="AR214" s="41"/>
      <c r="AS214" s="41"/>
      <c r="AT214" s="41"/>
      <c r="AU214" s="41"/>
      <c r="AV214" s="41"/>
      <c r="AW214" s="41"/>
      <c r="AX214" s="41"/>
      <c r="AY214" s="41"/>
      <c r="AZ214" s="41"/>
      <c r="BA214" s="41"/>
      <c r="BB214" s="41"/>
      <c r="BC214" s="41"/>
      <c r="BD214" s="41"/>
      <c r="BE214" s="41"/>
      <c r="BF214" s="41"/>
      <c r="BG214" s="41"/>
      <c r="BH214" s="41"/>
      <c r="BI214" s="41"/>
      <c r="BJ214" s="41"/>
      <c r="BK214" s="41"/>
      <c r="BL214" s="41"/>
      <c r="BM214" s="41"/>
      <c r="BN214" s="41"/>
      <c r="BO214" s="41"/>
      <c r="BP214" s="41"/>
      <c r="BQ214" s="41"/>
      <c r="BR214" s="41"/>
      <c r="BS214" s="41"/>
      <c r="BT214" s="41"/>
      <c r="BU214" s="41"/>
      <c r="BV214" s="41"/>
      <c r="BW214" s="41"/>
      <c r="BX214" s="41"/>
      <c r="BY214" s="41"/>
      <c r="BZ214" s="41"/>
      <c r="CA214" s="41"/>
      <c r="CB214" s="41"/>
      <c r="CC214" s="41"/>
      <c r="CD214" s="41"/>
      <c r="CE214" s="41"/>
      <c r="CF214" s="41"/>
      <c r="CG214" s="41"/>
      <c r="CH214" s="41"/>
      <c r="CI214" s="41"/>
      <c r="CJ214" s="41"/>
      <c r="CK214" s="41"/>
      <c r="CL214" s="41"/>
      <c r="CM214" s="41"/>
      <c r="CN214" s="41"/>
      <c r="CO214" s="41"/>
      <c r="CP214" s="41"/>
      <c r="CQ214" s="41"/>
      <c r="CR214" s="41"/>
      <c r="CS214" s="41"/>
      <c r="CT214" s="41"/>
      <c r="CU214" s="41"/>
      <c r="CV214" s="41"/>
      <c r="CW214" s="41"/>
    </row>
    <row r="215" spans="1:101" ht="16.5" x14ac:dyDescent="0.35">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c r="AA215" s="41"/>
      <c r="AB215" s="41"/>
      <c r="AC215" s="41"/>
      <c r="AD215" s="41"/>
      <c r="AE215" s="41"/>
      <c r="AF215" s="41"/>
      <c r="AG215" s="41"/>
      <c r="AH215" s="41"/>
      <c r="AI215" s="41"/>
      <c r="AJ215" s="41"/>
      <c r="AK215" s="41"/>
      <c r="AL215" s="41"/>
      <c r="AM215" s="41"/>
      <c r="AN215" s="41"/>
      <c r="AO215" s="41"/>
      <c r="AP215" s="41"/>
      <c r="AQ215" s="41"/>
      <c r="AR215" s="41"/>
      <c r="AS215" s="41"/>
      <c r="AT215" s="41"/>
      <c r="AU215" s="41"/>
      <c r="AV215" s="41"/>
      <c r="AW215" s="41"/>
      <c r="AX215" s="41"/>
      <c r="AY215" s="41"/>
      <c r="AZ215" s="41"/>
      <c r="BA215" s="41"/>
      <c r="BB215" s="41"/>
      <c r="BC215" s="41"/>
      <c r="BD215" s="41"/>
      <c r="BE215" s="41"/>
      <c r="BF215" s="41"/>
      <c r="BG215" s="41"/>
      <c r="BH215" s="41"/>
      <c r="BI215" s="41"/>
      <c r="BJ215" s="41"/>
      <c r="BK215" s="41"/>
      <c r="BL215" s="41"/>
      <c r="BM215" s="41"/>
      <c r="BN215" s="41"/>
      <c r="BO215" s="41"/>
      <c r="BP215" s="41"/>
      <c r="BQ215" s="41"/>
      <c r="BR215" s="41"/>
      <c r="BS215" s="41"/>
      <c r="BT215" s="41"/>
      <c r="BU215" s="41"/>
      <c r="BV215" s="41"/>
      <c r="BW215" s="41"/>
      <c r="BX215" s="41"/>
      <c r="BY215" s="41"/>
      <c r="BZ215" s="41"/>
      <c r="CA215" s="41"/>
      <c r="CB215" s="41"/>
      <c r="CC215" s="41"/>
      <c r="CD215" s="41"/>
      <c r="CE215" s="41"/>
      <c r="CF215" s="41"/>
      <c r="CG215" s="41"/>
      <c r="CH215" s="41"/>
      <c r="CI215" s="41"/>
      <c r="CJ215" s="41"/>
      <c r="CK215" s="41"/>
      <c r="CL215" s="41"/>
      <c r="CM215" s="41"/>
      <c r="CN215" s="41"/>
      <c r="CO215" s="41"/>
      <c r="CP215" s="41"/>
      <c r="CQ215" s="41"/>
      <c r="CR215" s="41"/>
      <c r="CS215" s="41"/>
      <c r="CT215" s="41"/>
      <c r="CU215" s="41"/>
      <c r="CV215" s="41"/>
      <c r="CW215" s="41"/>
    </row>
    <row r="216" spans="1:101" ht="16.5" x14ac:dyDescent="0.35">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c r="AA216" s="41"/>
      <c r="AB216" s="41"/>
      <c r="AC216" s="41"/>
      <c r="AD216" s="41"/>
      <c r="AE216" s="41"/>
      <c r="AF216" s="41"/>
      <c r="AG216" s="41"/>
      <c r="AH216" s="41"/>
      <c r="AI216" s="41"/>
      <c r="AJ216" s="41"/>
      <c r="AK216" s="41"/>
      <c r="AL216" s="41"/>
      <c r="AM216" s="41"/>
      <c r="AN216" s="41"/>
      <c r="AO216" s="41"/>
      <c r="AP216" s="41"/>
      <c r="AQ216" s="41"/>
      <c r="AR216" s="41"/>
      <c r="AS216" s="41"/>
      <c r="AT216" s="41"/>
      <c r="AU216" s="41"/>
      <c r="AV216" s="41"/>
      <c r="AW216" s="41"/>
      <c r="AX216" s="41"/>
      <c r="AY216" s="41"/>
      <c r="AZ216" s="41"/>
      <c r="BA216" s="41"/>
      <c r="BB216" s="41"/>
      <c r="BC216" s="41"/>
      <c r="BD216" s="41"/>
      <c r="BE216" s="41"/>
      <c r="BF216" s="41"/>
      <c r="BG216" s="41"/>
      <c r="BH216" s="41"/>
      <c r="BI216" s="41"/>
      <c r="BJ216" s="41"/>
      <c r="BK216" s="41"/>
      <c r="BL216" s="41"/>
      <c r="BM216" s="41"/>
      <c r="BN216" s="41"/>
      <c r="BO216" s="41"/>
      <c r="BP216" s="41"/>
      <c r="BQ216" s="41"/>
      <c r="BR216" s="41"/>
      <c r="BS216" s="41"/>
      <c r="BT216" s="41"/>
      <c r="BU216" s="41"/>
      <c r="BV216" s="41"/>
      <c r="BW216" s="41"/>
      <c r="BX216" s="41"/>
      <c r="BY216" s="41"/>
      <c r="BZ216" s="41"/>
      <c r="CA216" s="41"/>
      <c r="CB216" s="41"/>
      <c r="CC216" s="41"/>
      <c r="CD216" s="41"/>
      <c r="CE216" s="41"/>
      <c r="CF216" s="41"/>
      <c r="CG216" s="41"/>
      <c r="CH216" s="41"/>
      <c r="CI216" s="41"/>
      <c r="CJ216" s="41"/>
      <c r="CK216" s="41"/>
      <c r="CL216" s="41"/>
      <c r="CM216" s="41"/>
      <c r="CN216" s="41"/>
      <c r="CO216" s="41"/>
      <c r="CP216" s="41"/>
      <c r="CQ216" s="41"/>
      <c r="CR216" s="41"/>
      <c r="CS216" s="41"/>
      <c r="CT216" s="41"/>
      <c r="CU216" s="41"/>
      <c r="CV216" s="41"/>
      <c r="CW216" s="41"/>
    </row>
    <row r="217" spans="1:101" ht="16.5" x14ac:dyDescent="0.35">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c r="AA217" s="41"/>
      <c r="AB217" s="41"/>
      <c r="AC217" s="41"/>
      <c r="AD217" s="41"/>
      <c r="AE217" s="41"/>
      <c r="AF217" s="41"/>
      <c r="AG217" s="41"/>
      <c r="AH217" s="41"/>
      <c r="AI217" s="41"/>
      <c r="AJ217" s="41"/>
      <c r="AK217" s="41"/>
      <c r="AL217" s="41"/>
      <c r="AM217" s="41"/>
      <c r="AN217" s="41"/>
      <c r="AO217" s="41"/>
      <c r="AP217" s="41"/>
      <c r="AQ217" s="41"/>
      <c r="AR217" s="41"/>
      <c r="AS217" s="41"/>
      <c r="AT217" s="41"/>
      <c r="AU217" s="41"/>
      <c r="AV217" s="41"/>
      <c r="AW217" s="41"/>
      <c r="AX217" s="41"/>
      <c r="AY217" s="41"/>
      <c r="AZ217" s="41"/>
      <c r="BA217" s="41"/>
      <c r="BB217" s="41"/>
      <c r="BC217" s="41"/>
      <c r="BD217" s="41"/>
      <c r="BE217" s="41"/>
      <c r="BF217" s="41"/>
      <c r="BG217" s="41"/>
      <c r="BH217" s="41"/>
      <c r="BI217" s="41"/>
      <c r="BJ217" s="41"/>
      <c r="BK217" s="41"/>
      <c r="BL217" s="41"/>
      <c r="BM217" s="41"/>
      <c r="BN217" s="41"/>
      <c r="BO217" s="41"/>
      <c r="BP217" s="41"/>
      <c r="BQ217" s="41"/>
      <c r="BR217" s="41"/>
      <c r="BS217" s="41"/>
      <c r="BT217" s="41"/>
      <c r="BU217" s="41"/>
      <c r="BV217" s="41"/>
      <c r="BW217" s="41"/>
      <c r="BX217" s="41"/>
      <c r="BY217" s="41"/>
      <c r="BZ217" s="41"/>
      <c r="CA217" s="41"/>
      <c r="CB217" s="41"/>
      <c r="CC217" s="41"/>
      <c r="CD217" s="41"/>
      <c r="CE217" s="41"/>
      <c r="CF217" s="41"/>
      <c r="CG217" s="41"/>
      <c r="CH217" s="41"/>
      <c r="CI217" s="41"/>
      <c r="CJ217" s="41"/>
      <c r="CK217" s="41"/>
      <c r="CL217" s="41"/>
      <c r="CM217" s="41"/>
      <c r="CN217" s="41"/>
      <c r="CO217" s="41"/>
      <c r="CP217" s="41"/>
      <c r="CQ217" s="41"/>
      <c r="CR217" s="41"/>
      <c r="CS217" s="41"/>
      <c r="CT217" s="41"/>
      <c r="CU217" s="41"/>
      <c r="CV217" s="41"/>
      <c r="CW217" s="41"/>
    </row>
    <row r="218" spans="1:101" ht="16.5" x14ac:dyDescent="0.35">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c r="BB218" s="41"/>
      <c r="BC218" s="41"/>
      <c r="BD218" s="41"/>
      <c r="BE218" s="41"/>
      <c r="BF218" s="41"/>
      <c r="BG218" s="41"/>
      <c r="BH218" s="41"/>
      <c r="BI218" s="41"/>
      <c r="BJ218" s="41"/>
      <c r="BK218" s="41"/>
      <c r="BL218" s="41"/>
      <c r="BM218" s="41"/>
      <c r="BN218" s="41"/>
      <c r="BO218" s="41"/>
      <c r="BP218" s="41"/>
      <c r="BQ218" s="41"/>
      <c r="BR218" s="41"/>
      <c r="BS218" s="41"/>
      <c r="BT218" s="41"/>
      <c r="BU218" s="41"/>
      <c r="BV218" s="41"/>
      <c r="BW218" s="41"/>
      <c r="BX218" s="41"/>
      <c r="BY218" s="41"/>
      <c r="BZ218" s="41"/>
      <c r="CA218" s="41"/>
      <c r="CB218" s="41"/>
      <c r="CC218" s="41"/>
      <c r="CD218" s="41"/>
      <c r="CE218" s="41"/>
      <c r="CF218" s="41"/>
      <c r="CG218" s="41"/>
      <c r="CH218" s="41"/>
      <c r="CI218" s="41"/>
      <c r="CJ218" s="41"/>
      <c r="CK218" s="41"/>
      <c r="CL218" s="41"/>
      <c r="CM218" s="41"/>
      <c r="CN218" s="41"/>
      <c r="CO218" s="41"/>
      <c r="CP218" s="41"/>
      <c r="CQ218" s="41"/>
      <c r="CR218" s="41"/>
      <c r="CS218" s="41"/>
      <c r="CT218" s="41"/>
      <c r="CU218" s="41"/>
      <c r="CV218" s="41"/>
      <c r="CW218" s="41"/>
    </row>
    <row r="219" spans="1:101" ht="16.5" x14ac:dyDescent="0.35">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c r="AM219" s="41"/>
      <c r="AN219" s="41"/>
      <c r="AO219" s="41"/>
      <c r="AP219" s="41"/>
      <c r="AQ219" s="41"/>
      <c r="AR219" s="41"/>
      <c r="AS219" s="41"/>
      <c r="AT219" s="41"/>
      <c r="AU219" s="41"/>
      <c r="AV219" s="41"/>
      <c r="AW219" s="41"/>
      <c r="AX219" s="41"/>
      <c r="AY219" s="41"/>
      <c r="AZ219" s="41"/>
      <c r="BA219" s="41"/>
      <c r="BB219" s="41"/>
      <c r="BC219" s="41"/>
      <c r="BD219" s="41"/>
      <c r="BE219" s="41"/>
      <c r="BF219" s="41"/>
      <c r="BG219" s="41"/>
      <c r="BH219" s="41"/>
      <c r="BI219" s="41"/>
      <c r="BJ219" s="41"/>
      <c r="BK219" s="41"/>
      <c r="BL219" s="41"/>
      <c r="BM219" s="41"/>
      <c r="BN219" s="41"/>
      <c r="BO219" s="41"/>
      <c r="BP219" s="41"/>
      <c r="BQ219" s="41"/>
      <c r="BR219" s="41"/>
      <c r="BS219" s="41"/>
      <c r="BT219" s="41"/>
      <c r="BU219" s="41"/>
      <c r="BV219" s="41"/>
      <c r="BW219" s="41"/>
      <c r="BX219" s="41"/>
      <c r="BY219" s="41"/>
      <c r="BZ219" s="41"/>
      <c r="CA219" s="41"/>
      <c r="CB219" s="41"/>
      <c r="CC219" s="41"/>
      <c r="CD219" s="41"/>
      <c r="CE219" s="41"/>
      <c r="CF219" s="41"/>
      <c r="CG219" s="41"/>
      <c r="CH219" s="41"/>
      <c r="CI219" s="41"/>
      <c r="CJ219" s="41"/>
      <c r="CK219" s="41"/>
      <c r="CL219" s="41"/>
      <c r="CM219" s="41"/>
      <c r="CN219" s="41"/>
      <c r="CO219" s="41"/>
      <c r="CP219" s="41"/>
      <c r="CQ219" s="41"/>
      <c r="CR219" s="41"/>
      <c r="CS219" s="41"/>
      <c r="CT219" s="41"/>
      <c r="CU219" s="41"/>
      <c r="CV219" s="41"/>
      <c r="CW219" s="41"/>
    </row>
    <row r="220" spans="1:101" ht="16.5" x14ac:dyDescent="0.35">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c r="AZ220" s="41"/>
      <c r="BA220" s="41"/>
      <c r="BB220" s="41"/>
      <c r="BC220" s="41"/>
      <c r="BD220" s="41"/>
      <c r="BE220" s="41"/>
      <c r="BF220" s="41"/>
      <c r="BG220" s="41"/>
      <c r="BH220" s="41"/>
      <c r="BI220" s="41"/>
      <c r="BJ220" s="41"/>
      <c r="BK220" s="41"/>
      <c r="BL220" s="41"/>
      <c r="BM220" s="41"/>
      <c r="BN220" s="41"/>
      <c r="BO220" s="41"/>
      <c r="BP220" s="41"/>
      <c r="BQ220" s="41"/>
      <c r="BR220" s="41"/>
      <c r="BS220" s="41"/>
      <c r="BT220" s="41"/>
      <c r="BU220" s="41"/>
      <c r="BV220" s="41"/>
      <c r="BW220" s="41"/>
      <c r="BX220" s="41"/>
      <c r="BY220" s="41"/>
      <c r="BZ220" s="41"/>
      <c r="CA220" s="41"/>
      <c r="CB220" s="41"/>
      <c r="CC220" s="41"/>
      <c r="CD220" s="41"/>
      <c r="CE220" s="41"/>
      <c r="CF220" s="41"/>
      <c r="CG220" s="41"/>
      <c r="CH220" s="41"/>
      <c r="CI220" s="41"/>
      <c r="CJ220" s="41"/>
      <c r="CK220" s="41"/>
      <c r="CL220" s="41"/>
      <c r="CM220" s="41"/>
      <c r="CN220" s="41"/>
      <c r="CO220" s="41"/>
      <c r="CP220" s="41"/>
      <c r="CQ220" s="41"/>
      <c r="CR220" s="41"/>
      <c r="CS220" s="41"/>
      <c r="CT220" s="41"/>
      <c r="CU220" s="41"/>
      <c r="CV220" s="41"/>
      <c r="CW220" s="41"/>
    </row>
    <row r="221" spans="1:101" ht="16.5" x14ac:dyDescent="0.35">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c r="AJ221" s="41"/>
      <c r="AK221" s="41"/>
      <c r="AL221" s="41"/>
      <c r="AM221" s="41"/>
      <c r="AN221" s="41"/>
      <c r="AO221" s="41"/>
      <c r="AP221" s="41"/>
      <c r="AQ221" s="41"/>
      <c r="AR221" s="41"/>
      <c r="AS221" s="41"/>
      <c r="AT221" s="41"/>
      <c r="AU221" s="41"/>
      <c r="AV221" s="41"/>
      <c r="AW221" s="41"/>
      <c r="AX221" s="41"/>
      <c r="AY221" s="41"/>
      <c r="AZ221" s="41"/>
      <c r="BA221" s="41"/>
      <c r="BB221" s="41"/>
      <c r="BC221" s="41"/>
      <c r="BD221" s="41"/>
      <c r="BE221" s="41"/>
      <c r="BF221" s="41"/>
      <c r="BG221" s="41"/>
      <c r="BH221" s="41"/>
      <c r="BI221" s="41"/>
      <c r="BJ221" s="41"/>
      <c r="BK221" s="41"/>
      <c r="BL221" s="41"/>
      <c r="BM221" s="41"/>
      <c r="BN221" s="41"/>
      <c r="BO221" s="41"/>
      <c r="BP221" s="41"/>
      <c r="BQ221" s="41"/>
      <c r="BR221" s="41"/>
      <c r="BS221" s="41"/>
      <c r="BT221" s="41"/>
      <c r="BU221" s="41"/>
      <c r="BV221" s="41"/>
      <c r="BW221" s="41"/>
      <c r="BX221" s="41"/>
      <c r="BY221" s="41"/>
      <c r="BZ221" s="41"/>
      <c r="CA221" s="41"/>
      <c r="CB221" s="41"/>
      <c r="CC221" s="41"/>
      <c r="CD221" s="41"/>
      <c r="CE221" s="41"/>
      <c r="CF221" s="41"/>
      <c r="CG221" s="41"/>
      <c r="CH221" s="41"/>
      <c r="CI221" s="41"/>
      <c r="CJ221" s="41"/>
      <c r="CK221" s="41"/>
      <c r="CL221" s="41"/>
      <c r="CM221" s="41"/>
      <c r="CN221" s="41"/>
      <c r="CO221" s="41"/>
      <c r="CP221" s="41"/>
      <c r="CQ221" s="41"/>
      <c r="CR221" s="41"/>
      <c r="CS221" s="41"/>
      <c r="CT221" s="41"/>
      <c r="CU221" s="41"/>
      <c r="CV221" s="41"/>
      <c r="CW221" s="41"/>
    </row>
    <row r="222" spans="1:101" ht="16.5" x14ac:dyDescent="0.35">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c r="AJ222" s="41"/>
      <c r="AK222" s="41"/>
      <c r="AL222" s="41"/>
      <c r="AM222" s="41"/>
      <c r="AN222" s="41"/>
      <c r="AO222" s="41"/>
      <c r="AP222" s="41"/>
      <c r="AQ222" s="41"/>
      <c r="AR222" s="41"/>
      <c r="AS222" s="41"/>
      <c r="AT222" s="41"/>
      <c r="AU222" s="41"/>
      <c r="AV222" s="41"/>
      <c r="AW222" s="41"/>
      <c r="AX222" s="41"/>
      <c r="AY222" s="41"/>
      <c r="AZ222" s="41"/>
      <c r="BA222" s="41"/>
      <c r="BB222" s="41"/>
      <c r="BC222" s="41"/>
      <c r="BD222" s="41"/>
      <c r="BE222" s="41"/>
      <c r="BF222" s="41"/>
      <c r="BG222" s="41"/>
      <c r="BH222" s="41"/>
      <c r="BI222" s="41"/>
      <c r="BJ222" s="41"/>
      <c r="BK222" s="41"/>
      <c r="BL222" s="41"/>
      <c r="BM222" s="41"/>
      <c r="BN222" s="41"/>
      <c r="BO222" s="41"/>
      <c r="BP222" s="41"/>
      <c r="BQ222" s="41"/>
      <c r="BR222" s="41"/>
      <c r="BS222" s="41"/>
      <c r="BT222" s="41"/>
      <c r="BU222" s="41"/>
      <c r="BV222" s="41"/>
      <c r="BW222" s="41"/>
      <c r="BX222" s="41"/>
      <c r="BY222" s="41"/>
      <c r="BZ222" s="41"/>
      <c r="CA222" s="41"/>
      <c r="CB222" s="41"/>
      <c r="CC222" s="41"/>
      <c r="CD222" s="41"/>
      <c r="CE222" s="41"/>
      <c r="CF222" s="41"/>
      <c r="CG222" s="41"/>
      <c r="CH222" s="41"/>
      <c r="CI222" s="41"/>
      <c r="CJ222" s="41"/>
      <c r="CK222" s="41"/>
      <c r="CL222" s="41"/>
      <c r="CM222" s="41"/>
      <c r="CN222" s="41"/>
      <c r="CO222" s="41"/>
      <c r="CP222" s="41"/>
      <c r="CQ222" s="41"/>
      <c r="CR222" s="41"/>
      <c r="CS222" s="41"/>
      <c r="CT222" s="41"/>
      <c r="CU222" s="41"/>
      <c r="CV222" s="41"/>
      <c r="CW222" s="41"/>
    </row>
    <row r="223" spans="1:101" ht="16.5" x14ac:dyDescent="0.35">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c r="AJ223" s="41"/>
      <c r="AK223" s="41"/>
      <c r="AL223" s="41"/>
      <c r="AM223" s="41"/>
      <c r="AN223" s="41"/>
      <c r="AO223" s="41"/>
      <c r="AP223" s="41"/>
      <c r="AQ223" s="41"/>
      <c r="AR223" s="41"/>
      <c r="AS223" s="41"/>
      <c r="AT223" s="41"/>
      <c r="AU223" s="41"/>
      <c r="AV223" s="41"/>
      <c r="AW223" s="41"/>
      <c r="AX223" s="41"/>
      <c r="AY223" s="41"/>
      <c r="AZ223" s="41"/>
      <c r="BA223" s="41"/>
      <c r="BB223" s="41"/>
      <c r="BC223" s="41"/>
      <c r="BD223" s="41"/>
      <c r="BE223" s="41"/>
      <c r="BF223" s="41"/>
      <c r="BG223" s="41"/>
      <c r="BH223" s="41"/>
      <c r="BI223" s="41"/>
      <c r="BJ223" s="41"/>
      <c r="BK223" s="41"/>
      <c r="BL223" s="41"/>
      <c r="BM223" s="41"/>
      <c r="BN223" s="41"/>
      <c r="BO223" s="41"/>
      <c r="BP223" s="41"/>
      <c r="BQ223" s="41"/>
      <c r="BR223" s="41"/>
      <c r="BS223" s="41"/>
      <c r="BT223" s="41"/>
      <c r="BU223" s="41"/>
      <c r="BV223" s="41"/>
      <c r="BW223" s="41"/>
      <c r="BX223" s="41"/>
      <c r="BY223" s="41"/>
      <c r="BZ223" s="41"/>
      <c r="CA223" s="41"/>
      <c r="CB223" s="41"/>
      <c r="CC223" s="41"/>
      <c r="CD223" s="41"/>
      <c r="CE223" s="41"/>
      <c r="CF223" s="41"/>
      <c r="CG223" s="41"/>
      <c r="CH223" s="41"/>
      <c r="CI223" s="41"/>
      <c r="CJ223" s="41"/>
      <c r="CK223" s="41"/>
      <c r="CL223" s="41"/>
      <c r="CM223" s="41"/>
      <c r="CN223" s="41"/>
      <c r="CO223" s="41"/>
      <c r="CP223" s="41"/>
      <c r="CQ223" s="41"/>
      <c r="CR223" s="41"/>
      <c r="CS223" s="41"/>
      <c r="CT223" s="41"/>
      <c r="CU223" s="41"/>
      <c r="CV223" s="41"/>
      <c r="CW223" s="41"/>
    </row>
    <row r="224" spans="1:101" ht="16.5" x14ac:dyDescent="0.35">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c r="AJ224" s="41"/>
      <c r="AK224" s="41"/>
      <c r="AL224" s="41"/>
      <c r="AM224" s="41"/>
      <c r="AN224" s="41"/>
      <c r="AO224" s="41"/>
      <c r="AP224" s="41"/>
      <c r="AQ224" s="41"/>
      <c r="AR224" s="41"/>
      <c r="AS224" s="41"/>
      <c r="AT224" s="41"/>
      <c r="AU224" s="41"/>
      <c r="AV224" s="41"/>
      <c r="AW224" s="41"/>
      <c r="AX224" s="41"/>
      <c r="AY224" s="41"/>
      <c r="AZ224" s="41"/>
      <c r="BA224" s="41"/>
      <c r="BB224" s="41"/>
      <c r="BC224" s="41"/>
      <c r="BD224" s="41"/>
      <c r="BE224" s="41"/>
      <c r="BF224" s="41"/>
      <c r="BG224" s="41"/>
      <c r="BH224" s="41"/>
      <c r="BI224" s="41"/>
      <c r="BJ224" s="41"/>
      <c r="BK224" s="41"/>
      <c r="BL224" s="41"/>
      <c r="BM224" s="41"/>
      <c r="BN224" s="41"/>
      <c r="BO224" s="41"/>
      <c r="BP224" s="41"/>
      <c r="BQ224" s="41"/>
      <c r="BR224" s="41"/>
      <c r="BS224" s="41"/>
      <c r="BT224" s="41"/>
      <c r="BU224" s="41"/>
      <c r="BV224" s="41"/>
      <c r="BW224" s="41"/>
      <c r="BX224" s="41"/>
      <c r="BY224" s="41"/>
      <c r="BZ224" s="41"/>
      <c r="CA224" s="41"/>
      <c r="CB224" s="41"/>
      <c r="CC224" s="41"/>
      <c r="CD224" s="41"/>
      <c r="CE224" s="41"/>
      <c r="CF224" s="41"/>
      <c r="CG224" s="41"/>
      <c r="CH224" s="41"/>
      <c r="CI224" s="41"/>
      <c r="CJ224" s="41"/>
      <c r="CK224" s="41"/>
      <c r="CL224" s="41"/>
      <c r="CM224" s="41"/>
      <c r="CN224" s="41"/>
      <c r="CO224" s="41"/>
      <c r="CP224" s="41"/>
      <c r="CQ224" s="41"/>
      <c r="CR224" s="41"/>
      <c r="CS224" s="41"/>
      <c r="CT224" s="41"/>
      <c r="CU224" s="41"/>
      <c r="CV224" s="41"/>
      <c r="CW224" s="41"/>
    </row>
    <row r="225" spans="1:101" ht="16.5" x14ac:dyDescent="0.35">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41"/>
      <c r="AW225" s="41"/>
      <c r="AX225" s="41"/>
      <c r="AY225" s="41"/>
      <c r="AZ225" s="41"/>
      <c r="BA225" s="41"/>
      <c r="BB225" s="41"/>
      <c r="BC225" s="41"/>
      <c r="BD225" s="41"/>
      <c r="BE225" s="41"/>
      <c r="BF225" s="41"/>
      <c r="BG225" s="41"/>
      <c r="BH225" s="41"/>
      <c r="BI225" s="41"/>
      <c r="BJ225" s="41"/>
      <c r="BK225" s="41"/>
      <c r="BL225" s="41"/>
      <c r="BM225" s="41"/>
      <c r="BN225" s="41"/>
      <c r="BO225" s="41"/>
      <c r="BP225" s="41"/>
      <c r="BQ225" s="41"/>
      <c r="BR225" s="41"/>
      <c r="BS225" s="41"/>
      <c r="BT225" s="41"/>
      <c r="BU225" s="41"/>
      <c r="BV225" s="41"/>
      <c r="BW225" s="41"/>
      <c r="BX225" s="41"/>
      <c r="BY225" s="41"/>
      <c r="BZ225" s="41"/>
      <c r="CA225" s="41"/>
      <c r="CB225" s="41"/>
      <c r="CC225" s="41"/>
      <c r="CD225" s="41"/>
      <c r="CE225" s="41"/>
      <c r="CF225" s="41"/>
      <c r="CG225" s="41"/>
      <c r="CH225" s="41"/>
      <c r="CI225" s="41"/>
      <c r="CJ225" s="41"/>
      <c r="CK225" s="41"/>
      <c r="CL225" s="41"/>
      <c r="CM225" s="41"/>
      <c r="CN225" s="41"/>
      <c r="CO225" s="41"/>
      <c r="CP225" s="41"/>
      <c r="CQ225" s="41"/>
      <c r="CR225" s="41"/>
      <c r="CS225" s="41"/>
      <c r="CT225" s="41"/>
      <c r="CU225" s="41"/>
      <c r="CV225" s="41"/>
      <c r="CW225" s="41"/>
    </row>
    <row r="226" spans="1:101" ht="16.5" x14ac:dyDescent="0.35">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c r="AM226" s="41"/>
      <c r="AN226" s="41"/>
      <c r="AO226" s="41"/>
      <c r="AP226" s="41"/>
      <c r="AQ226" s="41"/>
      <c r="AR226" s="41"/>
      <c r="AS226" s="41"/>
      <c r="AT226" s="41"/>
      <c r="AU226" s="41"/>
      <c r="AV226" s="41"/>
      <c r="AW226" s="41"/>
      <c r="AX226" s="41"/>
      <c r="AY226" s="41"/>
      <c r="AZ226" s="41"/>
      <c r="BA226" s="41"/>
      <c r="BB226" s="41"/>
      <c r="BC226" s="41"/>
      <c r="BD226" s="41"/>
      <c r="BE226" s="41"/>
      <c r="BF226" s="41"/>
      <c r="BG226" s="41"/>
      <c r="BH226" s="41"/>
      <c r="BI226" s="41"/>
      <c r="BJ226" s="41"/>
      <c r="BK226" s="41"/>
      <c r="BL226" s="41"/>
      <c r="BM226" s="41"/>
      <c r="BN226" s="41"/>
      <c r="BO226" s="41"/>
      <c r="BP226" s="41"/>
      <c r="BQ226" s="41"/>
      <c r="BR226" s="41"/>
      <c r="BS226" s="41"/>
      <c r="BT226" s="41"/>
      <c r="BU226" s="41"/>
      <c r="BV226" s="41"/>
      <c r="BW226" s="41"/>
      <c r="BX226" s="41"/>
      <c r="BY226" s="41"/>
      <c r="BZ226" s="41"/>
      <c r="CA226" s="41"/>
      <c r="CB226" s="41"/>
      <c r="CC226" s="41"/>
      <c r="CD226" s="41"/>
      <c r="CE226" s="41"/>
      <c r="CF226" s="41"/>
      <c r="CG226" s="41"/>
      <c r="CH226" s="41"/>
      <c r="CI226" s="41"/>
      <c r="CJ226" s="41"/>
      <c r="CK226" s="41"/>
      <c r="CL226" s="41"/>
      <c r="CM226" s="41"/>
      <c r="CN226" s="41"/>
      <c r="CO226" s="41"/>
      <c r="CP226" s="41"/>
      <c r="CQ226" s="41"/>
      <c r="CR226" s="41"/>
      <c r="CS226" s="41"/>
      <c r="CT226" s="41"/>
      <c r="CU226" s="41"/>
      <c r="CV226" s="41"/>
      <c r="CW226" s="41"/>
    </row>
    <row r="227" spans="1:101" ht="16.5" x14ac:dyDescent="0.35">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c r="AZ227" s="41"/>
      <c r="BA227" s="41"/>
      <c r="BB227" s="41"/>
      <c r="BC227" s="41"/>
      <c r="BD227" s="41"/>
      <c r="BE227" s="41"/>
      <c r="BF227" s="41"/>
      <c r="BG227" s="41"/>
      <c r="BH227" s="41"/>
      <c r="BI227" s="41"/>
      <c r="BJ227" s="41"/>
      <c r="BK227" s="41"/>
      <c r="BL227" s="41"/>
      <c r="BM227" s="41"/>
      <c r="BN227" s="41"/>
      <c r="BO227" s="41"/>
      <c r="BP227" s="41"/>
      <c r="BQ227" s="41"/>
      <c r="BR227" s="41"/>
      <c r="BS227" s="41"/>
      <c r="BT227" s="41"/>
      <c r="BU227" s="41"/>
      <c r="BV227" s="41"/>
      <c r="BW227" s="41"/>
      <c r="BX227" s="41"/>
      <c r="BY227" s="41"/>
      <c r="BZ227" s="41"/>
      <c r="CA227" s="41"/>
      <c r="CB227" s="41"/>
      <c r="CC227" s="41"/>
      <c r="CD227" s="41"/>
      <c r="CE227" s="41"/>
      <c r="CF227" s="41"/>
      <c r="CG227" s="41"/>
      <c r="CH227" s="41"/>
      <c r="CI227" s="41"/>
      <c r="CJ227" s="41"/>
      <c r="CK227" s="41"/>
      <c r="CL227" s="41"/>
      <c r="CM227" s="41"/>
      <c r="CN227" s="41"/>
      <c r="CO227" s="41"/>
      <c r="CP227" s="41"/>
      <c r="CQ227" s="41"/>
      <c r="CR227" s="41"/>
      <c r="CS227" s="41"/>
      <c r="CT227" s="41"/>
      <c r="CU227" s="41"/>
      <c r="CV227" s="41"/>
      <c r="CW227" s="41"/>
    </row>
    <row r="228" spans="1:101" ht="16.5" x14ac:dyDescent="0.35">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c r="AJ228" s="41"/>
      <c r="AK228" s="41"/>
      <c r="AL228" s="41"/>
      <c r="AM228" s="41"/>
      <c r="AN228" s="41"/>
      <c r="AO228" s="41"/>
      <c r="AP228" s="41"/>
      <c r="AQ228" s="41"/>
      <c r="AR228" s="41"/>
      <c r="AS228" s="41"/>
      <c r="AT228" s="41"/>
      <c r="AU228" s="41"/>
      <c r="AV228" s="41"/>
      <c r="AW228" s="41"/>
      <c r="AX228" s="41"/>
      <c r="AY228" s="41"/>
      <c r="AZ228" s="41"/>
      <c r="BA228" s="41"/>
      <c r="BB228" s="41"/>
      <c r="BC228" s="41"/>
      <c r="BD228" s="41"/>
      <c r="BE228" s="41"/>
      <c r="BF228" s="41"/>
      <c r="BG228" s="41"/>
      <c r="BH228" s="41"/>
      <c r="BI228" s="41"/>
      <c r="BJ228" s="41"/>
      <c r="BK228" s="41"/>
      <c r="BL228" s="41"/>
      <c r="BM228" s="41"/>
      <c r="BN228" s="41"/>
      <c r="BO228" s="41"/>
      <c r="BP228" s="41"/>
      <c r="BQ228" s="41"/>
      <c r="BR228" s="41"/>
      <c r="BS228" s="41"/>
      <c r="BT228" s="41"/>
      <c r="BU228" s="41"/>
      <c r="BV228" s="41"/>
      <c r="BW228" s="41"/>
      <c r="BX228" s="41"/>
      <c r="BY228" s="41"/>
      <c r="BZ228" s="41"/>
      <c r="CA228" s="41"/>
      <c r="CB228" s="41"/>
      <c r="CC228" s="41"/>
      <c r="CD228" s="41"/>
      <c r="CE228" s="41"/>
      <c r="CF228" s="41"/>
      <c r="CG228" s="41"/>
      <c r="CH228" s="41"/>
      <c r="CI228" s="41"/>
      <c r="CJ228" s="41"/>
      <c r="CK228" s="41"/>
      <c r="CL228" s="41"/>
      <c r="CM228" s="41"/>
      <c r="CN228" s="41"/>
      <c r="CO228" s="41"/>
      <c r="CP228" s="41"/>
      <c r="CQ228" s="41"/>
      <c r="CR228" s="41"/>
      <c r="CS228" s="41"/>
      <c r="CT228" s="41"/>
      <c r="CU228" s="41"/>
      <c r="CV228" s="41"/>
      <c r="CW228" s="41"/>
    </row>
    <row r="229" spans="1:101" ht="16.5" x14ac:dyDescent="0.35">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c r="AJ229" s="41"/>
      <c r="AK229" s="41"/>
      <c r="AL229" s="41"/>
      <c r="AM229" s="41"/>
      <c r="AN229" s="41"/>
      <c r="AO229" s="41"/>
      <c r="AP229" s="41"/>
      <c r="AQ229" s="41"/>
      <c r="AR229" s="41"/>
      <c r="AS229" s="41"/>
      <c r="AT229" s="41"/>
      <c r="AU229" s="41"/>
      <c r="AV229" s="41"/>
      <c r="AW229" s="41"/>
      <c r="AX229" s="41"/>
      <c r="AY229" s="41"/>
      <c r="AZ229" s="41"/>
      <c r="BA229" s="41"/>
      <c r="BB229" s="41"/>
      <c r="BC229" s="41"/>
      <c r="BD229" s="41"/>
      <c r="BE229" s="41"/>
      <c r="BF229" s="41"/>
      <c r="BG229" s="41"/>
      <c r="BH229" s="41"/>
      <c r="BI229" s="41"/>
      <c r="BJ229" s="41"/>
      <c r="BK229" s="41"/>
      <c r="BL229" s="41"/>
      <c r="BM229" s="41"/>
      <c r="BN229" s="41"/>
      <c r="BO229" s="41"/>
      <c r="BP229" s="41"/>
      <c r="BQ229" s="41"/>
      <c r="BR229" s="41"/>
      <c r="BS229" s="41"/>
      <c r="BT229" s="41"/>
      <c r="BU229" s="41"/>
      <c r="BV229" s="41"/>
      <c r="BW229" s="41"/>
      <c r="BX229" s="41"/>
      <c r="BY229" s="41"/>
      <c r="BZ229" s="41"/>
      <c r="CA229" s="41"/>
      <c r="CB229" s="41"/>
      <c r="CC229" s="41"/>
      <c r="CD229" s="41"/>
      <c r="CE229" s="41"/>
      <c r="CF229" s="41"/>
      <c r="CG229" s="41"/>
      <c r="CH229" s="41"/>
      <c r="CI229" s="41"/>
      <c r="CJ229" s="41"/>
      <c r="CK229" s="41"/>
      <c r="CL229" s="41"/>
      <c r="CM229" s="41"/>
      <c r="CN229" s="41"/>
      <c r="CO229" s="41"/>
      <c r="CP229" s="41"/>
      <c r="CQ229" s="41"/>
      <c r="CR229" s="41"/>
      <c r="CS229" s="41"/>
      <c r="CT229" s="41"/>
      <c r="CU229" s="41"/>
      <c r="CV229" s="41"/>
      <c r="CW229" s="41"/>
    </row>
    <row r="230" spans="1:101" ht="16.5" x14ac:dyDescent="0.35">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41"/>
      <c r="AW230" s="41"/>
      <c r="AX230" s="41"/>
      <c r="AY230" s="41"/>
      <c r="AZ230" s="41"/>
      <c r="BA230" s="41"/>
      <c r="BB230" s="41"/>
      <c r="BC230" s="41"/>
      <c r="BD230" s="41"/>
      <c r="BE230" s="41"/>
      <c r="BF230" s="41"/>
      <c r="BG230" s="41"/>
      <c r="BH230" s="41"/>
      <c r="BI230" s="41"/>
      <c r="BJ230" s="41"/>
      <c r="BK230" s="41"/>
      <c r="BL230" s="41"/>
      <c r="BM230" s="41"/>
      <c r="BN230" s="41"/>
      <c r="BO230" s="41"/>
      <c r="BP230" s="41"/>
      <c r="BQ230" s="41"/>
      <c r="BR230" s="41"/>
      <c r="BS230" s="41"/>
      <c r="BT230" s="41"/>
      <c r="BU230" s="41"/>
      <c r="BV230" s="41"/>
      <c r="BW230" s="41"/>
      <c r="BX230" s="41"/>
      <c r="BY230" s="41"/>
      <c r="BZ230" s="41"/>
      <c r="CA230" s="41"/>
      <c r="CB230" s="41"/>
      <c r="CC230" s="41"/>
      <c r="CD230" s="41"/>
      <c r="CE230" s="41"/>
      <c r="CF230" s="41"/>
      <c r="CG230" s="41"/>
      <c r="CH230" s="41"/>
      <c r="CI230" s="41"/>
      <c r="CJ230" s="41"/>
      <c r="CK230" s="41"/>
      <c r="CL230" s="41"/>
      <c r="CM230" s="41"/>
      <c r="CN230" s="41"/>
      <c r="CO230" s="41"/>
      <c r="CP230" s="41"/>
      <c r="CQ230" s="41"/>
      <c r="CR230" s="41"/>
      <c r="CS230" s="41"/>
      <c r="CT230" s="41"/>
      <c r="CU230" s="41"/>
      <c r="CV230" s="41"/>
      <c r="CW230" s="41"/>
    </row>
    <row r="231" spans="1:101" ht="16.5" x14ac:dyDescent="0.35">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c r="AJ231" s="41"/>
      <c r="AK231" s="41"/>
      <c r="AL231" s="41"/>
      <c r="AM231" s="41"/>
      <c r="AN231" s="41"/>
      <c r="AO231" s="41"/>
      <c r="AP231" s="41"/>
      <c r="AQ231" s="41"/>
      <c r="AR231" s="41"/>
      <c r="AS231" s="41"/>
      <c r="AT231" s="41"/>
      <c r="AU231" s="41"/>
      <c r="AV231" s="41"/>
      <c r="AW231" s="41"/>
      <c r="AX231" s="41"/>
      <c r="AY231" s="41"/>
      <c r="AZ231" s="41"/>
      <c r="BA231" s="41"/>
      <c r="BB231" s="41"/>
      <c r="BC231" s="41"/>
      <c r="BD231" s="41"/>
      <c r="BE231" s="41"/>
      <c r="BF231" s="41"/>
      <c r="BG231" s="41"/>
      <c r="BH231" s="41"/>
      <c r="BI231" s="41"/>
      <c r="BJ231" s="41"/>
      <c r="BK231" s="41"/>
      <c r="BL231" s="41"/>
      <c r="BM231" s="41"/>
      <c r="BN231" s="41"/>
      <c r="BO231" s="41"/>
      <c r="BP231" s="41"/>
      <c r="BQ231" s="41"/>
      <c r="BR231" s="41"/>
      <c r="BS231" s="41"/>
      <c r="BT231" s="41"/>
      <c r="BU231" s="41"/>
      <c r="BV231" s="41"/>
      <c r="BW231" s="41"/>
      <c r="BX231" s="41"/>
      <c r="BY231" s="41"/>
      <c r="BZ231" s="41"/>
      <c r="CA231" s="41"/>
      <c r="CB231" s="41"/>
      <c r="CC231" s="41"/>
      <c r="CD231" s="41"/>
      <c r="CE231" s="41"/>
      <c r="CF231" s="41"/>
      <c r="CG231" s="41"/>
      <c r="CH231" s="41"/>
      <c r="CI231" s="41"/>
      <c r="CJ231" s="41"/>
      <c r="CK231" s="41"/>
      <c r="CL231" s="41"/>
      <c r="CM231" s="41"/>
      <c r="CN231" s="41"/>
      <c r="CO231" s="41"/>
      <c r="CP231" s="41"/>
      <c r="CQ231" s="41"/>
      <c r="CR231" s="41"/>
      <c r="CS231" s="41"/>
      <c r="CT231" s="41"/>
      <c r="CU231" s="41"/>
      <c r="CV231" s="41"/>
      <c r="CW231" s="41"/>
    </row>
    <row r="232" spans="1:101" ht="16.5" x14ac:dyDescent="0.35">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c r="AJ232" s="41"/>
      <c r="AK232" s="41"/>
      <c r="AL232" s="41"/>
      <c r="AM232" s="41"/>
      <c r="AN232" s="41"/>
      <c r="AO232" s="41"/>
      <c r="AP232" s="41"/>
      <c r="AQ232" s="41"/>
      <c r="AR232" s="41"/>
      <c r="AS232" s="41"/>
      <c r="AT232" s="41"/>
      <c r="AU232" s="41"/>
      <c r="AV232" s="41"/>
      <c r="AW232" s="41"/>
      <c r="AX232" s="41"/>
      <c r="AY232" s="41"/>
      <c r="AZ232" s="41"/>
      <c r="BA232" s="41"/>
      <c r="BB232" s="41"/>
      <c r="BC232" s="41"/>
      <c r="BD232" s="41"/>
      <c r="BE232" s="41"/>
      <c r="BF232" s="41"/>
      <c r="BG232" s="41"/>
      <c r="BH232" s="41"/>
      <c r="BI232" s="41"/>
      <c r="BJ232" s="41"/>
      <c r="BK232" s="41"/>
      <c r="BL232" s="41"/>
      <c r="BM232" s="41"/>
      <c r="BN232" s="41"/>
      <c r="BO232" s="41"/>
      <c r="BP232" s="41"/>
      <c r="BQ232" s="41"/>
      <c r="BR232" s="41"/>
      <c r="BS232" s="41"/>
      <c r="BT232" s="41"/>
      <c r="BU232" s="41"/>
      <c r="BV232" s="41"/>
      <c r="BW232" s="41"/>
      <c r="BX232" s="41"/>
      <c r="BY232" s="41"/>
      <c r="BZ232" s="41"/>
      <c r="CA232" s="41"/>
      <c r="CB232" s="41"/>
      <c r="CC232" s="41"/>
      <c r="CD232" s="41"/>
      <c r="CE232" s="41"/>
      <c r="CF232" s="41"/>
      <c r="CG232" s="41"/>
      <c r="CH232" s="41"/>
      <c r="CI232" s="41"/>
      <c r="CJ232" s="41"/>
      <c r="CK232" s="41"/>
      <c r="CL232" s="41"/>
      <c r="CM232" s="41"/>
      <c r="CN232" s="41"/>
      <c r="CO232" s="41"/>
      <c r="CP232" s="41"/>
      <c r="CQ232" s="41"/>
      <c r="CR232" s="41"/>
      <c r="CS232" s="41"/>
      <c r="CT232" s="41"/>
      <c r="CU232" s="41"/>
      <c r="CV232" s="41"/>
      <c r="CW232" s="41"/>
    </row>
    <row r="233" spans="1:101" ht="16.5" x14ac:dyDescent="0.35">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c r="AJ233" s="41"/>
      <c r="AK233" s="41"/>
      <c r="AL233" s="41"/>
      <c r="AM233" s="41"/>
      <c r="AN233" s="41"/>
      <c r="AO233" s="41"/>
      <c r="AP233" s="41"/>
      <c r="AQ233" s="41"/>
      <c r="AR233" s="41"/>
      <c r="AS233" s="41"/>
      <c r="AT233" s="41"/>
      <c r="AU233" s="41"/>
      <c r="AV233" s="41"/>
      <c r="AW233" s="41"/>
      <c r="AX233" s="41"/>
      <c r="AY233" s="41"/>
      <c r="AZ233" s="41"/>
      <c r="BA233" s="41"/>
      <c r="BB233" s="41"/>
      <c r="BC233" s="41"/>
      <c r="BD233" s="41"/>
      <c r="BE233" s="41"/>
      <c r="BF233" s="41"/>
      <c r="BG233" s="41"/>
      <c r="BH233" s="41"/>
      <c r="BI233" s="41"/>
      <c r="BJ233" s="41"/>
      <c r="BK233" s="41"/>
      <c r="BL233" s="41"/>
      <c r="BM233" s="41"/>
      <c r="BN233" s="41"/>
      <c r="BO233" s="41"/>
      <c r="BP233" s="41"/>
      <c r="BQ233" s="41"/>
      <c r="BR233" s="41"/>
      <c r="BS233" s="41"/>
      <c r="BT233" s="41"/>
      <c r="BU233" s="41"/>
      <c r="BV233" s="41"/>
      <c r="BW233" s="41"/>
      <c r="BX233" s="41"/>
      <c r="BY233" s="41"/>
      <c r="BZ233" s="41"/>
      <c r="CA233" s="41"/>
      <c r="CB233" s="41"/>
      <c r="CC233" s="41"/>
      <c r="CD233" s="41"/>
      <c r="CE233" s="41"/>
      <c r="CF233" s="41"/>
      <c r="CG233" s="41"/>
      <c r="CH233" s="41"/>
      <c r="CI233" s="41"/>
      <c r="CJ233" s="41"/>
      <c r="CK233" s="41"/>
      <c r="CL233" s="41"/>
      <c r="CM233" s="41"/>
      <c r="CN233" s="41"/>
      <c r="CO233" s="41"/>
      <c r="CP233" s="41"/>
      <c r="CQ233" s="41"/>
      <c r="CR233" s="41"/>
      <c r="CS233" s="41"/>
      <c r="CT233" s="41"/>
      <c r="CU233" s="41"/>
      <c r="CV233" s="41"/>
      <c r="CW233" s="41"/>
    </row>
    <row r="234" spans="1:101" ht="16.5" x14ac:dyDescent="0.35">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c r="AJ234" s="41"/>
      <c r="AK234" s="41"/>
      <c r="AL234" s="41"/>
      <c r="AM234" s="41"/>
      <c r="AN234" s="41"/>
      <c r="AO234" s="41"/>
      <c r="AP234" s="41"/>
      <c r="AQ234" s="41"/>
      <c r="AR234" s="41"/>
      <c r="AS234" s="41"/>
      <c r="AT234" s="41"/>
      <c r="AU234" s="41"/>
      <c r="AV234" s="41"/>
      <c r="AW234" s="41"/>
      <c r="AX234" s="41"/>
      <c r="AY234" s="41"/>
      <c r="AZ234" s="41"/>
      <c r="BA234" s="41"/>
      <c r="BB234" s="41"/>
      <c r="BC234" s="41"/>
      <c r="BD234" s="41"/>
      <c r="BE234" s="41"/>
      <c r="BF234" s="41"/>
      <c r="BG234" s="41"/>
      <c r="BH234" s="41"/>
      <c r="BI234" s="41"/>
      <c r="BJ234" s="41"/>
      <c r="BK234" s="41"/>
      <c r="BL234" s="41"/>
      <c r="BM234" s="41"/>
      <c r="BN234" s="41"/>
      <c r="BO234" s="41"/>
      <c r="BP234" s="41"/>
      <c r="BQ234" s="41"/>
      <c r="BR234" s="41"/>
      <c r="BS234" s="41"/>
      <c r="BT234" s="41"/>
      <c r="BU234" s="41"/>
      <c r="BV234" s="41"/>
      <c r="BW234" s="41"/>
      <c r="BX234" s="41"/>
      <c r="BY234" s="41"/>
      <c r="BZ234" s="41"/>
      <c r="CA234" s="41"/>
      <c r="CB234" s="41"/>
      <c r="CC234" s="41"/>
      <c r="CD234" s="41"/>
      <c r="CE234" s="41"/>
      <c r="CF234" s="41"/>
      <c r="CG234" s="41"/>
      <c r="CH234" s="41"/>
      <c r="CI234" s="41"/>
      <c r="CJ234" s="41"/>
      <c r="CK234" s="41"/>
      <c r="CL234" s="41"/>
      <c r="CM234" s="41"/>
      <c r="CN234" s="41"/>
      <c r="CO234" s="41"/>
      <c r="CP234" s="41"/>
      <c r="CQ234" s="41"/>
      <c r="CR234" s="41"/>
      <c r="CS234" s="41"/>
      <c r="CT234" s="41"/>
      <c r="CU234" s="41"/>
      <c r="CV234" s="41"/>
      <c r="CW234" s="41"/>
    </row>
    <row r="235" spans="1:101" ht="16.5" x14ac:dyDescent="0.35">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c r="AM235" s="41"/>
      <c r="AN235" s="41"/>
      <c r="AO235" s="41"/>
      <c r="AP235" s="41"/>
      <c r="AQ235" s="41"/>
      <c r="AR235" s="41"/>
      <c r="AS235" s="41"/>
      <c r="AT235" s="41"/>
      <c r="AU235" s="41"/>
      <c r="AV235" s="41"/>
      <c r="AW235" s="41"/>
      <c r="AX235" s="41"/>
      <c r="AY235" s="41"/>
      <c r="AZ235" s="41"/>
      <c r="BA235" s="41"/>
      <c r="BB235" s="41"/>
      <c r="BC235" s="41"/>
      <c r="BD235" s="41"/>
      <c r="BE235" s="41"/>
      <c r="BF235" s="41"/>
      <c r="BG235" s="41"/>
      <c r="BH235" s="41"/>
      <c r="BI235" s="41"/>
      <c r="BJ235" s="41"/>
      <c r="BK235" s="41"/>
      <c r="BL235" s="41"/>
      <c r="BM235" s="41"/>
      <c r="BN235" s="41"/>
      <c r="BO235" s="41"/>
      <c r="BP235" s="41"/>
      <c r="BQ235" s="41"/>
      <c r="BR235" s="41"/>
      <c r="BS235" s="41"/>
      <c r="BT235" s="41"/>
      <c r="BU235" s="41"/>
      <c r="BV235" s="41"/>
      <c r="BW235" s="41"/>
      <c r="BX235" s="41"/>
      <c r="BY235" s="41"/>
      <c r="BZ235" s="41"/>
      <c r="CA235" s="41"/>
      <c r="CB235" s="41"/>
      <c r="CC235" s="41"/>
      <c r="CD235" s="41"/>
      <c r="CE235" s="41"/>
      <c r="CF235" s="41"/>
      <c r="CG235" s="41"/>
      <c r="CH235" s="41"/>
      <c r="CI235" s="41"/>
      <c r="CJ235" s="41"/>
      <c r="CK235" s="41"/>
      <c r="CL235" s="41"/>
      <c r="CM235" s="41"/>
      <c r="CN235" s="41"/>
      <c r="CO235" s="41"/>
      <c r="CP235" s="41"/>
      <c r="CQ235" s="41"/>
      <c r="CR235" s="41"/>
      <c r="CS235" s="41"/>
      <c r="CT235" s="41"/>
      <c r="CU235" s="41"/>
      <c r="CV235" s="41"/>
      <c r="CW235" s="41"/>
    </row>
    <row r="236" spans="1:101" ht="16.5" x14ac:dyDescent="0.35">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c r="AM236" s="41"/>
      <c r="AN236" s="41"/>
      <c r="AO236" s="41"/>
      <c r="AP236" s="41"/>
      <c r="AQ236" s="41"/>
      <c r="AR236" s="41"/>
      <c r="AS236" s="41"/>
      <c r="AT236" s="41"/>
      <c r="AU236" s="41"/>
      <c r="AV236" s="41"/>
      <c r="AW236" s="41"/>
      <c r="AX236" s="41"/>
      <c r="AY236" s="41"/>
      <c r="AZ236" s="41"/>
      <c r="BA236" s="41"/>
      <c r="BB236" s="41"/>
      <c r="BC236" s="41"/>
      <c r="BD236" s="41"/>
      <c r="BE236" s="41"/>
      <c r="BF236" s="41"/>
      <c r="BG236" s="41"/>
      <c r="BH236" s="41"/>
      <c r="BI236" s="41"/>
      <c r="BJ236" s="41"/>
      <c r="BK236" s="41"/>
      <c r="BL236" s="41"/>
      <c r="BM236" s="41"/>
      <c r="BN236" s="41"/>
      <c r="BO236" s="41"/>
      <c r="BP236" s="41"/>
      <c r="BQ236" s="41"/>
      <c r="BR236" s="41"/>
      <c r="BS236" s="41"/>
      <c r="BT236" s="41"/>
      <c r="BU236" s="41"/>
      <c r="BV236" s="41"/>
      <c r="BW236" s="41"/>
      <c r="BX236" s="41"/>
      <c r="BY236" s="41"/>
      <c r="BZ236" s="41"/>
      <c r="CA236" s="41"/>
      <c r="CB236" s="41"/>
      <c r="CC236" s="41"/>
      <c r="CD236" s="41"/>
      <c r="CE236" s="41"/>
      <c r="CF236" s="41"/>
      <c r="CG236" s="41"/>
      <c r="CH236" s="41"/>
      <c r="CI236" s="41"/>
      <c r="CJ236" s="41"/>
      <c r="CK236" s="41"/>
      <c r="CL236" s="41"/>
      <c r="CM236" s="41"/>
      <c r="CN236" s="41"/>
      <c r="CO236" s="41"/>
      <c r="CP236" s="41"/>
      <c r="CQ236" s="41"/>
      <c r="CR236" s="41"/>
      <c r="CS236" s="41"/>
      <c r="CT236" s="41"/>
      <c r="CU236" s="41"/>
      <c r="CV236" s="41"/>
      <c r="CW236" s="41"/>
    </row>
    <row r="237" spans="1:101" ht="16.5" x14ac:dyDescent="0.35">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c r="AJ237" s="41"/>
      <c r="AK237" s="41"/>
      <c r="AL237" s="41"/>
      <c r="AM237" s="41"/>
      <c r="AN237" s="41"/>
      <c r="AO237" s="41"/>
      <c r="AP237" s="41"/>
      <c r="AQ237" s="41"/>
      <c r="AR237" s="41"/>
      <c r="AS237" s="41"/>
      <c r="AT237" s="41"/>
      <c r="AU237" s="41"/>
      <c r="AV237" s="41"/>
      <c r="AW237" s="41"/>
      <c r="AX237" s="41"/>
      <c r="AY237" s="41"/>
      <c r="AZ237" s="41"/>
      <c r="BA237" s="41"/>
      <c r="BB237" s="41"/>
      <c r="BC237" s="41"/>
      <c r="BD237" s="41"/>
      <c r="BE237" s="41"/>
      <c r="BF237" s="41"/>
      <c r="BG237" s="41"/>
      <c r="BH237" s="41"/>
      <c r="BI237" s="41"/>
      <c r="BJ237" s="41"/>
      <c r="BK237" s="41"/>
      <c r="BL237" s="41"/>
      <c r="BM237" s="41"/>
      <c r="BN237" s="41"/>
      <c r="BO237" s="41"/>
      <c r="BP237" s="41"/>
      <c r="BQ237" s="41"/>
      <c r="BR237" s="41"/>
      <c r="BS237" s="41"/>
      <c r="BT237" s="41"/>
      <c r="BU237" s="41"/>
      <c r="BV237" s="41"/>
      <c r="BW237" s="41"/>
      <c r="BX237" s="41"/>
      <c r="BY237" s="41"/>
      <c r="BZ237" s="41"/>
      <c r="CA237" s="41"/>
      <c r="CB237" s="41"/>
      <c r="CC237" s="41"/>
      <c r="CD237" s="41"/>
      <c r="CE237" s="41"/>
      <c r="CF237" s="41"/>
      <c r="CG237" s="41"/>
      <c r="CH237" s="41"/>
      <c r="CI237" s="41"/>
      <c r="CJ237" s="41"/>
      <c r="CK237" s="41"/>
      <c r="CL237" s="41"/>
      <c r="CM237" s="41"/>
      <c r="CN237" s="41"/>
      <c r="CO237" s="41"/>
      <c r="CP237" s="41"/>
      <c r="CQ237" s="41"/>
      <c r="CR237" s="41"/>
      <c r="CS237" s="41"/>
      <c r="CT237" s="41"/>
      <c r="CU237" s="41"/>
      <c r="CV237" s="41"/>
      <c r="CW237" s="41"/>
    </row>
    <row r="238" spans="1:101" ht="16.5" x14ac:dyDescent="0.35">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c r="AJ238" s="41"/>
      <c r="AK238" s="41"/>
      <c r="AL238" s="41"/>
      <c r="AM238" s="41"/>
      <c r="AN238" s="41"/>
      <c r="AO238" s="41"/>
      <c r="AP238" s="41"/>
      <c r="AQ238" s="41"/>
      <c r="AR238" s="41"/>
      <c r="AS238" s="41"/>
      <c r="AT238" s="41"/>
      <c r="AU238" s="41"/>
      <c r="AV238" s="41"/>
      <c r="AW238" s="41"/>
      <c r="AX238" s="41"/>
      <c r="AY238" s="41"/>
      <c r="AZ238" s="41"/>
      <c r="BA238" s="41"/>
      <c r="BB238" s="41"/>
      <c r="BC238" s="41"/>
      <c r="BD238" s="41"/>
      <c r="BE238" s="41"/>
      <c r="BF238" s="41"/>
      <c r="BG238" s="41"/>
      <c r="BH238" s="41"/>
      <c r="BI238" s="41"/>
      <c r="BJ238" s="41"/>
      <c r="BK238" s="41"/>
      <c r="BL238" s="41"/>
      <c r="BM238" s="41"/>
      <c r="BN238" s="41"/>
      <c r="BO238" s="41"/>
      <c r="BP238" s="41"/>
      <c r="BQ238" s="41"/>
      <c r="BR238" s="41"/>
      <c r="BS238" s="41"/>
      <c r="BT238" s="41"/>
      <c r="BU238" s="41"/>
      <c r="BV238" s="41"/>
      <c r="BW238" s="41"/>
      <c r="BX238" s="41"/>
      <c r="BY238" s="41"/>
      <c r="BZ238" s="41"/>
      <c r="CA238" s="41"/>
      <c r="CB238" s="41"/>
      <c r="CC238" s="41"/>
      <c r="CD238" s="41"/>
      <c r="CE238" s="41"/>
      <c r="CF238" s="41"/>
      <c r="CG238" s="41"/>
      <c r="CH238" s="41"/>
      <c r="CI238" s="41"/>
      <c r="CJ238" s="41"/>
      <c r="CK238" s="41"/>
      <c r="CL238" s="41"/>
      <c r="CM238" s="41"/>
      <c r="CN238" s="41"/>
      <c r="CO238" s="41"/>
      <c r="CP238" s="41"/>
      <c r="CQ238" s="41"/>
      <c r="CR238" s="41"/>
      <c r="CS238" s="41"/>
      <c r="CT238" s="41"/>
      <c r="CU238" s="41"/>
      <c r="CV238" s="41"/>
      <c r="CW238" s="41"/>
    </row>
    <row r="239" spans="1:101" ht="16.5" x14ac:dyDescent="0.35">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c r="AJ239" s="41"/>
      <c r="AK239" s="41"/>
      <c r="AL239" s="41"/>
      <c r="AM239" s="41"/>
      <c r="AN239" s="41"/>
      <c r="AO239" s="41"/>
      <c r="AP239" s="41"/>
      <c r="AQ239" s="41"/>
      <c r="AR239" s="41"/>
      <c r="AS239" s="41"/>
      <c r="AT239" s="41"/>
      <c r="AU239" s="41"/>
      <c r="AV239" s="41"/>
      <c r="AW239" s="41"/>
      <c r="AX239" s="41"/>
      <c r="AY239" s="41"/>
      <c r="AZ239" s="41"/>
      <c r="BA239" s="41"/>
      <c r="BB239" s="41"/>
      <c r="BC239" s="41"/>
      <c r="BD239" s="41"/>
      <c r="BE239" s="41"/>
      <c r="BF239" s="41"/>
      <c r="BG239" s="41"/>
      <c r="BH239" s="41"/>
      <c r="BI239" s="41"/>
      <c r="BJ239" s="41"/>
      <c r="BK239" s="41"/>
      <c r="BL239" s="41"/>
      <c r="BM239" s="41"/>
      <c r="BN239" s="41"/>
      <c r="BO239" s="41"/>
      <c r="BP239" s="41"/>
      <c r="BQ239" s="41"/>
      <c r="BR239" s="41"/>
      <c r="BS239" s="41"/>
      <c r="BT239" s="41"/>
      <c r="BU239" s="41"/>
      <c r="BV239" s="41"/>
      <c r="BW239" s="41"/>
      <c r="BX239" s="41"/>
      <c r="BY239" s="41"/>
      <c r="BZ239" s="41"/>
      <c r="CA239" s="41"/>
      <c r="CB239" s="41"/>
      <c r="CC239" s="41"/>
      <c r="CD239" s="41"/>
      <c r="CE239" s="41"/>
      <c r="CF239" s="41"/>
      <c r="CG239" s="41"/>
      <c r="CH239" s="41"/>
      <c r="CI239" s="41"/>
      <c r="CJ239" s="41"/>
      <c r="CK239" s="41"/>
      <c r="CL239" s="41"/>
      <c r="CM239" s="41"/>
      <c r="CN239" s="41"/>
      <c r="CO239" s="41"/>
      <c r="CP239" s="41"/>
      <c r="CQ239" s="41"/>
      <c r="CR239" s="41"/>
      <c r="CS239" s="41"/>
      <c r="CT239" s="41"/>
      <c r="CU239" s="41"/>
      <c r="CV239" s="41"/>
      <c r="CW239" s="41"/>
    </row>
    <row r="240" spans="1:101" ht="16.5" x14ac:dyDescent="0.35">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41"/>
      <c r="AW240" s="41"/>
      <c r="AX240" s="41"/>
      <c r="AY240" s="41"/>
      <c r="AZ240" s="41"/>
      <c r="BA240" s="41"/>
      <c r="BB240" s="41"/>
      <c r="BC240" s="41"/>
      <c r="BD240" s="41"/>
      <c r="BE240" s="41"/>
      <c r="BF240" s="41"/>
      <c r="BG240" s="41"/>
      <c r="BH240" s="41"/>
      <c r="BI240" s="41"/>
      <c r="BJ240" s="41"/>
      <c r="BK240" s="41"/>
      <c r="BL240" s="41"/>
      <c r="BM240" s="41"/>
      <c r="BN240" s="41"/>
      <c r="BO240" s="41"/>
      <c r="BP240" s="41"/>
      <c r="BQ240" s="41"/>
      <c r="BR240" s="41"/>
      <c r="BS240" s="41"/>
      <c r="BT240" s="41"/>
      <c r="BU240" s="41"/>
      <c r="BV240" s="41"/>
      <c r="BW240" s="41"/>
      <c r="BX240" s="41"/>
      <c r="BY240" s="41"/>
      <c r="BZ240" s="41"/>
      <c r="CA240" s="41"/>
      <c r="CB240" s="41"/>
      <c r="CC240" s="41"/>
      <c r="CD240" s="41"/>
      <c r="CE240" s="41"/>
      <c r="CF240" s="41"/>
      <c r="CG240" s="41"/>
      <c r="CH240" s="41"/>
      <c r="CI240" s="41"/>
      <c r="CJ240" s="41"/>
      <c r="CK240" s="41"/>
      <c r="CL240" s="41"/>
      <c r="CM240" s="41"/>
      <c r="CN240" s="41"/>
      <c r="CO240" s="41"/>
      <c r="CP240" s="41"/>
      <c r="CQ240" s="41"/>
      <c r="CR240" s="41"/>
      <c r="CS240" s="41"/>
      <c r="CT240" s="41"/>
      <c r="CU240" s="41"/>
      <c r="CV240" s="41"/>
      <c r="CW240" s="41"/>
    </row>
    <row r="241" spans="1:101" ht="16.5" x14ac:dyDescent="0.35">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c r="AJ241" s="41"/>
      <c r="AK241" s="41"/>
      <c r="AL241" s="41"/>
      <c r="AM241" s="41"/>
      <c r="AN241" s="41"/>
      <c r="AO241" s="41"/>
      <c r="AP241" s="41"/>
      <c r="AQ241" s="41"/>
      <c r="AR241" s="41"/>
      <c r="AS241" s="41"/>
      <c r="AT241" s="41"/>
      <c r="AU241" s="41"/>
      <c r="AV241" s="41"/>
      <c r="AW241" s="41"/>
      <c r="AX241" s="41"/>
      <c r="AY241" s="41"/>
      <c r="AZ241" s="41"/>
      <c r="BA241" s="41"/>
      <c r="BB241" s="41"/>
      <c r="BC241" s="41"/>
      <c r="BD241" s="41"/>
      <c r="BE241" s="41"/>
      <c r="BF241" s="41"/>
      <c r="BG241" s="41"/>
      <c r="BH241" s="41"/>
      <c r="BI241" s="41"/>
      <c r="BJ241" s="41"/>
      <c r="BK241" s="41"/>
      <c r="BL241" s="41"/>
      <c r="BM241" s="41"/>
      <c r="BN241" s="41"/>
      <c r="BO241" s="41"/>
      <c r="BP241" s="41"/>
      <c r="BQ241" s="41"/>
      <c r="BR241" s="41"/>
      <c r="BS241" s="41"/>
      <c r="BT241" s="41"/>
      <c r="BU241" s="41"/>
      <c r="BV241" s="41"/>
      <c r="BW241" s="41"/>
      <c r="BX241" s="41"/>
      <c r="BY241" s="41"/>
      <c r="BZ241" s="41"/>
      <c r="CA241" s="41"/>
      <c r="CB241" s="41"/>
      <c r="CC241" s="41"/>
      <c r="CD241" s="41"/>
      <c r="CE241" s="41"/>
      <c r="CF241" s="41"/>
      <c r="CG241" s="41"/>
      <c r="CH241" s="41"/>
      <c r="CI241" s="41"/>
      <c r="CJ241" s="41"/>
      <c r="CK241" s="41"/>
      <c r="CL241" s="41"/>
      <c r="CM241" s="41"/>
      <c r="CN241" s="41"/>
      <c r="CO241" s="41"/>
      <c r="CP241" s="41"/>
      <c r="CQ241" s="41"/>
      <c r="CR241" s="41"/>
      <c r="CS241" s="41"/>
      <c r="CT241" s="41"/>
      <c r="CU241" s="41"/>
      <c r="CV241" s="41"/>
      <c r="CW241" s="41"/>
    </row>
    <row r="242" spans="1:101" ht="16.5" x14ac:dyDescent="0.35">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c r="AM242" s="41"/>
      <c r="AN242" s="41"/>
      <c r="AO242" s="41"/>
      <c r="AP242" s="41"/>
      <c r="AQ242" s="41"/>
      <c r="AR242" s="41"/>
      <c r="AS242" s="41"/>
      <c r="AT242" s="41"/>
      <c r="AU242" s="41"/>
      <c r="AV242" s="41"/>
      <c r="AW242" s="41"/>
      <c r="AX242" s="41"/>
      <c r="AY242" s="41"/>
      <c r="AZ242" s="41"/>
      <c r="BA242" s="41"/>
      <c r="BB242" s="41"/>
      <c r="BC242" s="41"/>
      <c r="BD242" s="41"/>
      <c r="BE242" s="41"/>
      <c r="BF242" s="41"/>
      <c r="BG242" s="41"/>
      <c r="BH242" s="41"/>
      <c r="BI242" s="41"/>
      <c r="BJ242" s="41"/>
      <c r="BK242" s="41"/>
      <c r="BL242" s="41"/>
      <c r="BM242" s="41"/>
      <c r="BN242" s="41"/>
      <c r="BO242" s="41"/>
      <c r="BP242" s="41"/>
      <c r="BQ242" s="41"/>
      <c r="BR242" s="41"/>
      <c r="BS242" s="41"/>
      <c r="BT242" s="41"/>
      <c r="BU242" s="41"/>
      <c r="BV242" s="41"/>
      <c r="BW242" s="41"/>
      <c r="BX242" s="41"/>
      <c r="BY242" s="41"/>
      <c r="BZ242" s="41"/>
      <c r="CA242" s="41"/>
      <c r="CB242" s="41"/>
      <c r="CC242" s="41"/>
      <c r="CD242" s="41"/>
      <c r="CE242" s="41"/>
      <c r="CF242" s="41"/>
      <c r="CG242" s="41"/>
      <c r="CH242" s="41"/>
      <c r="CI242" s="41"/>
      <c r="CJ242" s="41"/>
      <c r="CK242" s="41"/>
      <c r="CL242" s="41"/>
      <c r="CM242" s="41"/>
      <c r="CN242" s="41"/>
      <c r="CO242" s="41"/>
      <c r="CP242" s="41"/>
      <c r="CQ242" s="41"/>
      <c r="CR242" s="41"/>
      <c r="CS242" s="41"/>
      <c r="CT242" s="41"/>
      <c r="CU242" s="41"/>
      <c r="CV242" s="41"/>
      <c r="CW242" s="41"/>
    </row>
    <row r="243" spans="1:101" ht="16.5" x14ac:dyDescent="0.35">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c r="AJ243" s="41"/>
      <c r="AK243" s="41"/>
      <c r="AL243" s="41"/>
      <c r="AM243" s="41"/>
      <c r="AN243" s="41"/>
      <c r="AO243" s="41"/>
      <c r="AP243" s="41"/>
      <c r="AQ243" s="41"/>
      <c r="AR243" s="41"/>
      <c r="AS243" s="41"/>
      <c r="AT243" s="41"/>
      <c r="AU243" s="41"/>
      <c r="AV243" s="41"/>
      <c r="AW243" s="41"/>
      <c r="AX243" s="41"/>
      <c r="AY243" s="41"/>
      <c r="AZ243" s="41"/>
      <c r="BA243" s="41"/>
      <c r="BB243" s="41"/>
      <c r="BC243" s="41"/>
      <c r="BD243" s="41"/>
      <c r="BE243" s="41"/>
      <c r="BF243" s="41"/>
      <c r="BG243" s="41"/>
      <c r="BH243" s="41"/>
      <c r="BI243" s="41"/>
      <c r="BJ243" s="41"/>
      <c r="BK243" s="41"/>
      <c r="BL243" s="41"/>
      <c r="BM243" s="41"/>
      <c r="BN243" s="41"/>
      <c r="BO243" s="41"/>
      <c r="BP243" s="41"/>
      <c r="BQ243" s="41"/>
      <c r="BR243" s="41"/>
      <c r="BS243" s="41"/>
      <c r="BT243" s="41"/>
      <c r="BU243" s="41"/>
      <c r="BV243" s="41"/>
      <c r="BW243" s="41"/>
      <c r="BX243" s="41"/>
      <c r="BY243" s="41"/>
      <c r="BZ243" s="41"/>
      <c r="CA243" s="41"/>
      <c r="CB243" s="41"/>
      <c r="CC243" s="41"/>
      <c r="CD243" s="41"/>
      <c r="CE243" s="41"/>
      <c r="CF243" s="41"/>
      <c r="CG243" s="41"/>
      <c r="CH243" s="41"/>
      <c r="CI243" s="41"/>
      <c r="CJ243" s="41"/>
      <c r="CK243" s="41"/>
      <c r="CL243" s="41"/>
      <c r="CM243" s="41"/>
      <c r="CN243" s="41"/>
      <c r="CO243" s="41"/>
      <c r="CP243" s="41"/>
      <c r="CQ243" s="41"/>
      <c r="CR243" s="41"/>
      <c r="CS243" s="41"/>
      <c r="CT243" s="41"/>
      <c r="CU243" s="41"/>
      <c r="CV243" s="41"/>
      <c r="CW243" s="41"/>
    </row>
    <row r="244" spans="1:101" ht="16.5" x14ac:dyDescent="0.35">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c r="AM244" s="41"/>
      <c r="AN244" s="41"/>
      <c r="AO244" s="41"/>
      <c r="AP244" s="41"/>
      <c r="AQ244" s="41"/>
      <c r="AR244" s="41"/>
      <c r="AS244" s="41"/>
      <c r="AT244" s="41"/>
      <c r="AU244" s="41"/>
      <c r="AV244" s="41"/>
      <c r="AW244" s="41"/>
      <c r="AX244" s="41"/>
      <c r="AY244" s="41"/>
      <c r="AZ244" s="41"/>
      <c r="BA244" s="41"/>
      <c r="BB244" s="41"/>
      <c r="BC244" s="41"/>
      <c r="BD244" s="41"/>
      <c r="BE244" s="41"/>
      <c r="BF244" s="41"/>
      <c r="BG244" s="41"/>
      <c r="BH244" s="41"/>
      <c r="BI244" s="41"/>
      <c r="BJ244" s="41"/>
      <c r="BK244" s="41"/>
      <c r="BL244" s="41"/>
      <c r="BM244" s="41"/>
      <c r="BN244" s="41"/>
      <c r="BO244" s="41"/>
      <c r="BP244" s="41"/>
      <c r="BQ244" s="41"/>
      <c r="BR244" s="41"/>
      <c r="BS244" s="41"/>
      <c r="BT244" s="41"/>
      <c r="BU244" s="41"/>
      <c r="BV244" s="41"/>
      <c r="BW244" s="41"/>
      <c r="BX244" s="41"/>
      <c r="BY244" s="41"/>
      <c r="BZ244" s="41"/>
      <c r="CA244" s="41"/>
      <c r="CB244" s="41"/>
      <c r="CC244" s="41"/>
      <c r="CD244" s="41"/>
      <c r="CE244" s="41"/>
      <c r="CF244" s="41"/>
      <c r="CG244" s="41"/>
      <c r="CH244" s="41"/>
      <c r="CI244" s="41"/>
      <c r="CJ244" s="41"/>
      <c r="CK244" s="41"/>
      <c r="CL244" s="41"/>
      <c r="CM244" s="41"/>
      <c r="CN244" s="41"/>
      <c r="CO244" s="41"/>
      <c r="CP244" s="41"/>
      <c r="CQ244" s="41"/>
      <c r="CR244" s="41"/>
      <c r="CS244" s="41"/>
      <c r="CT244" s="41"/>
      <c r="CU244" s="41"/>
      <c r="CV244" s="41"/>
      <c r="CW244" s="41"/>
    </row>
    <row r="245" spans="1:101" ht="16.5" x14ac:dyDescent="0.35">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41"/>
      <c r="AZ245" s="41"/>
      <c r="BA245" s="41"/>
      <c r="BB245" s="41"/>
      <c r="BC245" s="41"/>
      <c r="BD245" s="41"/>
      <c r="BE245" s="41"/>
      <c r="BF245" s="41"/>
      <c r="BG245" s="41"/>
      <c r="BH245" s="41"/>
      <c r="BI245" s="41"/>
      <c r="BJ245" s="41"/>
      <c r="BK245" s="41"/>
      <c r="BL245" s="41"/>
      <c r="BM245" s="41"/>
      <c r="BN245" s="41"/>
      <c r="BO245" s="41"/>
      <c r="BP245" s="41"/>
      <c r="BQ245" s="41"/>
      <c r="BR245" s="41"/>
      <c r="BS245" s="41"/>
      <c r="BT245" s="41"/>
      <c r="BU245" s="41"/>
      <c r="BV245" s="41"/>
      <c r="BW245" s="41"/>
      <c r="BX245" s="41"/>
      <c r="BY245" s="41"/>
      <c r="BZ245" s="41"/>
      <c r="CA245" s="41"/>
      <c r="CB245" s="41"/>
      <c r="CC245" s="41"/>
      <c r="CD245" s="41"/>
      <c r="CE245" s="41"/>
      <c r="CF245" s="41"/>
      <c r="CG245" s="41"/>
      <c r="CH245" s="41"/>
      <c r="CI245" s="41"/>
      <c r="CJ245" s="41"/>
      <c r="CK245" s="41"/>
      <c r="CL245" s="41"/>
      <c r="CM245" s="41"/>
      <c r="CN245" s="41"/>
      <c r="CO245" s="41"/>
      <c r="CP245" s="41"/>
      <c r="CQ245" s="41"/>
      <c r="CR245" s="41"/>
      <c r="CS245" s="41"/>
      <c r="CT245" s="41"/>
      <c r="CU245" s="41"/>
      <c r="CV245" s="41"/>
      <c r="CW245" s="41"/>
    </row>
    <row r="246" spans="1:101" ht="16.5" x14ac:dyDescent="0.35">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c r="AJ246" s="41"/>
      <c r="AK246" s="41"/>
      <c r="AL246" s="41"/>
      <c r="AM246" s="41"/>
      <c r="AN246" s="41"/>
      <c r="AO246" s="41"/>
      <c r="AP246" s="41"/>
      <c r="AQ246" s="41"/>
      <c r="AR246" s="41"/>
      <c r="AS246" s="41"/>
      <c r="AT246" s="41"/>
      <c r="AU246" s="41"/>
      <c r="AV246" s="41"/>
      <c r="AW246" s="41"/>
      <c r="AX246" s="41"/>
      <c r="AY246" s="41"/>
      <c r="AZ246" s="41"/>
      <c r="BA246" s="41"/>
      <c r="BB246" s="41"/>
      <c r="BC246" s="41"/>
      <c r="BD246" s="41"/>
      <c r="BE246" s="41"/>
      <c r="BF246" s="41"/>
      <c r="BG246" s="41"/>
      <c r="BH246" s="41"/>
      <c r="BI246" s="41"/>
      <c r="BJ246" s="41"/>
      <c r="BK246" s="41"/>
      <c r="BL246" s="41"/>
      <c r="BM246" s="41"/>
      <c r="BN246" s="41"/>
      <c r="BO246" s="41"/>
      <c r="BP246" s="41"/>
      <c r="BQ246" s="41"/>
      <c r="BR246" s="41"/>
      <c r="BS246" s="41"/>
      <c r="BT246" s="41"/>
      <c r="BU246" s="41"/>
      <c r="BV246" s="41"/>
      <c r="BW246" s="41"/>
      <c r="BX246" s="41"/>
      <c r="BY246" s="41"/>
      <c r="BZ246" s="41"/>
      <c r="CA246" s="41"/>
      <c r="CB246" s="41"/>
      <c r="CC246" s="41"/>
      <c r="CD246" s="41"/>
      <c r="CE246" s="41"/>
      <c r="CF246" s="41"/>
      <c r="CG246" s="41"/>
      <c r="CH246" s="41"/>
      <c r="CI246" s="41"/>
      <c r="CJ246" s="41"/>
      <c r="CK246" s="41"/>
      <c r="CL246" s="41"/>
      <c r="CM246" s="41"/>
      <c r="CN246" s="41"/>
      <c r="CO246" s="41"/>
      <c r="CP246" s="41"/>
      <c r="CQ246" s="41"/>
      <c r="CR246" s="41"/>
      <c r="CS246" s="41"/>
      <c r="CT246" s="41"/>
      <c r="CU246" s="41"/>
      <c r="CV246" s="41"/>
      <c r="CW246" s="41"/>
    </row>
    <row r="247" spans="1:101" ht="16.5" x14ac:dyDescent="0.35">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c r="AJ247" s="41"/>
      <c r="AK247" s="41"/>
      <c r="AL247" s="41"/>
      <c r="AM247" s="41"/>
      <c r="AN247" s="41"/>
      <c r="AO247" s="41"/>
      <c r="AP247" s="41"/>
      <c r="AQ247" s="41"/>
      <c r="AR247" s="41"/>
      <c r="AS247" s="41"/>
      <c r="AT247" s="41"/>
      <c r="AU247" s="41"/>
      <c r="AV247" s="41"/>
      <c r="AW247" s="41"/>
      <c r="AX247" s="41"/>
      <c r="AY247" s="41"/>
      <c r="AZ247" s="41"/>
      <c r="BA247" s="41"/>
      <c r="BB247" s="41"/>
      <c r="BC247" s="41"/>
      <c r="BD247" s="41"/>
      <c r="BE247" s="41"/>
      <c r="BF247" s="41"/>
      <c r="BG247" s="41"/>
      <c r="BH247" s="41"/>
      <c r="BI247" s="41"/>
      <c r="BJ247" s="41"/>
      <c r="BK247" s="41"/>
      <c r="BL247" s="41"/>
      <c r="BM247" s="41"/>
      <c r="BN247" s="41"/>
      <c r="BO247" s="41"/>
      <c r="BP247" s="41"/>
      <c r="BQ247" s="41"/>
      <c r="BR247" s="41"/>
      <c r="BS247" s="41"/>
      <c r="BT247" s="41"/>
      <c r="BU247" s="41"/>
      <c r="BV247" s="41"/>
      <c r="BW247" s="41"/>
      <c r="BX247" s="41"/>
      <c r="BY247" s="41"/>
      <c r="BZ247" s="41"/>
      <c r="CA247" s="41"/>
      <c r="CB247" s="41"/>
      <c r="CC247" s="41"/>
      <c r="CD247" s="41"/>
      <c r="CE247" s="41"/>
      <c r="CF247" s="41"/>
      <c r="CG247" s="41"/>
      <c r="CH247" s="41"/>
      <c r="CI247" s="41"/>
      <c r="CJ247" s="41"/>
      <c r="CK247" s="41"/>
      <c r="CL247" s="41"/>
      <c r="CM247" s="41"/>
      <c r="CN247" s="41"/>
      <c r="CO247" s="41"/>
      <c r="CP247" s="41"/>
      <c r="CQ247" s="41"/>
      <c r="CR247" s="41"/>
      <c r="CS247" s="41"/>
      <c r="CT247" s="41"/>
      <c r="CU247" s="41"/>
      <c r="CV247" s="41"/>
      <c r="CW247" s="41"/>
    </row>
    <row r="248" spans="1:101" ht="16.5" x14ac:dyDescent="0.35">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c r="AJ248" s="41"/>
      <c r="AK248" s="41"/>
      <c r="AL248" s="41"/>
      <c r="AM248" s="41"/>
      <c r="AN248" s="41"/>
      <c r="AO248" s="41"/>
      <c r="AP248" s="41"/>
      <c r="AQ248" s="41"/>
      <c r="AR248" s="41"/>
      <c r="AS248" s="41"/>
      <c r="AT248" s="41"/>
      <c r="AU248" s="41"/>
      <c r="AV248" s="41"/>
      <c r="AW248" s="41"/>
      <c r="AX248" s="41"/>
      <c r="AY248" s="41"/>
      <c r="AZ248" s="41"/>
      <c r="BA248" s="41"/>
      <c r="BB248" s="41"/>
      <c r="BC248" s="41"/>
      <c r="BD248" s="41"/>
      <c r="BE248" s="41"/>
      <c r="BF248" s="41"/>
      <c r="BG248" s="41"/>
      <c r="BH248" s="41"/>
      <c r="BI248" s="41"/>
      <c r="BJ248" s="41"/>
      <c r="BK248" s="41"/>
      <c r="BL248" s="41"/>
      <c r="BM248" s="41"/>
      <c r="BN248" s="41"/>
      <c r="BO248" s="41"/>
      <c r="BP248" s="41"/>
      <c r="BQ248" s="41"/>
      <c r="BR248" s="41"/>
      <c r="BS248" s="41"/>
      <c r="BT248" s="41"/>
      <c r="BU248" s="41"/>
      <c r="BV248" s="41"/>
      <c r="BW248" s="41"/>
      <c r="BX248" s="41"/>
      <c r="BY248" s="41"/>
      <c r="BZ248" s="41"/>
      <c r="CA248" s="41"/>
      <c r="CB248" s="41"/>
      <c r="CC248" s="41"/>
      <c r="CD248" s="41"/>
      <c r="CE248" s="41"/>
      <c r="CF248" s="41"/>
      <c r="CG248" s="41"/>
      <c r="CH248" s="41"/>
      <c r="CI248" s="41"/>
      <c r="CJ248" s="41"/>
      <c r="CK248" s="41"/>
      <c r="CL248" s="41"/>
      <c r="CM248" s="41"/>
      <c r="CN248" s="41"/>
      <c r="CO248" s="41"/>
      <c r="CP248" s="41"/>
      <c r="CQ248" s="41"/>
      <c r="CR248" s="41"/>
      <c r="CS248" s="41"/>
      <c r="CT248" s="41"/>
      <c r="CU248" s="41"/>
      <c r="CV248" s="41"/>
      <c r="CW248" s="41"/>
    </row>
    <row r="249" spans="1:101" ht="16.5" x14ac:dyDescent="0.35">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c r="AM249" s="41"/>
      <c r="AN249" s="41"/>
      <c r="AO249" s="41"/>
      <c r="AP249" s="41"/>
      <c r="AQ249" s="41"/>
      <c r="AR249" s="41"/>
      <c r="AS249" s="41"/>
      <c r="AT249" s="41"/>
      <c r="AU249" s="41"/>
      <c r="AV249" s="41"/>
      <c r="AW249" s="41"/>
      <c r="AX249" s="41"/>
      <c r="AY249" s="41"/>
      <c r="AZ249" s="41"/>
      <c r="BA249" s="41"/>
      <c r="BB249" s="41"/>
      <c r="BC249" s="41"/>
      <c r="BD249" s="41"/>
      <c r="BE249" s="41"/>
      <c r="BF249" s="41"/>
      <c r="BG249" s="41"/>
      <c r="BH249" s="41"/>
      <c r="BI249" s="41"/>
      <c r="BJ249" s="41"/>
      <c r="BK249" s="41"/>
      <c r="BL249" s="41"/>
      <c r="BM249" s="41"/>
      <c r="BN249" s="41"/>
      <c r="BO249" s="41"/>
      <c r="BP249" s="41"/>
      <c r="BQ249" s="41"/>
      <c r="BR249" s="41"/>
      <c r="BS249" s="41"/>
      <c r="BT249" s="41"/>
      <c r="BU249" s="41"/>
      <c r="BV249" s="41"/>
      <c r="BW249" s="41"/>
      <c r="BX249" s="41"/>
      <c r="BY249" s="41"/>
      <c r="BZ249" s="41"/>
      <c r="CA249" s="41"/>
      <c r="CB249" s="41"/>
      <c r="CC249" s="41"/>
      <c r="CD249" s="41"/>
      <c r="CE249" s="41"/>
      <c r="CF249" s="41"/>
      <c r="CG249" s="41"/>
      <c r="CH249" s="41"/>
      <c r="CI249" s="41"/>
      <c r="CJ249" s="41"/>
      <c r="CK249" s="41"/>
      <c r="CL249" s="41"/>
      <c r="CM249" s="41"/>
      <c r="CN249" s="41"/>
      <c r="CO249" s="41"/>
      <c r="CP249" s="41"/>
      <c r="CQ249" s="41"/>
      <c r="CR249" s="41"/>
      <c r="CS249" s="41"/>
      <c r="CT249" s="41"/>
      <c r="CU249" s="41"/>
      <c r="CV249" s="41"/>
      <c r="CW249" s="41"/>
    </row>
    <row r="250" spans="1:101" ht="16.5" x14ac:dyDescent="0.35">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41"/>
      <c r="AW250" s="41"/>
      <c r="AX250" s="41"/>
      <c r="AY250" s="41"/>
      <c r="AZ250" s="41"/>
      <c r="BA250" s="41"/>
      <c r="BB250" s="41"/>
      <c r="BC250" s="41"/>
      <c r="BD250" s="41"/>
      <c r="BE250" s="41"/>
      <c r="BF250" s="41"/>
      <c r="BG250" s="41"/>
      <c r="BH250" s="41"/>
      <c r="BI250" s="41"/>
      <c r="BJ250" s="41"/>
      <c r="BK250" s="41"/>
      <c r="BL250" s="41"/>
      <c r="BM250" s="41"/>
      <c r="BN250" s="41"/>
      <c r="BO250" s="41"/>
      <c r="BP250" s="41"/>
      <c r="BQ250" s="41"/>
      <c r="BR250" s="41"/>
      <c r="BS250" s="41"/>
      <c r="BT250" s="41"/>
      <c r="BU250" s="41"/>
      <c r="BV250" s="41"/>
      <c r="BW250" s="41"/>
      <c r="BX250" s="41"/>
      <c r="BY250" s="41"/>
      <c r="BZ250" s="41"/>
      <c r="CA250" s="41"/>
      <c r="CB250" s="41"/>
      <c r="CC250" s="41"/>
      <c r="CD250" s="41"/>
      <c r="CE250" s="41"/>
      <c r="CF250" s="41"/>
      <c r="CG250" s="41"/>
      <c r="CH250" s="41"/>
      <c r="CI250" s="41"/>
      <c r="CJ250" s="41"/>
      <c r="CK250" s="41"/>
      <c r="CL250" s="41"/>
      <c r="CM250" s="41"/>
      <c r="CN250" s="41"/>
      <c r="CO250" s="41"/>
      <c r="CP250" s="41"/>
      <c r="CQ250" s="41"/>
      <c r="CR250" s="41"/>
      <c r="CS250" s="41"/>
      <c r="CT250" s="41"/>
      <c r="CU250" s="41"/>
      <c r="CV250" s="41"/>
      <c r="CW250" s="41"/>
    </row>
    <row r="251" spans="1:101" ht="16.5" x14ac:dyDescent="0.35">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c r="AJ251" s="41"/>
      <c r="AK251" s="41"/>
      <c r="AL251" s="41"/>
      <c r="AM251" s="41"/>
      <c r="AN251" s="41"/>
      <c r="AO251" s="41"/>
      <c r="AP251" s="41"/>
      <c r="AQ251" s="41"/>
      <c r="AR251" s="41"/>
      <c r="AS251" s="41"/>
      <c r="AT251" s="41"/>
      <c r="AU251" s="41"/>
      <c r="AV251" s="41"/>
      <c r="AW251" s="41"/>
      <c r="AX251" s="41"/>
      <c r="AY251" s="41"/>
      <c r="AZ251" s="41"/>
      <c r="BA251" s="41"/>
      <c r="BB251" s="41"/>
      <c r="BC251" s="41"/>
      <c r="BD251" s="41"/>
      <c r="BE251" s="41"/>
      <c r="BF251" s="41"/>
      <c r="BG251" s="41"/>
      <c r="BH251" s="41"/>
      <c r="BI251" s="41"/>
      <c r="BJ251" s="41"/>
      <c r="BK251" s="41"/>
      <c r="BL251" s="41"/>
      <c r="BM251" s="41"/>
      <c r="BN251" s="41"/>
      <c r="BO251" s="41"/>
      <c r="BP251" s="41"/>
      <c r="BQ251" s="41"/>
      <c r="BR251" s="41"/>
      <c r="BS251" s="41"/>
      <c r="BT251" s="41"/>
      <c r="BU251" s="41"/>
      <c r="BV251" s="41"/>
      <c r="BW251" s="41"/>
      <c r="BX251" s="41"/>
      <c r="BY251" s="41"/>
      <c r="BZ251" s="41"/>
      <c r="CA251" s="41"/>
      <c r="CB251" s="41"/>
      <c r="CC251" s="41"/>
      <c r="CD251" s="41"/>
      <c r="CE251" s="41"/>
      <c r="CF251" s="41"/>
      <c r="CG251" s="41"/>
      <c r="CH251" s="41"/>
      <c r="CI251" s="41"/>
      <c r="CJ251" s="41"/>
      <c r="CK251" s="41"/>
      <c r="CL251" s="41"/>
      <c r="CM251" s="41"/>
      <c r="CN251" s="41"/>
      <c r="CO251" s="41"/>
      <c r="CP251" s="41"/>
      <c r="CQ251" s="41"/>
      <c r="CR251" s="41"/>
      <c r="CS251" s="41"/>
      <c r="CT251" s="41"/>
      <c r="CU251" s="41"/>
      <c r="CV251" s="41"/>
      <c r="CW251" s="41"/>
    </row>
    <row r="252" spans="1:101" ht="16.5" x14ac:dyDescent="0.35">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c r="AP252" s="41"/>
      <c r="AQ252" s="41"/>
      <c r="AR252" s="41"/>
      <c r="AS252" s="41"/>
      <c r="AT252" s="41"/>
      <c r="AU252" s="41"/>
      <c r="AV252" s="41"/>
      <c r="AW252" s="41"/>
      <c r="AX252" s="41"/>
      <c r="AY252" s="41"/>
      <c r="AZ252" s="41"/>
      <c r="BA252" s="41"/>
      <c r="BB252" s="41"/>
      <c r="BC252" s="41"/>
      <c r="BD252" s="41"/>
      <c r="BE252" s="41"/>
      <c r="BF252" s="41"/>
      <c r="BG252" s="41"/>
      <c r="BH252" s="41"/>
      <c r="BI252" s="41"/>
      <c r="BJ252" s="41"/>
      <c r="BK252" s="41"/>
      <c r="BL252" s="41"/>
      <c r="BM252" s="41"/>
      <c r="BN252" s="41"/>
      <c r="BO252" s="41"/>
      <c r="BP252" s="41"/>
      <c r="BQ252" s="41"/>
      <c r="BR252" s="41"/>
      <c r="BS252" s="41"/>
      <c r="BT252" s="41"/>
      <c r="BU252" s="41"/>
      <c r="BV252" s="41"/>
      <c r="BW252" s="41"/>
      <c r="BX252" s="41"/>
      <c r="BY252" s="41"/>
      <c r="BZ252" s="41"/>
      <c r="CA252" s="41"/>
      <c r="CB252" s="41"/>
      <c r="CC252" s="41"/>
      <c r="CD252" s="41"/>
      <c r="CE252" s="41"/>
      <c r="CF252" s="41"/>
      <c r="CG252" s="41"/>
      <c r="CH252" s="41"/>
      <c r="CI252" s="41"/>
      <c r="CJ252" s="41"/>
      <c r="CK252" s="41"/>
      <c r="CL252" s="41"/>
      <c r="CM252" s="41"/>
      <c r="CN252" s="41"/>
      <c r="CO252" s="41"/>
      <c r="CP252" s="41"/>
      <c r="CQ252" s="41"/>
      <c r="CR252" s="41"/>
      <c r="CS252" s="41"/>
      <c r="CT252" s="41"/>
      <c r="CU252" s="41"/>
      <c r="CV252" s="41"/>
      <c r="CW252" s="41"/>
    </row>
    <row r="253" spans="1:101" ht="16.5" x14ac:dyDescent="0.35">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c r="AW253" s="41"/>
      <c r="AX253" s="41"/>
      <c r="AY253" s="41"/>
      <c r="AZ253" s="41"/>
      <c r="BA253" s="41"/>
      <c r="BB253" s="41"/>
      <c r="BC253" s="41"/>
      <c r="BD253" s="41"/>
      <c r="BE253" s="41"/>
      <c r="BF253" s="41"/>
      <c r="BG253" s="41"/>
      <c r="BH253" s="41"/>
      <c r="BI253" s="41"/>
      <c r="BJ253" s="41"/>
      <c r="BK253" s="41"/>
      <c r="BL253" s="41"/>
      <c r="BM253" s="41"/>
      <c r="BN253" s="41"/>
      <c r="BO253" s="41"/>
      <c r="BP253" s="41"/>
      <c r="BQ253" s="41"/>
      <c r="BR253" s="41"/>
      <c r="BS253" s="41"/>
      <c r="BT253" s="41"/>
      <c r="BU253" s="41"/>
      <c r="BV253" s="41"/>
      <c r="BW253" s="41"/>
      <c r="BX253" s="41"/>
      <c r="BY253" s="41"/>
      <c r="BZ253" s="41"/>
      <c r="CA253" s="41"/>
      <c r="CB253" s="41"/>
      <c r="CC253" s="41"/>
      <c r="CD253" s="41"/>
      <c r="CE253" s="41"/>
      <c r="CF253" s="41"/>
      <c r="CG253" s="41"/>
      <c r="CH253" s="41"/>
      <c r="CI253" s="41"/>
      <c r="CJ253" s="41"/>
      <c r="CK253" s="41"/>
      <c r="CL253" s="41"/>
      <c r="CM253" s="41"/>
      <c r="CN253" s="41"/>
      <c r="CO253" s="41"/>
      <c r="CP253" s="41"/>
      <c r="CQ253" s="41"/>
      <c r="CR253" s="41"/>
      <c r="CS253" s="41"/>
      <c r="CT253" s="41"/>
      <c r="CU253" s="41"/>
      <c r="CV253" s="41"/>
      <c r="CW253" s="41"/>
    </row>
    <row r="254" spans="1:101" ht="16.5" x14ac:dyDescent="0.35">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c r="AJ254" s="41"/>
      <c r="AK254" s="41"/>
      <c r="AL254" s="41"/>
      <c r="AM254" s="41"/>
      <c r="AN254" s="41"/>
      <c r="AO254" s="41"/>
      <c r="AP254" s="41"/>
      <c r="AQ254" s="41"/>
      <c r="AR254" s="41"/>
      <c r="AS254" s="41"/>
      <c r="AT254" s="41"/>
      <c r="AU254" s="41"/>
      <c r="AV254" s="41"/>
      <c r="AW254" s="41"/>
      <c r="AX254" s="41"/>
      <c r="AY254" s="41"/>
      <c r="AZ254" s="41"/>
      <c r="BA254" s="41"/>
      <c r="BB254" s="41"/>
      <c r="BC254" s="41"/>
      <c r="BD254" s="41"/>
      <c r="BE254" s="41"/>
      <c r="BF254" s="41"/>
      <c r="BG254" s="41"/>
      <c r="BH254" s="41"/>
      <c r="BI254" s="41"/>
      <c r="BJ254" s="41"/>
      <c r="BK254" s="41"/>
      <c r="BL254" s="41"/>
      <c r="BM254" s="41"/>
      <c r="BN254" s="41"/>
      <c r="BO254" s="41"/>
      <c r="BP254" s="41"/>
      <c r="BQ254" s="41"/>
      <c r="BR254" s="41"/>
      <c r="BS254" s="41"/>
      <c r="BT254" s="41"/>
      <c r="BU254" s="41"/>
      <c r="BV254" s="41"/>
      <c r="BW254" s="41"/>
      <c r="BX254" s="41"/>
      <c r="BY254" s="41"/>
      <c r="BZ254" s="41"/>
      <c r="CA254" s="41"/>
      <c r="CB254" s="41"/>
      <c r="CC254" s="41"/>
      <c r="CD254" s="41"/>
      <c r="CE254" s="41"/>
      <c r="CF254" s="41"/>
      <c r="CG254" s="41"/>
      <c r="CH254" s="41"/>
      <c r="CI254" s="41"/>
      <c r="CJ254" s="41"/>
      <c r="CK254" s="41"/>
      <c r="CL254" s="41"/>
      <c r="CM254" s="41"/>
      <c r="CN254" s="41"/>
      <c r="CO254" s="41"/>
      <c r="CP254" s="41"/>
      <c r="CQ254" s="41"/>
      <c r="CR254" s="41"/>
      <c r="CS254" s="41"/>
      <c r="CT254" s="41"/>
      <c r="CU254" s="41"/>
      <c r="CV254" s="41"/>
      <c r="CW254" s="41"/>
    </row>
    <row r="255" spans="1:101" ht="16.5" x14ac:dyDescent="0.35">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c r="AJ255" s="41"/>
      <c r="AK255" s="41"/>
      <c r="AL255" s="41"/>
      <c r="AM255" s="41"/>
      <c r="AN255" s="41"/>
      <c r="AO255" s="41"/>
      <c r="AP255" s="41"/>
      <c r="AQ255" s="41"/>
      <c r="AR255" s="41"/>
      <c r="AS255" s="41"/>
      <c r="AT255" s="41"/>
      <c r="AU255" s="41"/>
      <c r="AV255" s="41"/>
      <c r="AW255" s="41"/>
      <c r="AX255" s="41"/>
      <c r="AY255" s="41"/>
      <c r="AZ255" s="41"/>
      <c r="BA255" s="41"/>
      <c r="BB255" s="41"/>
      <c r="BC255" s="41"/>
      <c r="BD255" s="41"/>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41"/>
      <c r="CW255" s="41"/>
    </row>
    <row r="256" spans="1:101" ht="16.5" x14ac:dyDescent="0.35">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c r="AJ256" s="41"/>
      <c r="AK256" s="41"/>
      <c r="AL256" s="41"/>
      <c r="AM256" s="41"/>
      <c r="AN256" s="41"/>
      <c r="AO256" s="41"/>
      <c r="AP256" s="41"/>
      <c r="AQ256" s="41"/>
      <c r="AR256" s="41"/>
      <c r="AS256" s="41"/>
      <c r="AT256" s="41"/>
      <c r="AU256" s="41"/>
      <c r="AV256" s="41"/>
      <c r="AW256" s="41"/>
      <c r="AX256" s="41"/>
      <c r="AY256" s="41"/>
      <c r="AZ256" s="41"/>
      <c r="BA256" s="41"/>
      <c r="BB256" s="41"/>
      <c r="BC256" s="41"/>
      <c r="BD256" s="41"/>
      <c r="BE256" s="41"/>
      <c r="BF256" s="41"/>
      <c r="BG256" s="41"/>
      <c r="BH256" s="41"/>
      <c r="BI256" s="41"/>
      <c r="BJ256" s="41"/>
      <c r="BK256" s="41"/>
      <c r="BL256" s="41"/>
      <c r="BM256" s="41"/>
      <c r="BN256" s="41"/>
      <c r="BO256" s="41"/>
      <c r="BP256" s="41"/>
      <c r="BQ256" s="41"/>
      <c r="BR256" s="41"/>
      <c r="BS256" s="41"/>
      <c r="BT256" s="41"/>
      <c r="BU256" s="41"/>
      <c r="BV256" s="41"/>
      <c r="BW256" s="41"/>
      <c r="BX256" s="41"/>
      <c r="BY256" s="41"/>
      <c r="BZ256" s="41"/>
      <c r="CA256" s="41"/>
      <c r="CB256" s="41"/>
      <c r="CC256" s="41"/>
      <c r="CD256" s="41"/>
      <c r="CE256" s="41"/>
      <c r="CF256" s="41"/>
      <c r="CG256" s="41"/>
      <c r="CH256" s="41"/>
      <c r="CI256" s="41"/>
      <c r="CJ256" s="41"/>
      <c r="CK256" s="41"/>
      <c r="CL256" s="41"/>
      <c r="CM256" s="41"/>
      <c r="CN256" s="41"/>
      <c r="CO256" s="41"/>
      <c r="CP256" s="41"/>
      <c r="CQ256" s="41"/>
      <c r="CR256" s="41"/>
      <c r="CS256" s="41"/>
      <c r="CT256" s="41"/>
      <c r="CU256" s="41"/>
      <c r="CV256" s="41"/>
      <c r="CW256" s="41"/>
    </row>
    <row r="257" spans="1:101" ht="16.5" x14ac:dyDescent="0.35">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c r="AJ257" s="41"/>
      <c r="AK257" s="41"/>
      <c r="AL257" s="41"/>
      <c r="AM257" s="41"/>
      <c r="AN257" s="41"/>
      <c r="AO257" s="41"/>
      <c r="AP257" s="41"/>
      <c r="AQ257" s="41"/>
      <c r="AR257" s="41"/>
      <c r="AS257" s="41"/>
      <c r="AT257" s="41"/>
      <c r="AU257" s="41"/>
      <c r="AV257" s="41"/>
      <c r="AW257" s="41"/>
      <c r="AX257" s="41"/>
      <c r="AY257" s="41"/>
      <c r="AZ257" s="41"/>
      <c r="BA257" s="41"/>
      <c r="BB257" s="41"/>
      <c r="BC257" s="41"/>
      <c r="BD257" s="41"/>
      <c r="BE257" s="41"/>
      <c r="BF257" s="41"/>
      <c r="BG257" s="41"/>
      <c r="BH257" s="41"/>
      <c r="BI257" s="41"/>
      <c r="BJ257" s="41"/>
      <c r="BK257" s="41"/>
      <c r="BL257" s="41"/>
      <c r="BM257" s="41"/>
      <c r="BN257" s="41"/>
      <c r="BO257" s="41"/>
      <c r="BP257" s="41"/>
      <c r="BQ257" s="41"/>
      <c r="BR257" s="41"/>
      <c r="BS257" s="41"/>
      <c r="BT257" s="41"/>
      <c r="BU257" s="41"/>
      <c r="BV257" s="41"/>
      <c r="BW257" s="41"/>
      <c r="BX257" s="41"/>
      <c r="BY257" s="41"/>
      <c r="BZ257" s="41"/>
      <c r="CA257" s="41"/>
      <c r="CB257" s="41"/>
      <c r="CC257" s="41"/>
      <c r="CD257" s="41"/>
      <c r="CE257" s="41"/>
      <c r="CF257" s="41"/>
      <c r="CG257" s="41"/>
      <c r="CH257" s="41"/>
      <c r="CI257" s="41"/>
      <c r="CJ257" s="41"/>
      <c r="CK257" s="41"/>
      <c r="CL257" s="41"/>
      <c r="CM257" s="41"/>
      <c r="CN257" s="41"/>
      <c r="CO257" s="41"/>
      <c r="CP257" s="41"/>
      <c r="CQ257" s="41"/>
      <c r="CR257" s="41"/>
      <c r="CS257" s="41"/>
      <c r="CT257" s="41"/>
      <c r="CU257" s="41"/>
      <c r="CV257" s="41"/>
      <c r="CW257" s="41"/>
    </row>
    <row r="258" spans="1:101" ht="16.5" x14ac:dyDescent="0.35">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1"/>
      <c r="AV258" s="41"/>
      <c r="AW258" s="41"/>
      <c r="AX258" s="41"/>
      <c r="AY258" s="41"/>
      <c r="AZ258" s="41"/>
      <c r="BA258" s="41"/>
      <c r="BB258" s="41"/>
      <c r="BC258" s="41"/>
      <c r="BD258" s="41"/>
      <c r="BE258" s="41"/>
      <c r="BF258" s="41"/>
      <c r="BG258" s="41"/>
      <c r="BH258" s="41"/>
      <c r="BI258" s="41"/>
      <c r="BJ258" s="41"/>
      <c r="BK258" s="41"/>
      <c r="BL258" s="41"/>
      <c r="BM258" s="41"/>
      <c r="BN258" s="41"/>
      <c r="BO258" s="41"/>
      <c r="BP258" s="41"/>
      <c r="BQ258" s="41"/>
      <c r="BR258" s="41"/>
      <c r="BS258" s="41"/>
      <c r="BT258" s="41"/>
      <c r="BU258" s="41"/>
      <c r="BV258" s="41"/>
      <c r="BW258" s="41"/>
      <c r="BX258" s="41"/>
      <c r="BY258" s="41"/>
      <c r="BZ258" s="41"/>
      <c r="CA258" s="41"/>
      <c r="CB258" s="41"/>
      <c r="CC258" s="41"/>
      <c r="CD258" s="41"/>
      <c r="CE258" s="41"/>
      <c r="CF258" s="41"/>
      <c r="CG258" s="41"/>
      <c r="CH258" s="41"/>
      <c r="CI258" s="41"/>
      <c r="CJ258" s="41"/>
      <c r="CK258" s="41"/>
      <c r="CL258" s="41"/>
      <c r="CM258" s="41"/>
      <c r="CN258" s="41"/>
      <c r="CO258" s="41"/>
      <c r="CP258" s="41"/>
      <c r="CQ258" s="41"/>
      <c r="CR258" s="41"/>
      <c r="CS258" s="41"/>
      <c r="CT258" s="41"/>
      <c r="CU258" s="41"/>
      <c r="CV258" s="41"/>
      <c r="CW258" s="41"/>
    </row>
    <row r="259" spans="1:101" ht="16.5" x14ac:dyDescent="0.35">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1"/>
      <c r="AV259" s="41"/>
      <c r="AW259" s="41"/>
      <c r="AX259" s="41"/>
      <c r="AY259" s="41"/>
      <c r="AZ259" s="41"/>
      <c r="BA259" s="41"/>
      <c r="BB259" s="41"/>
      <c r="BC259" s="41"/>
      <c r="BD259" s="41"/>
      <c r="BE259" s="41"/>
      <c r="BF259" s="41"/>
      <c r="BG259" s="41"/>
      <c r="BH259" s="41"/>
      <c r="BI259" s="41"/>
      <c r="BJ259" s="41"/>
      <c r="BK259" s="41"/>
      <c r="BL259" s="41"/>
      <c r="BM259" s="41"/>
      <c r="BN259" s="41"/>
      <c r="BO259" s="41"/>
      <c r="BP259" s="41"/>
      <c r="BQ259" s="41"/>
      <c r="BR259" s="41"/>
      <c r="BS259" s="41"/>
      <c r="BT259" s="41"/>
      <c r="BU259" s="41"/>
      <c r="BV259" s="41"/>
      <c r="BW259" s="41"/>
      <c r="BX259" s="41"/>
      <c r="BY259" s="41"/>
      <c r="BZ259" s="41"/>
      <c r="CA259" s="41"/>
      <c r="CB259" s="41"/>
      <c r="CC259" s="41"/>
      <c r="CD259" s="41"/>
      <c r="CE259" s="41"/>
      <c r="CF259" s="41"/>
      <c r="CG259" s="41"/>
      <c r="CH259" s="41"/>
      <c r="CI259" s="41"/>
      <c r="CJ259" s="41"/>
      <c r="CK259" s="41"/>
      <c r="CL259" s="41"/>
      <c r="CM259" s="41"/>
      <c r="CN259" s="41"/>
      <c r="CO259" s="41"/>
      <c r="CP259" s="41"/>
      <c r="CQ259" s="41"/>
      <c r="CR259" s="41"/>
      <c r="CS259" s="41"/>
      <c r="CT259" s="41"/>
      <c r="CU259" s="41"/>
      <c r="CV259" s="41"/>
      <c r="CW259" s="41"/>
    </row>
    <row r="260" spans="1:101" ht="16.5" x14ac:dyDescent="0.35">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1"/>
      <c r="AV260" s="41"/>
      <c r="AW260" s="41"/>
      <c r="AX260" s="41"/>
      <c r="AY260" s="41"/>
      <c r="AZ260" s="41"/>
      <c r="BA260" s="41"/>
      <c r="BB260" s="41"/>
      <c r="BC260" s="41"/>
      <c r="BD260" s="41"/>
      <c r="BE260" s="41"/>
      <c r="BF260" s="41"/>
      <c r="BG260" s="41"/>
      <c r="BH260" s="41"/>
      <c r="BI260" s="41"/>
      <c r="BJ260" s="41"/>
      <c r="BK260" s="41"/>
      <c r="BL260" s="41"/>
      <c r="BM260" s="41"/>
      <c r="BN260" s="41"/>
      <c r="BO260" s="41"/>
      <c r="BP260" s="41"/>
      <c r="BQ260" s="41"/>
      <c r="BR260" s="41"/>
      <c r="BS260" s="41"/>
      <c r="BT260" s="41"/>
      <c r="BU260" s="41"/>
      <c r="BV260" s="41"/>
      <c r="BW260" s="41"/>
      <c r="BX260" s="41"/>
      <c r="BY260" s="41"/>
      <c r="BZ260" s="41"/>
      <c r="CA260" s="41"/>
      <c r="CB260" s="41"/>
      <c r="CC260" s="41"/>
      <c r="CD260" s="41"/>
      <c r="CE260" s="41"/>
      <c r="CF260" s="41"/>
      <c r="CG260" s="41"/>
      <c r="CH260" s="41"/>
      <c r="CI260" s="41"/>
      <c r="CJ260" s="41"/>
      <c r="CK260" s="41"/>
      <c r="CL260" s="41"/>
      <c r="CM260" s="41"/>
      <c r="CN260" s="41"/>
      <c r="CO260" s="41"/>
      <c r="CP260" s="41"/>
      <c r="CQ260" s="41"/>
      <c r="CR260" s="41"/>
      <c r="CS260" s="41"/>
      <c r="CT260" s="41"/>
      <c r="CU260" s="41"/>
      <c r="CV260" s="41"/>
      <c r="CW260" s="41"/>
    </row>
    <row r="261" spans="1:101" ht="16.5" x14ac:dyDescent="0.35">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c r="AW261" s="41"/>
      <c r="AX261" s="41"/>
      <c r="AY261" s="41"/>
      <c r="AZ261" s="41"/>
      <c r="BA261" s="41"/>
      <c r="BB261" s="41"/>
      <c r="BC261" s="41"/>
      <c r="BD261" s="41"/>
      <c r="BE261" s="41"/>
      <c r="BF261" s="41"/>
      <c r="BG261" s="41"/>
      <c r="BH261" s="41"/>
      <c r="BI261" s="41"/>
      <c r="BJ261" s="41"/>
      <c r="BK261" s="41"/>
      <c r="BL261" s="41"/>
      <c r="BM261" s="41"/>
      <c r="BN261" s="41"/>
      <c r="BO261" s="41"/>
      <c r="BP261" s="41"/>
      <c r="BQ261" s="41"/>
      <c r="BR261" s="41"/>
      <c r="BS261" s="41"/>
      <c r="BT261" s="41"/>
      <c r="BU261" s="41"/>
      <c r="BV261" s="41"/>
      <c r="BW261" s="41"/>
      <c r="BX261" s="41"/>
      <c r="BY261" s="41"/>
      <c r="BZ261" s="41"/>
      <c r="CA261" s="41"/>
      <c r="CB261" s="41"/>
      <c r="CC261" s="41"/>
      <c r="CD261" s="41"/>
      <c r="CE261" s="41"/>
      <c r="CF261" s="41"/>
      <c r="CG261" s="41"/>
      <c r="CH261" s="41"/>
      <c r="CI261" s="41"/>
      <c r="CJ261" s="41"/>
      <c r="CK261" s="41"/>
      <c r="CL261" s="41"/>
      <c r="CM261" s="41"/>
      <c r="CN261" s="41"/>
      <c r="CO261" s="41"/>
      <c r="CP261" s="41"/>
      <c r="CQ261" s="41"/>
      <c r="CR261" s="41"/>
      <c r="CS261" s="41"/>
      <c r="CT261" s="41"/>
      <c r="CU261" s="41"/>
      <c r="CV261" s="41"/>
      <c r="CW261" s="41"/>
    </row>
    <row r="262" spans="1:101" ht="16.5" x14ac:dyDescent="0.35">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1"/>
      <c r="AV262" s="41"/>
      <c r="AW262" s="41"/>
      <c r="AX262" s="41"/>
      <c r="AY262" s="41"/>
      <c r="AZ262" s="41"/>
      <c r="BA262" s="41"/>
      <c r="BB262" s="41"/>
      <c r="BC262" s="41"/>
      <c r="BD262" s="41"/>
      <c r="BE262" s="41"/>
      <c r="BF262" s="41"/>
      <c r="BG262" s="41"/>
      <c r="BH262" s="41"/>
      <c r="BI262" s="41"/>
      <c r="BJ262" s="41"/>
      <c r="BK262" s="41"/>
      <c r="BL262" s="41"/>
      <c r="BM262" s="41"/>
      <c r="BN262" s="41"/>
      <c r="BO262" s="41"/>
      <c r="BP262" s="41"/>
      <c r="BQ262" s="41"/>
      <c r="BR262" s="41"/>
      <c r="BS262" s="41"/>
      <c r="BT262" s="41"/>
      <c r="BU262" s="41"/>
      <c r="BV262" s="41"/>
      <c r="BW262" s="41"/>
      <c r="BX262" s="41"/>
      <c r="BY262" s="41"/>
      <c r="BZ262" s="41"/>
      <c r="CA262" s="41"/>
      <c r="CB262" s="41"/>
      <c r="CC262" s="41"/>
      <c r="CD262" s="41"/>
      <c r="CE262" s="41"/>
      <c r="CF262" s="41"/>
      <c r="CG262" s="41"/>
      <c r="CH262" s="41"/>
      <c r="CI262" s="41"/>
      <c r="CJ262" s="41"/>
      <c r="CK262" s="41"/>
      <c r="CL262" s="41"/>
      <c r="CM262" s="41"/>
      <c r="CN262" s="41"/>
      <c r="CO262" s="41"/>
      <c r="CP262" s="41"/>
      <c r="CQ262" s="41"/>
      <c r="CR262" s="41"/>
      <c r="CS262" s="41"/>
      <c r="CT262" s="41"/>
      <c r="CU262" s="41"/>
      <c r="CV262" s="41"/>
      <c r="CW262" s="41"/>
    </row>
    <row r="263" spans="1:101" ht="16.5" x14ac:dyDescent="0.35">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41"/>
      <c r="AZ263" s="41"/>
      <c r="BA263" s="41"/>
      <c r="BB263" s="41"/>
      <c r="BC263" s="41"/>
      <c r="BD263" s="41"/>
      <c r="BE263" s="41"/>
      <c r="BF263" s="41"/>
      <c r="BG263" s="41"/>
      <c r="BH263" s="41"/>
      <c r="BI263" s="41"/>
      <c r="BJ263" s="41"/>
      <c r="BK263" s="41"/>
      <c r="BL263" s="41"/>
      <c r="BM263" s="41"/>
      <c r="BN263" s="41"/>
      <c r="BO263" s="41"/>
      <c r="BP263" s="41"/>
      <c r="BQ263" s="41"/>
      <c r="BR263" s="41"/>
      <c r="BS263" s="41"/>
      <c r="BT263" s="41"/>
      <c r="BU263" s="41"/>
      <c r="BV263" s="41"/>
      <c r="BW263" s="41"/>
      <c r="BX263" s="41"/>
      <c r="BY263" s="41"/>
      <c r="BZ263" s="41"/>
      <c r="CA263" s="41"/>
      <c r="CB263" s="41"/>
      <c r="CC263" s="41"/>
      <c r="CD263" s="41"/>
      <c r="CE263" s="41"/>
      <c r="CF263" s="41"/>
      <c r="CG263" s="41"/>
      <c r="CH263" s="41"/>
      <c r="CI263" s="41"/>
      <c r="CJ263" s="41"/>
      <c r="CK263" s="41"/>
      <c r="CL263" s="41"/>
      <c r="CM263" s="41"/>
      <c r="CN263" s="41"/>
      <c r="CO263" s="41"/>
      <c r="CP263" s="41"/>
      <c r="CQ263" s="41"/>
      <c r="CR263" s="41"/>
      <c r="CS263" s="41"/>
      <c r="CT263" s="41"/>
      <c r="CU263" s="41"/>
      <c r="CV263" s="41"/>
      <c r="CW263" s="41"/>
    </row>
    <row r="264" spans="1:101" ht="16.5" x14ac:dyDescent="0.35">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c r="AW264" s="41"/>
      <c r="AX264" s="41"/>
      <c r="AY264" s="41"/>
      <c r="AZ264" s="41"/>
      <c r="BA264" s="41"/>
      <c r="BB264" s="41"/>
      <c r="BC264" s="41"/>
      <c r="BD264" s="41"/>
      <c r="BE264" s="41"/>
      <c r="BF264" s="41"/>
      <c r="BG264" s="41"/>
      <c r="BH264" s="41"/>
      <c r="BI264" s="41"/>
      <c r="BJ264" s="41"/>
      <c r="BK264" s="41"/>
      <c r="BL264" s="41"/>
      <c r="BM264" s="41"/>
      <c r="BN264" s="41"/>
      <c r="BO264" s="41"/>
      <c r="BP264" s="41"/>
      <c r="BQ264" s="41"/>
      <c r="BR264" s="41"/>
      <c r="BS264" s="41"/>
      <c r="BT264" s="41"/>
      <c r="BU264" s="41"/>
      <c r="BV264" s="41"/>
      <c r="BW264" s="41"/>
      <c r="BX264" s="41"/>
      <c r="BY264" s="41"/>
      <c r="BZ264" s="41"/>
      <c r="CA264" s="41"/>
      <c r="CB264" s="41"/>
      <c r="CC264" s="41"/>
      <c r="CD264" s="41"/>
      <c r="CE264" s="41"/>
      <c r="CF264" s="41"/>
      <c r="CG264" s="41"/>
      <c r="CH264" s="41"/>
      <c r="CI264" s="41"/>
      <c r="CJ264" s="41"/>
      <c r="CK264" s="41"/>
      <c r="CL264" s="41"/>
      <c r="CM264" s="41"/>
      <c r="CN264" s="41"/>
      <c r="CO264" s="41"/>
      <c r="CP264" s="41"/>
      <c r="CQ264" s="41"/>
      <c r="CR264" s="41"/>
      <c r="CS264" s="41"/>
      <c r="CT264" s="41"/>
      <c r="CU264" s="41"/>
      <c r="CV264" s="41"/>
      <c r="CW264" s="41"/>
    </row>
    <row r="265" spans="1:101" ht="16.5" x14ac:dyDescent="0.35">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c r="AW265" s="41"/>
      <c r="AX265" s="41"/>
      <c r="AY265" s="41"/>
      <c r="AZ265" s="41"/>
      <c r="BA265" s="41"/>
      <c r="BB265" s="41"/>
      <c r="BC265" s="41"/>
      <c r="BD265" s="41"/>
      <c r="BE265" s="41"/>
      <c r="BF265" s="41"/>
      <c r="BG265" s="41"/>
      <c r="BH265" s="41"/>
      <c r="BI265" s="41"/>
      <c r="BJ265" s="41"/>
      <c r="BK265" s="41"/>
      <c r="BL265" s="41"/>
      <c r="BM265" s="41"/>
      <c r="BN265" s="41"/>
      <c r="BO265" s="41"/>
      <c r="BP265" s="41"/>
      <c r="BQ265" s="41"/>
      <c r="BR265" s="41"/>
      <c r="BS265" s="41"/>
      <c r="BT265" s="41"/>
      <c r="BU265" s="41"/>
      <c r="BV265" s="41"/>
      <c r="BW265" s="41"/>
      <c r="BX265" s="41"/>
      <c r="BY265" s="41"/>
      <c r="BZ265" s="41"/>
      <c r="CA265" s="41"/>
      <c r="CB265" s="41"/>
      <c r="CC265" s="41"/>
      <c r="CD265" s="41"/>
      <c r="CE265" s="41"/>
      <c r="CF265" s="41"/>
      <c r="CG265" s="41"/>
      <c r="CH265" s="41"/>
      <c r="CI265" s="41"/>
      <c r="CJ265" s="41"/>
      <c r="CK265" s="41"/>
      <c r="CL265" s="41"/>
      <c r="CM265" s="41"/>
      <c r="CN265" s="41"/>
      <c r="CO265" s="41"/>
      <c r="CP265" s="41"/>
      <c r="CQ265" s="41"/>
      <c r="CR265" s="41"/>
      <c r="CS265" s="41"/>
      <c r="CT265" s="41"/>
      <c r="CU265" s="41"/>
      <c r="CV265" s="41"/>
      <c r="CW265" s="41"/>
    </row>
    <row r="266" spans="1:101" ht="16.5" x14ac:dyDescent="0.35">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1"/>
      <c r="AV266" s="41"/>
      <c r="AW266" s="41"/>
      <c r="AX266" s="41"/>
      <c r="AY266" s="41"/>
      <c r="AZ266" s="41"/>
      <c r="BA266" s="41"/>
      <c r="BB266" s="41"/>
      <c r="BC266" s="41"/>
      <c r="BD266" s="41"/>
      <c r="BE266" s="41"/>
      <c r="BF266" s="41"/>
      <c r="BG266" s="41"/>
      <c r="BH266" s="41"/>
      <c r="BI266" s="41"/>
      <c r="BJ266" s="41"/>
      <c r="BK266" s="41"/>
      <c r="BL266" s="41"/>
      <c r="BM266" s="41"/>
      <c r="BN266" s="41"/>
      <c r="BO266" s="41"/>
      <c r="BP266" s="41"/>
      <c r="BQ266" s="41"/>
      <c r="BR266" s="41"/>
      <c r="BS266" s="41"/>
      <c r="BT266" s="41"/>
      <c r="BU266" s="41"/>
      <c r="BV266" s="41"/>
      <c r="BW266" s="41"/>
      <c r="BX266" s="41"/>
      <c r="BY266" s="41"/>
      <c r="BZ266" s="41"/>
      <c r="CA266" s="41"/>
      <c r="CB266" s="41"/>
      <c r="CC266" s="41"/>
      <c r="CD266" s="41"/>
      <c r="CE266" s="41"/>
      <c r="CF266" s="41"/>
      <c r="CG266" s="41"/>
      <c r="CH266" s="41"/>
      <c r="CI266" s="41"/>
      <c r="CJ266" s="41"/>
      <c r="CK266" s="41"/>
      <c r="CL266" s="41"/>
      <c r="CM266" s="41"/>
      <c r="CN266" s="41"/>
      <c r="CO266" s="41"/>
      <c r="CP266" s="41"/>
      <c r="CQ266" s="41"/>
      <c r="CR266" s="41"/>
      <c r="CS266" s="41"/>
      <c r="CT266" s="41"/>
      <c r="CU266" s="41"/>
      <c r="CV266" s="41"/>
      <c r="CW266" s="41"/>
    </row>
    <row r="267" spans="1:101" ht="16.5" x14ac:dyDescent="0.35">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1"/>
      <c r="AV267" s="41"/>
      <c r="AW267" s="41"/>
      <c r="AX267" s="41"/>
      <c r="AY267" s="41"/>
      <c r="AZ267" s="41"/>
      <c r="BA267" s="41"/>
      <c r="BB267" s="41"/>
      <c r="BC267" s="41"/>
      <c r="BD267" s="41"/>
      <c r="BE267" s="41"/>
      <c r="BF267" s="41"/>
      <c r="BG267" s="41"/>
      <c r="BH267" s="41"/>
      <c r="BI267" s="41"/>
      <c r="BJ267" s="41"/>
      <c r="BK267" s="41"/>
      <c r="BL267" s="41"/>
      <c r="BM267" s="41"/>
      <c r="BN267" s="41"/>
      <c r="BO267" s="41"/>
      <c r="BP267" s="41"/>
      <c r="BQ267" s="41"/>
      <c r="BR267" s="41"/>
      <c r="BS267" s="41"/>
      <c r="BT267" s="41"/>
      <c r="BU267" s="41"/>
      <c r="BV267" s="41"/>
      <c r="BW267" s="41"/>
      <c r="BX267" s="41"/>
      <c r="BY267" s="41"/>
      <c r="BZ267" s="41"/>
      <c r="CA267" s="41"/>
      <c r="CB267" s="41"/>
      <c r="CC267" s="41"/>
      <c r="CD267" s="41"/>
      <c r="CE267" s="41"/>
      <c r="CF267" s="41"/>
      <c r="CG267" s="41"/>
      <c r="CH267" s="41"/>
      <c r="CI267" s="41"/>
      <c r="CJ267" s="41"/>
      <c r="CK267" s="41"/>
      <c r="CL267" s="41"/>
      <c r="CM267" s="41"/>
      <c r="CN267" s="41"/>
      <c r="CO267" s="41"/>
      <c r="CP267" s="41"/>
      <c r="CQ267" s="41"/>
      <c r="CR267" s="41"/>
      <c r="CS267" s="41"/>
      <c r="CT267" s="41"/>
      <c r="CU267" s="41"/>
      <c r="CV267" s="41"/>
      <c r="CW267" s="41"/>
    </row>
    <row r="268" spans="1:101" ht="16.5" x14ac:dyDescent="0.35">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1"/>
      <c r="AV268" s="41"/>
      <c r="AW268" s="41"/>
      <c r="AX268" s="41"/>
      <c r="AY268" s="41"/>
      <c r="AZ268" s="41"/>
      <c r="BA268" s="41"/>
      <c r="BB268" s="41"/>
      <c r="BC268" s="41"/>
      <c r="BD268" s="41"/>
      <c r="BE268" s="41"/>
      <c r="BF268" s="41"/>
      <c r="BG268" s="41"/>
      <c r="BH268" s="41"/>
      <c r="BI268" s="41"/>
      <c r="BJ268" s="41"/>
      <c r="BK268" s="41"/>
      <c r="BL268" s="41"/>
      <c r="BM268" s="41"/>
      <c r="BN268" s="41"/>
      <c r="BO268" s="41"/>
      <c r="BP268" s="41"/>
      <c r="BQ268" s="41"/>
      <c r="BR268" s="41"/>
      <c r="BS268" s="41"/>
      <c r="BT268" s="41"/>
      <c r="BU268" s="41"/>
      <c r="BV268" s="41"/>
      <c r="BW268" s="41"/>
      <c r="BX268" s="41"/>
      <c r="BY268" s="41"/>
      <c r="BZ268" s="41"/>
      <c r="CA268" s="41"/>
      <c r="CB268" s="41"/>
      <c r="CC268" s="41"/>
      <c r="CD268" s="41"/>
      <c r="CE268" s="41"/>
      <c r="CF268" s="41"/>
      <c r="CG268" s="41"/>
      <c r="CH268" s="41"/>
      <c r="CI268" s="41"/>
      <c r="CJ268" s="41"/>
      <c r="CK268" s="41"/>
      <c r="CL268" s="41"/>
      <c r="CM268" s="41"/>
      <c r="CN268" s="41"/>
      <c r="CO268" s="41"/>
      <c r="CP268" s="41"/>
      <c r="CQ268" s="41"/>
      <c r="CR268" s="41"/>
      <c r="CS268" s="41"/>
      <c r="CT268" s="41"/>
      <c r="CU268" s="41"/>
      <c r="CV268" s="41"/>
      <c r="CW268" s="41"/>
    </row>
    <row r="269" spans="1:101" ht="16.5" x14ac:dyDescent="0.35">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1"/>
      <c r="AV269" s="41"/>
      <c r="AW269" s="41"/>
      <c r="AX269" s="41"/>
      <c r="AY269" s="41"/>
      <c r="AZ269" s="41"/>
      <c r="BA269" s="41"/>
      <c r="BB269" s="41"/>
      <c r="BC269" s="41"/>
      <c r="BD269" s="41"/>
      <c r="BE269" s="41"/>
      <c r="BF269" s="41"/>
      <c r="BG269" s="41"/>
      <c r="BH269" s="41"/>
      <c r="BI269" s="41"/>
      <c r="BJ269" s="41"/>
      <c r="BK269" s="41"/>
      <c r="BL269" s="41"/>
      <c r="BM269" s="41"/>
      <c r="BN269" s="41"/>
      <c r="BO269" s="41"/>
      <c r="BP269" s="41"/>
      <c r="BQ269" s="41"/>
      <c r="BR269" s="41"/>
      <c r="BS269" s="41"/>
      <c r="BT269" s="41"/>
      <c r="BU269" s="41"/>
      <c r="BV269" s="41"/>
      <c r="BW269" s="41"/>
      <c r="BX269" s="41"/>
      <c r="BY269" s="41"/>
      <c r="BZ269" s="41"/>
      <c r="CA269" s="41"/>
      <c r="CB269" s="41"/>
      <c r="CC269" s="41"/>
      <c r="CD269" s="41"/>
      <c r="CE269" s="41"/>
      <c r="CF269" s="41"/>
      <c r="CG269" s="41"/>
      <c r="CH269" s="41"/>
      <c r="CI269" s="41"/>
      <c r="CJ269" s="41"/>
      <c r="CK269" s="41"/>
      <c r="CL269" s="41"/>
      <c r="CM269" s="41"/>
      <c r="CN269" s="41"/>
      <c r="CO269" s="41"/>
      <c r="CP269" s="41"/>
      <c r="CQ269" s="41"/>
      <c r="CR269" s="41"/>
      <c r="CS269" s="41"/>
      <c r="CT269" s="41"/>
      <c r="CU269" s="41"/>
      <c r="CV269" s="41"/>
      <c r="CW269" s="41"/>
    </row>
    <row r="270" spans="1:101" ht="16.5" x14ac:dyDescent="0.35">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1"/>
      <c r="AV270" s="41"/>
      <c r="AW270" s="41"/>
      <c r="AX270" s="41"/>
      <c r="AY270" s="41"/>
      <c r="AZ270" s="41"/>
      <c r="BA270" s="41"/>
      <c r="BB270" s="41"/>
      <c r="BC270" s="41"/>
      <c r="BD270" s="41"/>
      <c r="BE270" s="41"/>
      <c r="BF270" s="41"/>
      <c r="BG270" s="41"/>
      <c r="BH270" s="41"/>
      <c r="BI270" s="41"/>
      <c r="BJ270" s="41"/>
      <c r="BK270" s="41"/>
      <c r="BL270" s="41"/>
      <c r="BM270" s="41"/>
      <c r="BN270" s="41"/>
      <c r="BO270" s="41"/>
      <c r="BP270" s="41"/>
      <c r="BQ270" s="41"/>
      <c r="BR270" s="41"/>
      <c r="BS270" s="41"/>
      <c r="BT270" s="41"/>
      <c r="BU270" s="41"/>
      <c r="BV270" s="41"/>
      <c r="BW270" s="41"/>
      <c r="BX270" s="41"/>
      <c r="BY270" s="41"/>
      <c r="BZ270" s="41"/>
      <c r="CA270" s="41"/>
      <c r="CB270" s="41"/>
      <c r="CC270" s="41"/>
      <c r="CD270" s="41"/>
      <c r="CE270" s="41"/>
      <c r="CF270" s="41"/>
      <c r="CG270" s="41"/>
      <c r="CH270" s="41"/>
      <c r="CI270" s="41"/>
      <c r="CJ270" s="41"/>
      <c r="CK270" s="41"/>
      <c r="CL270" s="41"/>
      <c r="CM270" s="41"/>
      <c r="CN270" s="41"/>
      <c r="CO270" s="41"/>
      <c r="CP270" s="41"/>
      <c r="CQ270" s="41"/>
      <c r="CR270" s="41"/>
      <c r="CS270" s="41"/>
      <c r="CT270" s="41"/>
      <c r="CU270" s="41"/>
      <c r="CV270" s="41"/>
      <c r="CW270" s="41"/>
    </row>
    <row r="271" spans="1:101" ht="16.5" x14ac:dyDescent="0.35">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1"/>
      <c r="AV271" s="41"/>
      <c r="AW271" s="41"/>
      <c r="AX271" s="41"/>
      <c r="AY271" s="41"/>
      <c r="AZ271" s="41"/>
      <c r="BA271" s="41"/>
      <c r="BB271" s="41"/>
      <c r="BC271" s="41"/>
      <c r="BD271" s="41"/>
      <c r="BE271" s="41"/>
      <c r="BF271" s="41"/>
      <c r="BG271" s="41"/>
      <c r="BH271" s="41"/>
      <c r="BI271" s="41"/>
      <c r="BJ271" s="41"/>
      <c r="BK271" s="41"/>
      <c r="BL271" s="41"/>
      <c r="BM271" s="41"/>
      <c r="BN271" s="41"/>
      <c r="BO271" s="41"/>
      <c r="BP271" s="41"/>
      <c r="BQ271" s="41"/>
      <c r="BR271" s="41"/>
      <c r="BS271" s="41"/>
      <c r="BT271" s="41"/>
      <c r="BU271" s="41"/>
      <c r="BV271" s="41"/>
      <c r="BW271" s="41"/>
      <c r="BX271" s="41"/>
      <c r="BY271" s="41"/>
      <c r="BZ271" s="41"/>
      <c r="CA271" s="41"/>
      <c r="CB271" s="41"/>
      <c r="CC271" s="41"/>
      <c r="CD271" s="41"/>
      <c r="CE271" s="41"/>
      <c r="CF271" s="41"/>
      <c r="CG271" s="41"/>
      <c r="CH271" s="41"/>
      <c r="CI271" s="41"/>
      <c r="CJ271" s="41"/>
      <c r="CK271" s="41"/>
      <c r="CL271" s="41"/>
      <c r="CM271" s="41"/>
      <c r="CN271" s="41"/>
      <c r="CO271" s="41"/>
      <c r="CP271" s="41"/>
      <c r="CQ271" s="41"/>
      <c r="CR271" s="41"/>
      <c r="CS271" s="41"/>
      <c r="CT271" s="41"/>
      <c r="CU271" s="41"/>
      <c r="CV271" s="41"/>
      <c r="CW271" s="41"/>
    </row>
    <row r="272" spans="1:101" ht="16.5" x14ac:dyDescent="0.35">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c r="AJ272" s="41"/>
      <c r="AK272" s="41"/>
      <c r="AL272" s="41"/>
      <c r="AM272" s="41"/>
      <c r="AN272" s="41"/>
      <c r="AO272" s="41"/>
      <c r="AP272" s="41"/>
      <c r="AQ272" s="41"/>
      <c r="AR272" s="41"/>
      <c r="AS272" s="41"/>
      <c r="AT272" s="41"/>
      <c r="AU272" s="41"/>
      <c r="AV272" s="41"/>
      <c r="AW272" s="41"/>
      <c r="AX272" s="41"/>
      <c r="AY272" s="41"/>
      <c r="AZ272" s="41"/>
      <c r="BA272" s="41"/>
      <c r="BB272" s="41"/>
      <c r="BC272" s="41"/>
      <c r="BD272" s="41"/>
      <c r="BE272" s="41"/>
      <c r="BF272" s="41"/>
      <c r="BG272" s="41"/>
      <c r="BH272" s="41"/>
      <c r="BI272" s="41"/>
      <c r="BJ272" s="41"/>
      <c r="BK272" s="41"/>
      <c r="BL272" s="41"/>
      <c r="BM272" s="41"/>
      <c r="BN272" s="41"/>
      <c r="BO272" s="41"/>
      <c r="BP272" s="41"/>
      <c r="BQ272" s="41"/>
      <c r="BR272" s="41"/>
      <c r="BS272" s="41"/>
      <c r="BT272" s="41"/>
      <c r="BU272" s="41"/>
      <c r="BV272" s="41"/>
      <c r="BW272" s="41"/>
      <c r="BX272" s="41"/>
      <c r="BY272" s="41"/>
      <c r="BZ272" s="41"/>
      <c r="CA272" s="41"/>
      <c r="CB272" s="41"/>
      <c r="CC272" s="41"/>
      <c r="CD272" s="41"/>
      <c r="CE272" s="41"/>
      <c r="CF272" s="41"/>
      <c r="CG272" s="41"/>
      <c r="CH272" s="41"/>
      <c r="CI272" s="41"/>
      <c r="CJ272" s="41"/>
      <c r="CK272" s="41"/>
      <c r="CL272" s="41"/>
      <c r="CM272" s="41"/>
      <c r="CN272" s="41"/>
      <c r="CO272" s="41"/>
      <c r="CP272" s="41"/>
      <c r="CQ272" s="41"/>
      <c r="CR272" s="41"/>
      <c r="CS272" s="41"/>
      <c r="CT272" s="41"/>
      <c r="CU272" s="41"/>
      <c r="CV272" s="41"/>
      <c r="CW272" s="41"/>
    </row>
    <row r="273" spans="1:101" ht="16.5" x14ac:dyDescent="0.35">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c r="AJ273" s="41"/>
      <c r="AK273" s="41"/>
      <c r="AL273" s="41"/>
      <c r="AM273" s="41"/>
      <c r="AN273" s="41"/>
      <c r="AO273" s="41"/>
      <c r="AP273" s="41"/>
      <c r="AQ273" s="41"/>
      <c r="AR273" s="41"/>
      <c r="AS273" s="41"/>
      <c r="AT273" s="41"/>
      <c r="AU273" s="41"/>
      <c r="AV273" s="41"/>
      <c r="AW273" s="41"/>
      <c r="AX273" s="41"/>
      <c r="AY273" s="41"/>
      <c r="AZ273" s="41"/>
      <c r="BA273" s="41"/>
      <c r="BB273" s="41"/>
      <c r="BC273" s="41"/>
      <c r="BD273" s="41"/>
      <c r="BE273" s="41"/>
      <c r="BF273" s="41"/>
      <c r="BG273" s="41"/>
      <c r="BH273" s="41"/>
      <c r="BI273" s="41"/>
      <c r="BJ273" s="41"/>
      <c r="BK273" s="41"/>
      <c r="BL273" s="41"/>
      <c r="BM273" s="41"/>
      <c r="BN273" s="41"/>
      <c r="BO273" s="41"/>
      <c r="BP273" s="41"/>
      <c r="BQ273" s="41"/>
      <c r="BR273" s="41"/>
      <c r="BS273" s="41"/>
      <c r="BT273" s="41"/>
      <c r="BU273" s="41"/>
      <c r="BV273" s="41"/>
      <c r="BW273" s="41"/>
      <c r="BX273" s="41"/>
      <c r="BY273" s="41"/>
      <c r="BZ273" s="41"/>
      <c r="CA273" s="41"/>
      <c r="CB273" s="41"/>
      <c r="CC273" s="41"/>
      <c r="CD273" s="41"/>
      <c r="CE273" s="41"/>
      <c r="CF273" s="41"/>
      <c r="CG273" s="41"/>
      <c r="CH273" s="41"/>
      <c r="CI273" s="41"/>
      <c r="CJ273" s="41"/>
      <c r="CK273" s="41"/>
      <c r="CL273" s="41"/>
      <c r="CM273" s="41"/>
      <c r="CN273" s="41"/>
      <c r="CO273" s="41"/>
      <c r="CP273" s="41"/>
      <c r="CQ273" s="41"/>
      <c r="CR273" s="41"/>
      <c r="CS273" s="41"/>
      <c r="CT273" s="41"/>
      <c r="CU273" s="41"/>
      <c r="CV273" s="41"/>
      <c r="CW273" s="41"/>
    </row>
    <row r="274" spans="1:101" ht="16.5" x14ac:dyDescent="0.35">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c r="AJ274" s="41"/>
      <c r="AK274" s="41"/>
      <c r="AL274" s="41"/>
      <c r="AM274" s="41"/>
      <c r="AN274" s="41"/>
      <c r="AO274" s="41"/>
      <c r="AP274" s="41"/>
      <c r="AQ274" s="41"/>
      <c r="AR274" s="41"/>
      <c r="AS274" s="41"/>
      <c r="AT274" s="41"/>
      <c r="AU274" s="41"/>
      <c r="AV274" s="41"/>
      <c r="AW274" s="41"/>
      <c r="AX274" s="41"/>
      <c r="AY274" s="41"/>
      <c r="AZ274" s="41"/>
      <c r="BA274" s="41"/>
      <c r="BB274" s="41"/>
      <c r="BC274" s="41"/>
      <c r="BD274" s="41"/>
      <c r="BE274" s="41"/>
      <c r="BF274" s="41"/>
      <c r="BG274" s="41"/>
      <c r="BH274" s="41"/>
      <c r="BI274" s="41"/>
      <c r="BJ274" s="41"/>
      <c r="BK274" s="41"/>
      <c r="BL274" s="41"/>
      <c r="BM274" s="41"/>
      <c r="BN274" s="41"/>
      <c r="BO274" s="41"/>
      <c r="BP274" s="41"/>
      <c r="BQ274" s="41"/>
      <c r="BR274" s="41"/>
      <c r="BS274" s="41"/>
      <c r="BT274" s="41"/>
      <c r="BU274" s="41"/>
      <c r="BV274" s="41"/>
      <c r="BW274" s="41"/>
      <c r="BX274" s="41"/>
      <c r="BY274" s="41"/>
      <c r="BZ274" s="41"/>
      <c r="CA274" s="41"/>
      <c r="CB274" s="41"/>
      <c r="CC274" s="41"/>
      <c r="CD274" s="41"/>
      <c r="CE274" s="41"/>
      <c r="CF274" s="41"/>
      <c r="CG274" s="41"/>
      <c r="CH274" s="41"/>
      <c r="CI274" s="41"/>
      <c r="CJ274" s="41"/>
      <c r="CK274" s="41"/>
      <c r="CL274" s="41"/>
      <c r="CM274" s="41"/>
      <c r="CN274" s="41"/>
      <c r="CO274" s="41"/>
      <c r="CP274" s="41"/>
      <c r="CQ274" s="41"/>
      <c r="CR274" s="41"/>
      <c r="CS274" s="41"/>
      <c r="CT274" s="41"/>
      <c r="CU274" s="41"/>
      <c r="CV274" s="41"/>
      <c r="CW274" s="41"/>
    </row>
    <row r="275" spans="1:101" ht="16.5" x14ac:dyDescent="0.35">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c r="AJ275" s="41"/>
      <c r="AK275" s="41"/>
      <c r="AL275" s="41"/>
      <c r="AM275" s="41"/>
      <c r="AN275" s="41"/>
      <c r="AO275" s="41"/>
      <c r="AP275" s="41"/>
      <c r="AQ275" s="41"/>
      <c r="AR275" s="41"/>
      <c r="AS275" s="41"/>
      <c r="AT275" s="41"/>
      <c r="AU275" s="41"/>
      <c r="AV275" s="41"/>
      <c r="AW275" s="41"/>
      <c r="AX275" s="41"/>
      <c r="AY275" s="41"/>
      <c r="AZ275" s="41"/>
      <c r="BA275" s="41"/>
      <c r="BB275" s="41"/>
      <c r="BC275" s="41"/>
      <c r="BD275" s="41"/>
      <c r="BE275" s="41"/>
      <c r="BF275" s="41"/>
      <c r="BG275" s="41"/>
      <c r="BH275" s="41"/>
      <c r="BI275" s="41"/>
      <c r="BJ275" s="41"/>
      <c r="BK275" s="41"/>
      <c r="BL275" s="41"/>
      <c r="BM275" s="41"/>
      <c r="BN275" s="41"/>
      <c r="BO275" s="41"/>
      <c r="BP275" s="41"/>
      <c r="BQ275" s="41"/>
      <c r="BR275" s="41"/>
      <c r="BS275" s="41"/>
      <c r="BT275" s="41"/>
      <c r="BU275" s="41"/>
      <c r="BV275" s="41"/>
      <c r="BW275" s="41"/>
      <c r="BX275" s="41"/>
      <c r="BY275" s="41"/>
      <c r="BZ275" s="41"/>
      <c r="CA275" s="41"/>
      <c r="CB275" s="41"/>
      <c r="CC275" s="41"/>
      <c r="CD275" s="41"/>
      <c r="CE275" s="41"/>
      <c r="CF275" s="41"/>
      <c r="CG275" s="41"/>
      <c r="CH275" s="41"/>
      <c r="CI275" s="41"/>
      <c r="CJ275" s="41"/>
      <c r="CK275" s="41"/>
      <c r="CL275" s="41"/>
      <c r="CM275" s="41"/>
      <c r="CN275" s="41"/>
      <c r="CO275" s="41"/>
      <c r="CP275" s="41"/>
      <c r="CQ275" s="41"/>
      <c r="CR275" s="41"/>
      <c r="CS275" s="41"/>
      <c r="CT275" s="41"/>
      <c r="CU275" s="41"/>
      <c r="CV275" s="41"/>
      <c r="CW275" s="41"/>
    </row>
    <row r="276" spans="1:101" ht="16.5" x14ac:dyDescent="0.35">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c r="AJ276" s="41"/>
      <c r="AK276" s="41"/>
      <c r="AL276" s="41"/>
      <c r="AM276" s="41"/>
      <c r="AN276" s="41"/>
      <c r="AO276" s="41"/>
      <c r="AP276" s="41"/>
      <c r="AQ276" s="41"/>
      <c r="AR276" s="41"/>
      <c r="AS276" s="41"/>
      <c r="AT276" s="41"/>
      <c r="AU276" s="41"/>
      <c r="AV276" s="41"/>
      <c r="AW276" s="41"/>
      <c r="AX276" s="41"/>
      <c r="AY276" s="41"/>
      <c r="AZ276" s="41"/>
      <c r="BA276" s="41"/>
      <c r="BB276" s="41"/>
      <c r="BC276" s="41"/>
      <c r="BD276" s="41"/>
      <c r="BE276" s="41"/>
      <c r="BF276" s="41"/>
      <c r="BG276" s="41"/>
      <c r="BH276" s="41"/>
      <c r="BI276" s="41"/>
      <c r="BJ276" s="41"/>
      <c r="BK276" s="41"/>
      <c r="BL276" s="41"/>
      <c r="BM276" s="41"/>
      <c r="BN276" s="41"/>
      <c r="BO276" s="41"/>
      <c r="BP276" s="41"/>
      <c r="BQ276" s="41"/>
      <c r="BR276" s="41"/>
      <c r="BS276" s="41"/>
      <c r="BT276" s="41"/>
      <c r="BU276" s="41"/>
      <c r="BV276" s="41"/>
      <c r="BW276" s="41"/>
      <c r="BX276" s="41"/>
      <c r="BY276" s="41"/>
      <c r="BZ276" s="41"/>
      <c r="CA276" s="41"/>
      <c r="CB276" s="41"/>
      <c r="CC276" s="41"/>
      <c r="CD276" s="41"/>
      <c r="CE276" s="41"/>
      <c r="CF276" s="41"/>
      <c r="CG276" s="41"/>
      <c r="CH276" s="41"/>
      <c r="CI276" s="41"/>
      <c r="CJ276" s="41"/>
      <c r="CK276" s="41"/>
      <c r="CL276" s="41"/>
      <c r="CM276" s="41"/>
      <c r="CN276" s="41"/>
      <c r="CO276" s="41"/>
      <c r="CP276" s="41"/>
      <c r="CQ276" s="41"/>
      <c r="CR276" s="41"/>
      <c r="CS276" s="41"/>
      <c r="CT276" s="41"/>
      <c r="CU276" s="41"/>
      <c r="CV276" s="41"/>
      <c r="CW276" s="41"/>
    </row>
    <row r="277" spans="1:101" ht="16.5" x14ac:dyDescent="0.35">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c r="AJ277" s="41"/>
      <c r="AK277" s="41"/>
      <c r="AL277" s="41"/>
      <c r="AM277" s="41"/>
      <c r="AN277" s="41"/>
      <c r="AO277" s="41"/>
      <c r="AP277" s="41"/>
      <c r="AQ277" s="41"/>
      <c r="AR277" s="41"/>
      <c r="AS277" s="41"/>
      <c r="AT277" s="41"/>
      <c r="AU277" s="41"/>
      <c r="AV277" s="41"/>
      <c r="AW277" s="41"/>
      <c r="AX277" s="41"/>
      <c r="AY277" s="41"/>
      <c r="AZ277" s="41"/>
      <c r="BA277" s="41"/>
      <c r="BB277" s="41"/>
      <c r="BC277" s="41"/>
      <c r="BD277" s="41"/>
      <c r="BE277" s="41"/>
      <c r="BF277" s="41"/>
      <c r="BG277" s="41"/>
      <c r="BH277" s="41"/>
      <c r="BI277" s="41"/>
      <c r="BJ277" s="41"/>
      <c r="BK277" s="41"/>
      <c r="BL277" s="41"/>
      <c r="BM277" s="41"/>
      <c r="BN277" s="41"/>
      <c r="BO277" s="41"/>
      <c r="BP277" s="41"/>
      <c r="BQ277" s="41"/>
      <c r="BR277" s="41"/>
      <c r="BS277" s="41"/>
      <c r="BT277" s="41"/>
      <c r="BU277" s="41"/>
      <c r="BV277" s="41"/>
      <c r="BW277" s="41"/>
      <c r="BX277" s="41"/>
      <c r="BY277" s="41"/>
      <c r="BZ277" s="41"/>
      <c r="CA277" s="41"/>
      <c r="CB277" s="41"/>
      <c r="CC277" s="41"/>
      <c r="CD277" s="41"/>
      <c r="CE277" s="41"/>
      <c r="CF277" s="41"/>
      <c r="CG277" s="41"/>
      <c r="CH277" s="41"/>
      <c r="CI277" s="41"/>
      <c r="CJ277" s="41"/>
      <c r="CK277" s="41"/>
      <c r="CL277" s="41"/>
      <c r="CM277" s="41"/>
      <c r="CN277" s="41"/>
      <c r="CO277" s="41"/>
      <c r="CP277" s="41"/>
      <c r="CQ277" s="41"/>
      <c r="CR277" s="41"/>
      <c r="CS277" s="41"/>
      <c r="CT277" s="41"/>
      <c r="CU277" s="41"/>
      <c r="CV277" s="41"/>
      <c r="CW277" s="41"/>
    </row>
    <row r="278" spans="1:101" ht="16.5" x14ac:dyDescent="0.35">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c r="AJ278" s="41"/>
      <c r="AK278" s="41"/>
      <c r="AL278" s="41"/>
      <c r="AM278" s="41"/>
      <c r="AN278" s="41"/>
      <c r="AO278" s="41"/>
      <c r="AP278" s="41"/>
      <c r="AQ278" s="41"/>
      <c r="AR278" s="41"/>
      <c r="AS278" s="41"/>
      <c r="AT278" s="41"/>
      <c r="AU278" s="41"/>
      <c r="AV278" s="41"/>
      <c r="AW278" s="41"/>
      <c r="AX278" s="41"/>
      <c r="AY278" s="41"/>
      <c r="AZ278" s="41"/>
      <c r="BA278" s="41"/>
      <c r="BB278" s="41"/>
      <c r="BC278" s="41"/>
      <c r="BD278" s="41"/>
      <c r="BE278" s="41"/>
      <c r="BF278" s="41"/>
      <c r="BG278" s="41"/>
      <c r="BH278" s="41"/>
      <c r="BI278" s="41"/>
      <c r="BJ278" s="41"/>
      <c r="BK278" s="41"/>
      <c r="BL278" s="41"/>
      <c r="BM278" s="41"/>
      <c r="BN278" s="41"/>
      <c r="BO278" s="41"/>
      <c r="BP278" s="41"/>
      <c r="BQ278" s="41"/>
      <c r="BR278" s="41"/>
      <c r="BS278" s="41"/>
      <c r="BT278" s="41"/>
      <c r="BU278" s="41"/>
      <c r="BV278" s="41"/>
      <c r="BW278" s="41"/>
      <c r="BX278" s="41"/>
      <c r="BY278" s="41"/>
      <c r="BZ278" s="41"/>
      <c r="CA278" s="41"/>
      <c r="CB278" s="41"/>
      <c r="CC278" s="41"/>
      <c r="CD278" s="41"/>
      <c r="CE278" s="41"/>
      <c r="CF278" s="41"/>
      <c r="CG278" s="41"/>
      <c r="CH278" s="41"/>
      <c r="CI278" s="41"/>
      <c r="CJ278" s="41"/>
      <c r="CK278" s="41"/>
      <c r="CL278" s="41"/>
      <c r="CM278" s="41"/>
      <c r="CN278" s="41"/>
      <c r="CO278" s="41"/>
      <c r="CP278" s="41"/>
      <c r="CQ278" s="41"/>
      <c r="CR278" s="41"/>
      <c r="CS278" s="41"/>
      <c r="CT278" s="41"/>
      <c r="CU278" s="41"/>
      <c r="CV278" s="41"/>
      <c r="CW278" s="41"/>
    </row>
    <row r="279" spans="1:101" ht="16.5" x14ac:dyDescent="0.35">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c r="AJ279" s="41"/>
      <c r="AK279" s="41"/>
      <c r="AL279" s="41"/>
      <c r="AM279" s="41"/>
      <c r="AN279" s="41"/>
      <c r="AO279" s="41"/>
      <c r="AP279" s="41"/>
      <c r="AQ279" s="41"/>
      <c r="AR279" s="41"/>
      <c r="AS279" s="41"/>
      <c r="AT279" s="41"/>
      <c r="AU279" s="41"/>
      <c r="AV279" s="41"/>
      <c r="AW279" s="41"/>
      <c r="AX279" s="41"/>
      <c r="AY279" s="41"/>
      <c r="AZ279" s="41"/>
      <c r="BA279" s="41"/>
      <c r="BB279" s="41"/>
      <c r="BC279" s="41"/>
      <c r="BD279" s="41"/>
      <c r="BE279" s="41"/>
      <c r="BF279" s="41"/>
      <c r="BG279" s="41"/>
      <c r="BH279" s="41"/>
      <c r="BI279" s="41"/>
      <c r="BJ279" s="41"/>
      <c r="BK279" s="41"/>
      <c r="BL279" s="41"/>
      <c r="BM279" s="41"/>
      <c r="BN279" s="41"/>
      <c r="BO279" s="41"/>
      <c r="BP279" s="41"/>
      <c r="BQ279" s="41"/>
      <c r="BR279" s="41"/>
      <c r="BS279" s="41"/>
      <c r="BT279" s="41"/>
      <c r="BU279" s="41"/>
      <c r="BV279" s="41"/>
      <c r="BW279" s="41"/>
      <c r="BX279" s="41"/>
      <c r="BY279" s="41"/>
      <c r="BZ279" s="41"/>
      <c r="CA279" s="41"/>
      <c r="CB279" s="41"/>
      <c r="CC279" s="41"/>
      <c r="CD279" s="41"/>
      <c r="CE279" s="41"/>
      <c r="CF279" s="41"/>
      <c r="CG279" s="41"/>
      <c r="CH279" s="41"/>
      <c r="CI279" s="41"/>
      <c r="CJ279" s="41"/>
      <c r="CK279" s="41"/>
      <c r="CL279" s="41"/>
      <c r="CM279" s="41"/>
      <c r="CN279" s="41"/>
      <c r="CO279" s="41"/>
      <c r="CP279" s="41"/>
      <c r="CQ279" s="41"/>
      <c r="CR279" s="41"/>
      <c r="CS279" s="41"/>
      <c r="CT279" s="41"/>
      <c r="CU279" s="41"/>
      <c r="CV279" s="41"/>
      <c r="CW279" s="41"/>
    </row>
    <row r="280" spans="1:101" ht="16.5" x14ac:dyDescent="0.35">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c r="AJ280" s="41"/>
      <c r="AK280" s="41"/>
      <c r="AL280" s="41"/>
      <c r="AM280" s="41"/>
      <c r="AN280" s="41"/>
      <c r="AO280" s="41"/>
      <c r="AP280" s="41"/>
      <c r="AQ280" s="41"/>
      <c r="AR280" s="41"/>
      <c r="AS280" s="41"/>
      <c r="AT280" s="41"/>
      <c r="AU280" s="41"/>
      <c r="AV280" s="41"/>
      <c r="AW280" s="41"/>
      <c r="AX280" s="41"/>
      <c r="AY280" s="41"/>
      <c r="AZ280" s="41"/>
      <c r="BA280" s="41"/>
      <c r="BB280" s="41"/>
      <c r="BC280" s="41"/>
      <c r="BD280" s="41"/>
      <c r="BE280" s="41"/>
      <c r="BF280" s="41"/>
      <c r="BG280" s="41"/>
      <c r="BH280" s="41"/>
      <c r="BI280" s="41"/>
      <c r="BJ280" s="41"/>
      <c r="BK280" s="41"/>
      <c r="BL280" s="41"/>
      <c r="BM280" s="41"/>
      <c r="BN280" s="41"/>
      <c r="BO280" s="41"/>
      <c r="BP280" s="41"/>
      <c r="BQ280" s="41"/>
      <c r="BR280" s="41"/>
      <c r="BS280" s="41"/>
      <c r="BT280" s="41"/>
      <c r="BU280" s="41"/>
      <c r="BV280" s="41"/>
      <c r="BW280" s="41"/>
      <c r="BX280" s="41"/>
      <c r="BY280" s="41"/>
      <c r="BZ280" s="41"/>
      <c r="CA280" s="41"/>
      <c r="CB280" s="41"/>
      <c r="CC280" s="41"/>
      <c r="CD280" s="41"/>
      <c r="CE280" s="41"/>
      <c r="CF280" s="41"/>
      <c r="CG280" s="41"/>
      <c r="CH280" s="41"/>
      <c r="CI280" s="41"/>
      <c r="CJ280" s="41"/>
      <c r="CK280" s="41"/>
      <c r="CL280" s="41"/>
      <c r="CM280" s="41"/>
      <c r="CN280" s="41"/>
      <c r="CO280" s="41"/>
      <c r="CP280" s="41"/>
      <c r="CQ280" s="41"/>
      <c r="CR280" s="41"/>
      <c r="CS280" s="41"/>
      <c r="CT280" s="41"/>
      <c r="CU280" s="41"/>
      <c r="CV280" s="41"/>
      <c r="CW280" s="41"/>
    </row>
    <row r="281" spans="1:101" ht="16.5" x14ac:dyDescent="0.35">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c r="AJ281" s="41"/>
      <c r="AK281" s="41"/>
      <c r="AL281" s="41"/>
      <c r="AM281" s="41"/>
      <c r="AN281" s="41"/>
      <c r="AO281" s="41"/>
      <c r="AP281" s="41"/>
      <c r="AQ281" s="41"/>
      <c r="AR281" s="41"/>
      <c r="AS281" s="41"/>
      <c r="AT281" s="41"/>
      <c r="AU281" s="41"/>
      <c r="AV281" s="41"/>
      <c r="AW281" s="41"/>
      <c r="AX281" s="41"/>
      <c r="AY281" s="41"/>
      <c r="AZ281" s="41"/>
      <c r="BA281" s="41"/>
      <c r="BB281" s="41"/>
      <c r="BC281" s="41"/>
      <c r="BD281" s="41"/>
      <c r="BE281" s="41"/>
      <c r="BF281" s="41"/>
      <c r="BG281" s="41"/>
      <c r="BH281" s="41"/>
      <c r="BI281" s="41"/>
      <c r="BJ281" s="41"/>
      <c r="BK281" s="41"/>
      <c r="BL281" s="41"/>
      <c r="BM281" s="41"/>
      <c r="BN281" s="41"/>
      <c r="BO281" s="41"/>
      <c r="BP281" s="41"/>
      <c r="BQ281" s="41"/>
      <c r="BR281" s="41"/>
      <c r="BS281" s="41"/>
      <c r="BT281" s="41"/>
      <c r="BU281" s="41"/>
      <c r="BV281" s="41"/>
      <c r="BW281" s="41"/>
      <c r="BX281" s="41"/>
      <c r="BY281" s="41"/>
      <c r="BZ281" s="41"/>
      <c r="CA281" s="41"/>
      <c r="CB281" s="41"/>
      <c r="CC281" s="41"/>
      <c r="CD281" s="41"/>
      <c r="CE281" s="41"/>
      <c r="CF281" s="41"/>
      <c r="CG281" s="41"/>
      <c r="CH281" s="41"/>
      <c r="CI281" s="41"/>
      <c r="CJ281" s="41"/>
      <c r="CK281" s="41"/>
      <c r="CL281" s="41"/>
      <c r="CM281" s="41"/>
      <c r="CN281" s="41"/>
      <c r="CO281" s="41"/>
      <c r="CP281" s="41"/>
      <c r="CQ281" s="41"/>
      <c r="CR281" s="41"/>
      <c r="CS281" s="41"/>
      <c r="CT281" s="41"/>
      <c r="CU281" s="41"/>
      <c r="CV281" s="41"/>
      <c r="CW281" s="41"/>
    </row>
    <row r="282" spans="1:101" ht="16.5" x14ac:dyDescent="0.35">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c r="AJ282" s="41"/>
      <c r="AK282" s="41"/>
      <c r="AL282" s="41"/>
      <c r="AM282" s="41"/>
      <c r="AN282" s="41"/>
      <c r="AO282" s="41"/>
      <c r="AP282" s="41"/>
      <c r="AQ282" s="41"/>
      <c r="AR282" s="41"/>
      <c r="AS282" s="41"/>
      <c r="AT282" s="41"/>
      <c r="AU282" s="41"/>
      <c r="AV282" s="41"/>
      <c r="AW282" s="41"/>
      <c r="AX282" s="41"/>
      <c r="AY282" s="41"/>
      <c r="AZ282" s="41"/>
      <c r="BA282" s="41"/>
      <c r="BB282" s="41"/>
      <c r="BC282" s="41"/>
      <c r="BD282" s="41"/>
      <c r="BE282" s="41"/>
      <c r="BF282" s="41"/>
      <c r="BG282" s="41"/>
      <c r="BH282" s="41"/>
      <c r="BI282" s="41"/>
      <c r="BJ282" s="41"/>
      <c r="BK282" s="41"/>
      <c r="BL282" s="41"/>
      <c r="BM282" s="41"/>
      <c r="BN282" s="41"/>
      <c r="BO282" s="41"/>
      <c r="BP282" s="41"/>
      <c r="BQ282" s="41"/>
      <c r="BR282" s="41"/>
      <c r="BS282" s="41"/>
      <c r="BT282" s="41"/>
      <c r="BU282" s="41"/>
      <c r="BV282" s="41"/>
      <c r="BW282" s="41"/>
      <c r="BX282" s="41"/>
      <c r="BY282" s="41"/>
      <c r="BZ282" s="41"/>
      <c r="CA282" s="41"/>
      <c r="CB282" s="41"/>
      <c r="CC282" s="41"/>
      <c r="CD282" s="41"/>
      <c r="CE282" s="41"/>
      <c r="CF282" s="41"/>
      <c r="CG282" s="41"/>
      <c r="CH282" s="41"/>
      <c r="CI282" s="41"/>
      <c r="CJ282" s="41"/>
      <c r="CK282" s="41"/>
      <c r="CL282" s="41"/>
      <c r="CM282" s="41"/>
      <c r="CN282" s="41"/>
      <c r="CO282" s="41"/>
      <c r="CP282" s="41"/>
      <c r="CQ282" s="41"/>
      <c r="CR282" s="41"/>
      <c r="CS282" s="41"/>
      <c r="CT282" s="41"/>
      <c r="CU282" s="41"/>
      <c r="CV282" s="41"/>
      <c r="CW282" s="41"/>
    </row>
    <row r="283" spans="1:101" ht="16.5" x14ac:dyDescent="0.35">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c r="AJ283" s="41"/>
      <c r="AK283" s="41"/>
      <c r="AL283" s="41"/>
      <c r="AM283" s="41"/>
      <c r="AN283" s="41"/>
      <c r="AO283" s="41"/>
      <c r="AP283" s="41"/>
      <c r="AQ283" s="41"/>
      <c r="AR283" s="41"/>
      <c r="AS283" s="41"/>
      <c r="AT283" s="41"/>
      <c r="AU283" s="41"/>
      <c r="AV283" s="41"/>
      <c r="AW283" s="41"/>
      <c r="AX283" s="41"/>
      <c r="AY283" s="41"/>
      <c r="AZ283" s="41"/>
      <c r="BA283" s="41"/>
      <c r="BB283" s="41"/>
      <c r="BC283" s="41"/>
      <c r="BD283" s="41"/>
      <c r="BE283" s="41"/>
      <c r="BF283" s="41"/>
      <c r="BG283" s="41"/>
      <c r="BH283" s="41"/>
      <c r="BI283" s="41"/>
      <c r="BJ283" s="41"/>
      <c r="BK283" s="41"/>
      <c r="BL283" s="41"/>
      <c r="BM283" s="41"/>
      <c r="BN283" s="41"/>
      <c r="BO283" s="41"/>
      <c r="BP283" s="41"/>
      <c r="BQ283" s="41"/>
      <c r="BR283" s="41"/>
      <c r="BS283" s="41"/>
      <c r="BT283" s="41"/>
      <c r="BU283" s="41"/>
      <c r="BV283" s="41"/>
      <c r="BW283" s="41"/>
      <c r="BX283" s="41"/>
      <c r="BY283" s="41"/>
      <c r="BZ283" s="41"/>
      <c r="CA283" s="41"/>
      <c r="CB283" s="41"/>
      <c r="CC283" s="41"/>
      <c r="CD283" s="41"/>
      <c r="CE283" s="41"/>
      <c r="CF283" s="41"/>
      <c r="CG283" s="41"/>
      <c r="CH283" s="41"/>
      <c r="CI283" s="41"/>
      <c r="CJ283" s="41"/>
      <c r="CK283" s="41"/>
      <c r="CL283" s="41"/>
      <c r="CM283" s="41"/>
      <c r="CN283" s="41"/>
      <c r="CO283" s="41"/>
      <c r="CP283" s="41"/>
      <c r="CQ283" s="41"/>
      <c r="CR283" s="41"/>
      <c r="CS283" s="41"/>
      <c r="CT283" s="41"/>
      <c r="CU283" s="41"/>
      <c r="CV283" s="41"/>
      <c r="CW283" s="41"/>
    </row>
    <row r="284" spans="1:101" ht="16.5" x14ac:dyDescent="0.35">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c r="AP284" s="41"/>
      <c r="AQ284" s="41"/>
      <c r="AR284" s="41"/>
      <c r="AS284" s="41"/>
      <c r="AT284" s="41"/>
      <c r="AU284" s="41"/>
      <c r="AV284" s="41"/>
      <c r="AW284" s="41"/>
      <c r="AX284" s="41"/>
      <c r="AY284" s="41"/>
      <c r="AZ284" s="41"/>
      <c r="BA284" s="41"/>
      <c r="BB284" s="41"/>
      <c r="BC284" s="41"/>
      <c r="BD284" s="41"/>
      <c r="BE284" s="41"/>
      <c r="BF284" s="41"/>
      <c r="BG284" s="41"/>
      <c r="BH284" s="41"/>
      <c r="BI284" s="41"/>
      <c r="BJ284" s="41"/>
      <c r="BK284" s="41"/>
      <c r="BL284" s="41"/>
      <c r="BM284" s="41"/>
      <c r="BN284" s="41"/>
      <c r="BO284" s="41"/>
      <c r="BP284" s="41"/>
      <c r="BQ284" s="41"/>
      <c r="BR284" s="41"/>
      <c r="BS284" s="41"/>
      <c r="BT284" s="41"/>
      <c r="BU284" s="41"/>
      <c r="BV284" s="41"/>
      <c r="BW284" s="41"/>
      <c r="BX284" s="41"/>
      <c r="BY284" s="41"/>
      <c r="BZ284" s="41"/>
      <c r="CA284" s="41"/>
      <c r="CB284" s="41"/>
      <c r="CC284" s="41"/>
      <c r="CD284" s="41"/>
      <c r="CE284" s="41"/>
      <c r="CF284" s="41"/>
      <c r="CG284" s="41"/>
      <c r="CH284" s="41"/>
      <c r="CI284" s="41"/>
      <c r="CJ284" s="41"/>
      <c r="CK284" s="41"/>
      <c r="CL284" s="41"/>
      <c r="CM284" s="41"/>
      <c r="CN284" s="41"/>
      <c r="CO284" s="41"/>
      <c r="CP284" s="41"/>
      <c r="CQ284" s="41"/>
      <c r="CR284" s="41"/>
      <c r="CS284" s="41"/>
      <c r="CT284" s="41"/>
      <c r="CU284" s="41"/>
      <c r="CV284" s="41"/>
      <c r="CW284" s="41"/>
    </row>
    <row r="285" spans="1:101" ht="16.5" x14ac:dyDescent="0.35">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c r="AJ285" s="41"/>
      <c r="AK285" s="41"/>
      <c r="AL285" s="41"/>
      <c r="AM285" s="41"/>
      <c r="AN285" s="41"/>
      <c r="AO285" s="41"/>
      <c r="AP285" s="41"/>
      <c r="AQ285" s="41"/>
      <c r="AR285" s="41"/>
      <c r="AS285" s="41"/>
      <c r="AT285" s="41"/>
      <c r="AU285" s="41"/>
      <c r="AV285" s="41"/>
      <c r="AW285" s="41"/>
      <c r="AX285" s="41"/>
      <c r="AY285" s="41"/>
      <c r="AZ285" s="41"/>
      <c r="BA285" s="41"/>
      <c r="BB285" s="41"/>
      <c r="BC285" s="41"/>
      <c r="BD285" s="41"/>
      <c r="BE285" s="41"/>
      <c r="BF285" s="41"/>
      <c r="BG285" s="41"/>
      <c r="BH285" s="41"/>
      <c r="BI285" s="41"/>
      <c r="BJ285" s="41"/>
      <c r="BK285" s="41"/>
      <c r="BL285" s="41"/>
      <c r="BM285" s="41"/>
      <c r="BN285" s="41"/>
      <c r="BO285" s="41"/>
      <c r="BP285" s="41"/>
      <c r="BQ285" s="41"/>
      <c r="BR285" s="41"/>
      <c r="BS285" s="41"/>
      <c r="BT285" s="41"/>
      <c r="BU285" s="41"/>
      <c r="BV285" s="41"/>
      <c r="BW285" s="41"/>
      <c r="BX285" s="41"/>
      <c r="BY285" s="41"/>
      <c r="BZ285" s="41"/>
      <c r="CA285" s="41"/>
      <c r="CB285" s="41"/>
      <c r="CC285" s="41"/>
      <c r="CD285" s="41"/>
      <c r="CE285" s="41"/>
      <c r="CF285" s="41"/>
      <c r="CG285" s="41"/>
      <c r="CH285" s="41"/>
      <c r="CI285" s="41"/>
      <c r="CJ285" s="41"/>
      <c r="CK285" s="41"/>
      <c r="CL285" s="41"/>
      <c r="CM285" s="41"/>
      <c r="CN285" s="41"/>
      <c r="CO285" s="41"/>
      <c r="CP285" s="41"/>
      <c r="CQ285" s="41"/>
      <c r="CR285" s="41"/>
      <c r="CS285" s="41"/>
      <c r="CT285" s="41"/>
      <c r="CU285" s="41"/>
      <c r="CV285" s="41"/>
      <c r="CW285" s="41"/>
    </row>
    <row r="286" spans="1:101" ht="16.5" x14ac:dyDescent="0.35">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1"/>
      <c r="BJ286" s="41"/>
      <c r="BK286" s="41"/>
      <c r="BL286" s="41"/>
      <c r="BM286" s="41"/>
      <c r="BN286" s="41"/>
      <c r="BO286" s="41"/>
      <c r="BP286" s="41"/>
      <c r="BQ286" s="41"/>
      <c r="BR286" s="41"/>
      <c r="BS286" s="41"/>
      <c r="BT286" s="41"/>
      <c r="BU286" s="41"/>
      <c r="BV286" s="41"/>
      <c r="BW286" s="41"/>
      <c r="BX286" s="41"/>
      <c r="BY286" s="41"/>
      <c r="BZ286" s="41"/>
      <c r="CA286" s="41"/>
      <c r="CB286" s="41"/>
      <c r="CC286" s="41"/>
      <c r="CD286" s="41"/>
      <c r="CE286" s="41"/>
      <c r="CF286" s="41"/>
      <c r="CG286" s="41"/>
      <c r="CH286" s="41"/>
      <c r="CI286" s="41"/>
      <c r="CJ286" s="41"/>
      <c r="CK286" s="41"/>
      <c r="CL286" s="41"/>
      <c r="CM286" s="41"/>
      <c r="CN286" s="41"/>
      <c r="CO286" s="41"/>
      <c r="CP286" s="41"/>
      <c r="CQ286" s="41"/>
      <c r="CR286" s="41"/>
      <c r="CS286" s="41"/>
      <c r="CT286" s="41"/>
      <c r="CU286" s="41"/>
      <c r="CV286" s="41"/>
      <c r="CW286" s="41"/>
    </row>
    <row r="287" spans="1:101" ht="16.5" x14ac:dyDescent="0.35">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1"/>
      <c r="BJ287" s="41"/>
      <c r="BK287" s="41"/>
      <c r="BL287" s="41"/>
      <c r="BM287" s="41"/>
      <c r="BN287" s="41"/>
      <c r="BO287" s="41"/>
      <c r="BP287" s="41"/>
      <c r="BQ287" s="41"/>
      <c r="BR287" s="41"/>
      <c r="BS287" s="41"/>
      <c r="BT287" s="41"/>
      <c r="BU287" s="41"/>
      <c r="BV287" s="41"/>
      <c r="BW287" s="41"/>
      <c r="BX287" s="41"/>
      <c r="BY287" s="41"/>
      <c r="BZ287" s="41"/>
      <c r="CA287" s="41"/>
      <c r="CB287" s="41"/>
      <c r="CC287" s="41"/>
      <c r="CD287" s="41"/>
      <c r="CE287" s="41"/>
      <c r="CF287" s="41"/>
      <c r="CG287" s="41"/>
      <c r="CH287" s="41"/>
      <c r="CI287" s="41"/>
      <c r="CJ287" s="41"/>
      <c r="CK287" s="41"/>
      <c r="CL287" s="41"/>
      <c r="CM287" s="41"/>
      <c r="CN287" s="41"/>
      <c r="CO287" s="41"/>
      <c r="CP287" s="41"/>
      <c r="CQ287" s="41"/>
      <c r="CR287" s="41"/>
      <c r="CS287" s="41"/>
      <c r="CT287" s="41"/>
      <c r="CU287" s="41"/>
      <c r="CV287" s="41"/>
      <c r="CW287" s="41"/>
    </row>
    <row r="288" spans="1:101" ht="16.5" x14ac:dyDescent="0.35">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c r="AJ288" s="41"/>
      <c r="AK288" s="41"/>
      <c r="AL288" s="41"/>
      <c r="AM288" s="41"/>
      <c r="AN288" s="41"/>
      <c r="AO288" s="41"/>
      <c r="AP288" s="41"/>
      <c r="AQ288" s="41"/>
      <c r="AR288" s="41"/>
      <c r="AS288" s="41"/>
      <c r="AT288" s="41"/>
      <c r="AU288" s="41"/>
      <c r="AV288" s="41"/>
      <c r="AW288" s="41"/>
      <c r="AX288" s="41"/>
      <c r="AY288" s="41"/>
      <c r="AZ288" s="41"/>
      <c r="BA288" s="41"/>
      <c r="BB288" s="41"/>
      <c r="BC288" s="41"/>
      <c r="BD288" s="41"/>
      <c r="BE288" s="41"/>
      <c r="BF288" s="41"/>
      <c r="BG288" s="41"/>
      <c r="BH288" s="41"/>
      <c r="BI288" s="41"/>
      <c r="BJ288" s="41"/>
      <c r="BK288" s="41"/>
      <c r="BL288" s="41"/>
      <c r="BM288" s="41"/>
      <c r="BN288" s="41"/>
      <c r="BO288" s="41"/>
      <c r="BP288" s="41"/>
      <c r="BQ288" s="41"/>
      <c r="BR288" s="41"/>
      <c r="BS288" s="41"/>
      <c r="BT288" s="41"/>
      <c r="BU288" s="41"/>
      <c r="BV288" s="41"/>
      <c r="BW288" s="41"/>
      <c r="BX288" s="41"/>
      <c r="BY288" s="41"/>
      <c r="BZ288" s="41"/>
      <c r="CA288" s="41"/>
      <c r="CB288" s="41"/>
      <c r="CC288" s="41"/>
      <c r="CD288" s="41"/>
      <c r="CE288" s="41"/>
      <c r="CF288" s="41"/>
      <c r="CG288" s="41"/>
      <c r="CH288" s="41"/>
      <c r="CI288" s="41"/>
      <c r="CJ288" s="41"/>
      <c r="CK288" s="41"/>
      <c r="CL288" s="41"/>
      <c r="CM288" s="41"/>
      <c r="CN288" s="41"/>
      <c r="CO288" s="41"/>
      <c r="CP288" s="41"/>
      <c r="CQ288" s="41"/>
      <c r="CR288" s="41"/>
      <c r="CS288" s="41"/>
      <c r="CT288" s="41"/>
      <c r="CU288" s="41"/>
      <c r="CV288" s="41"/>
      <c r="CW288" s="41"/>
    </row>
    <row r="289" spans="1:101" ht="16.5" x14ac:dyDescent="0.35">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c r="AJ289" s="41"/>
      <c r="AK289" s="41"/>
      <c r="AL289" s="41"/>
      <c r="AM289" s="41"/>
      <c r="AN289" s="41"/>
      <c r="AO289" s="41"/>
      <c r="AP289" s="41"/>
      <c r="AQ289" s="41"/>
      <c r="AR289" s="41"/>
      <c r="AS289" s="41"/>
      <c r="AT289" s="41"/>
      <c r="AU289" s="41"/>
      <c r="AV289" s="41"/>
      <c r="AW289" s="41"/>
      <c r="AX289" s="41"/>
      <c r="AY289" s="41"/>
      <c r="AZ289" s="41"/>
      <c r="BA289" s="41"/>
      <c r="BB289" s="41"/>
      <c r="BC289" s="41"/>
      <c r="BD289" s="41"/>
      <c r="BE289" s="41"/>
      <c r="BF289" s="41"/>
      <c r="BG289" s="41"/>
      <c r="BH289" s="41"/>
      <c r="BI289" s="41"/>
      <c r="BJ289" s="41"/>
      <c r="BK289" s="41"/>
      <c r="BL289" s="41"/>
      <c r="BM289" s="41"/>
      <c r="BN289" s="41"/>
      <c r="BO289" s="41"/>
      <c r="BP289" s="41"/>
      <c r="BQ289" s="41"/>
      <c r="BR289" s="41"/>
      <c r="BS289" s="41"/>
      <c r="BT289" s="41"/>
      <c r="BU289" s="41"/>
      <c r="BV289" s="41"/>
      <c r="BW289" s="41"/>
      <c r="BX289" s="41"/>
      <c r="BY289" s="41"/>
      <c r="BZ289" s="41"/>
      <c r="CA289" s="41"/>
      <c r="CB289" s="41"/>
      <c r="CC289" s="41"/>
      <c r="CD289" s="41"/>
      <c r="CE289" s="41"/>
      <c r="CF289" s="41"/>
      <c r="CG289" s="41"/>
      <c r="CH289" s="41"/>
      <c r="CI289" s="41"/>
      <c r="CJ289" s="41"/>
      <c r="CK289" s="41"/>
      <c r="CL289" s="41"/>
      <c r="CM289" s="41"/>
      <c r="CN289" s="41"/>
      <c r="CO289" s="41"/>
      <c r="CP289" s="41"/>
      <c r="CQ289" s="41"/>
      <c r="CR289" s="41"/>
      <c r="CS289" s="41"/>
      <c r="CT289" s="41"/>
      <c r="CU289" s="41"/>
      <c r="CV289" s="41"/>
      <c r="CW289" s="41"/>
    </row>
    <row r="290" spans="1:101" ht="16.5" x14ac:dyDescent="0.35">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c r="AJ290" s="41"/>
      <c r="AK290" s="41"/>
      <c r="AL290" s="41"/>
      <c r="AM290" s="41"/>
      <c r="AN290" s="41"/>
      <c r="AO290" s="41"/>
      <c r="AP290" s="41"/>
      <c r="AQ290" s="41"/>
      <c r="AR290" s="41"/>
      <c r="AS290" s="41"/>
      <c r="AT290" s="41"/>
      <c r="AU290" s="41"/>
      <c r="AV290" s="41"/>
      <c r="AW290" s="41"/>
      <c r="AX290" s="41"/>
      <c r="AY290" s="41"/>
      <c r="AZ290" s="41"/>
      <c r="BA290" s="41"/>
      <c r="BB290" s="41"/>
      <c r="BC290" s="41"/>
      <c r="BD290" s="41"/>
      <c r="BE290" s="41"/>
      <c r="BF290" s="41"/>
      <c r="BG290" s="41"/>
      <c r="BH290" s="41"/>
      <c r="BI290" s="41"/>
      <c r="BJ290" s="41"/>
      <c r="BK290" s="41"/>
      <c r="BL290" s="41"/>
      <c r="BM290" s="41"/>
      <c r="BN290" s="41"/>
      <c r="BO290" s="41"/>
      <c r="BP290" s="41"/>
      <c r="BQ290" s="41"/>
      <c r="BR290" s="41"/>
      <c r="BS290" s="41"/>
      <c r="BT290" s="41"/>
      <c r="BU290" s="41"/>
      <c r="BV290" s="41"/>
      <c r="BW290" s="41"/>
      <c r="BX290" s="41"/>
      <c r="BY290" s="41"/>
      <c r="BZ290" s="41"/>
      <c r="CA290" s="41"/>
      <c r="CB290" s="41"/>
      <c r="CC290" s="41"/>
      <c r="CD290" s="41"/>
      <c r="CE290" s="41"/>
      <c r="CF290" s="41"/>
      <c r="CG290" s="41"/>
      <c r="CH290" s="41"/>
      <c r="CI290" s="41"/>
      <c r="CJ290" s="41"/>
      <c r="CK290" s="41"/>
      <c r="CL290" s="41"/>
      <c r="CM290" s="41"/>
      <c r="CN290" s="41"/>
      <c r="CO290" s="41"/>
      <c r="CP290" s="41"/>
      <c r="CQ290" s="41"/>
      <c r="CR290" s="41"/>
      <c r="CS290" s="41"/>
      <c r="CT290" s="41"/>
      <c r="CU290" s="41"/>
      <c r="CV290" s="41"/>
      <c r="CW290" s="41"/>
    </row>
    <row r="291" spans="1:101" ht="16.5" x14ac:dyDescent="0.35">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c r="AJ291" s="41"/>
      <c r="AK291" s="41"/>
      <c r="AL291" s="41"/>
      <c r="AM291" s="41"/>
      <c r="AN291" s="41"/>
      <c r="AO291" s="41"/>
      <c r="AP291" s="41"/>
      <c r="AQ291" s="41"/>
      <c r="AR291" s="41"/>
      <c r="AS291" s="41"/>
      <c r="AT291" s="41"/>
      <c r="AU291" s="41"/>
      <c r="AV291" s="41"/>
      <c r="AW291" s="41"/>
      <c r="AX291" s="41"/>
      <c r="AY291" s="41"/>
      <c r="AZ291" s="41"/>
      <c r="BA291" s="41"/>
      <c r="BB291" s="41"/>
      <c r="BC291" s="41"/>
      <c r="BD291" s="41"/>
      <c r="BE291" s="41"/>
      <c r="BF291" s="41"/>
      <c r="BG291" s="41"/>
      <c r="BH291" s="41"/>
      <c r="BI291" s="41"/>
      <c r="BJ291" s="41"/>
      <c r="BK291" s="41"/>
      <c r="BL291" s="41"/>
      <c r="BM291" s="41"/>
      <c r="BN291" s="41"/>
      <c r="BO291" s="41"/>
      <c r="BP291" s="41"/>
      <c r="BQ291" s="41"/>
      <c r="BR291" s="41"/>
      <c r="BS291" s="41"/>
      <c r="BT291" s="41"/>
      <c r="BU291" s="41"/>
      <c r="BV291" s="41"/>
      <c r="BW291" s="41"/>
      <c r="BX291" s="41"/>
      <c r="BY291" s="41"/>
      <c r="BZ291" s="41"/>
      <c r="CA291" s="41"/>
      <c r="CB291" s="41"/>
      <c r="CC291" s="41"/>
      <c r="CD291" s="41"/>
      <c r="CE291" s="41"/>
      <c r="CF291" s="41"/>
      <c r="CG291" s="41"/>
      <c r="CH291" s="41"/>
      <c r="CI291" s="41"/>
      <c r="CJ291" s="41"/>
      <c r="CK291" s="41"/>
      <c r="CL291" s="41"/>
      <c r="CM291" s="41"/>
      <c r="CN291" s="41"/>
      <c r="CO291" s="41"/>
      <c r="CP291" s="41"/>
      <c r="CQ291" s="41"/>
      <c r="CR291" s="41"/>
      <c r="CS291" s="41"/>
      <c r="CT291" s="41"/>
      <c r="CU291" s="41"/>
      <c r="CV291" s="41"/>
      <c r="CW291" s="41"/>
    </row>
    <row r="292" spans="1:101" ht="16.5" x14ac:dyDescent="0.35">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c r="AJ292" s="41"/>
      <c r="AK292" s="41"/>
      <c r="AL292" s="41"/>
      <c r="AM292" s="41"/>
      <c r="AN292" s="41"/>
      <c r="AO292" s="41"/>
      <c r="AP292" s="41"/>
      <c r="AQ292" s="41"/>
      <c r="AR292" s="41"/>
      <c r="AS292" s="41"/>
      <c r="AT292" s="41"/>
      <c r="AU292" s="41"/>
      <c r="AV292" s="41"/>
      <c r="AW292" s="41"/>
      <c r="AX292" s="41"/>
      <c r="AY292" s="41"/>
      <c r="AZ292" s="41"/>
      <c r="BA292" s="41"/>
      <c r="BB292" s="41"/>
      <c r="BC292" s="41"/>
      <c r="BD292" s="41"/>
      <c r="BE292" s="41"/>
      <c r="BF292" s="41"/>
      <c r="BG292" s="41"/>
      <c r="BH292" s="41"/>
      <c r="BI292" s="41"/>
      <c r="BJ292" s="41"/>
      <c r="BK292" s="41"/>
      <c r="BL292" s="41"/>
      <c r="BM292" s="41"/>
      <c r="BN292" s="41"/>
      <c r="BO292" s="41"/>
      <c r="BP292" s="41"/>
      <c r="BQ292" s="41"/>
      <c r="BR292" s="41"/>
      <c r="BS292" s="41"/>
      <c r="BT292" s="41"/>
      <c r="BU292" s="41"/>
      <c r="BV292" s="41"/>
      <c r="BW292" s="41"/>
      <c r="BX292" s="41"/>
      <c r="BY292" s="41"/>
      <c r="BZ292" s="41"/>
      <c r="CA292" s="41"/>
      <c r="CB292" s="41"/>
      <c r="CC292" s="41"/>
      <c r="CD292" s="41"/>
      <c r="CE292" s="41"/>
      <c r="CF292" s="41"/>
      <c r="CG292" s="41"/>
      <c r="CH292" s="41"/>
      <c r="CI292" s="41"/>
      <c r="CJ292" s="41"/>
      <c r="CK292" s="41"/>
      <c r="CL292" s="41"/>
      <c r="CM292" s="41"/>
      <c r="CN292" s="41"/>
      <c r="CO292" s="41"/>
      <c r="CP292" s="41"/>
      <c r="CQ292" s="41"/>
      <c r="CR292" s="41"/>
      <c r="CS292" s="41"/>
      <c r="CT292" s="41"/>
      <c r="CU292" s="41"/>
      <c r="CV292" s="41"/>
      <c r="CW292" s="41"/>
    </row>
    <row r="293" spans="1:101" ht="16.5" x14ac:dyDescent="0.35">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c r="AJ293" s="41"/>
      <c r="AK293" s="41"/>
      <c r="AL293" s="41"/>
      <c r="AM293" s="41"/>
      <c r="AN293" s="41"/>
      <c r="AO293" s="41"/>
      <c r="AP293" s="41"/>
      <c r="AQ293" s="41"/>
      <c r="AR293" s="41"/>
      <c r="AS293" s="41"/>
      <c r="AT293" s="41"/>
      <c r="AU293" s="41"/>
      <c r="AV293" s="41"/>
      <c r="AW293" s="41"/>
      <c r="AX293" s="41"/>
      <c r="AY293" s="41"/>
      <c r="AZ293" s="41"/>
      <c r="BA293" s="41"/>
      <c r="BB293" s="41"/>
      <c r="BC293" s="41"/>
      <c r="BD293" s="41"/>
      <c r="BE293" s="41"/>
      <c r="BF293" s="41"/>
      <c r="BG293" s="41"/>
      <c r="BH293" s="41"/>
      <c r="BI293" s="41"/>
      <c r="BJ293" s="41"/>
      <c r="BK293" s="41"/>
      <c r="BL293" s="41"/>
      <c r="BM293" s="41"/>
      <c r="BN293" s="41"/>
      <c r="BO293" s="41"/>
      <c r="BP293" s="41"/>
      <c r="BQ293" s="41"/>
      <c r="BR293" s="41"/>
      <c r="BS293" s="41"/>
      <c r="BT293" s="41"/>
      <c r="BU293" s="41"/>
      <c r="BV293" s="41"/>
      <c r="BW293" s="41"/>
      <c r="BX293" s="41"/>
      <c r="BY293" s="41"/>
      <c r="BZ293" s="41"/>
      <c r="CA293" s="41"/>
      <c r="CB293" s="41"/>
      <c r="CC293" s="41"/>
      <c r="CD293" s="41"/>
      <c r="CE293" s="41"/>
      <c r="CF293" s="41"/>
      <c r="CG293" s="41"/>
      <c r="CH293" s="41"/>
      <c r="CI293" s="41"/>
      <c r="CJ293" s="41"/>
      <c r="CK293" s="41"/>
      <c r="CL293" s="41"/>
      <c r="CM293" s="41"/>
      <c r="CN293" s="41"/>
      <c r="CO293" s="41"/>
      <c r="CP293" s="41"/>
      <c r="CQ293" s="41"/>
      <c r="CR293" s="41"/>
      <c r="CS293" s="41"/>
      <c r="CT293" s="41"/>
      <c r="CU293" s="41"/>
      <c r="CV293" s="41"/>
      <c r="CW293" s="41"/>
    </row>
    <row r="294" spans="1:101" ht="16.5" x14ac:dyDescent="0.35">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c r="AJ294" s="41"/>
      <c r="AK294" s="41"/>
      <c r="AL294" s="41"/>
      <c r="AM294" s="41"/>
      <c r="AN294" s="41"/>
      <c r="AO294" s="41"/>
      <c r="AP294" s="41"/>
      <c r="AQ294" s="41"/>
      <c r="AR294" s="41"/>
      <c r="AS294" s="41"/>
      <c r="AT294" s="41"/>
      <c r="AU294" s="41"/>
      <c r="AV294" s="41"/>
      <c r="AW294" s="41"/>
      <c r="AX294" s="41"/>
      <c r="AY294" s="41"/>
      <c r="AZ294" s="41"/>
      <c r="BA294" s="41"/>
      <c r="BB294" s="41"/>
      <c r="BC294" s="41"/>
      <c r="BD294" s="41"/>
      <c r="BE294" s="41"/>
      <c r="BF294" s="41"/>
      <c r="BG294" s="41"/>
      <c r="BH294" s="41"/>
      <c r="BI294" s="41"/>
      <c r="BJ294" s="41"/>
      <c r="BK294" s="41"/>
      <c r="BL294" s="41"/>
      <c r="BM294" s="41"/>
      <c r="BN294" s="41"/>
      <c r="BO294" s="41"/>
      <c r="BP294" s="41"/>
      <c r="BQ294" s="41"/>
      <c r="BR294" s="41"/>
      <c r="BS294" s="41"/>
      <c r="BT294" s="41"/>
      <c r="BU294" s="41"/>
      <c r="BV294" s="41"/>
      <c r="BW294" s="41"/>
      <c r="BX294" s="41"/>
      <c r="BY294" s="41"/>
      <c r="BZ294" s="41"/>
      <c r="CA294" s="41"/>
      <c r="CB294" s="41"/>
      <c r="CC294" s="41"/>
      <c r="CD294" s="41"/>
      <c r="CE294" s="41"/>
      <c r="CF294" s="41"/>
      <c r="CG294" s="41"/>
      <c r="CH294" s="41"/>
      <c r="CI294" s="41"/>
      <c r="CJ294" s="41"/>
      <c r="CK294" s="41"/>
      <c r="CL294" s="41"/>
      <c r="CM294" s="41"/>
      <c r="CN294" s="41"/>
      <c r="CO294" s="41"/>
      <c r="CP294" s="41"/>
      <c r="CQ294" s="41"/>
      <c r="CR294" s="41"/>
      <c r="CS294" s="41"/>
      <c r="CT294" s="41"/>
      <c r="CU294" s="41"/>
      <c r="CV294" s="41"/>
      <c r="CW294" s="41"/>
    </row>
    <row r="295" spans="1:101" ht="16.5" x14ac:dyDescent="0.35">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c r="AJ295" s="41"/>
      <c r="AK295" s="41"/>
      <c r="AL295" s="41"/>
      <c r="AM295" s="41"/>
      <c r="AN295" s="41"/>
      <c r="AO295" s="41"/>
      <c r="AP295" s="41"/>
      <c r="AQ295" s="41"/>
      <c r="AR295" s="41"/>
      <c r="AS295" s="41"/>
      <c r="AT295" s="41"/>
      <c r="AU295" s="41"/>
      <c r="AV295" s="41"/>
      <c r="AW295" s="41"/>
      <c r="AX295" s="41"/>
      <c r="AY295" s="41"/>
      <c r="AZ295" s="41"/>
      <c r="BA295" s="41"/>
      <c r="BB295" s="41"/>
      <c r="BC295" s="41"/>
      <c r="BD295" s="41"/>
      <c r="BE295" s="41"/>
      <c r="BF295" s="41"/>
      <c r="BG295" s="41"/>
      <c r="BH295" s="41"/>
      <c r="BI295" s="41"/>
      <c r="BJ295" s="41"/>
      <c r="BK295" s="41"/>
      <c r="BL295" s="41"/>
      <c r="BM295" s="41"/>
      <c r="BN295" s="41"/>
      <c r="BO295" s="41"/>
      <c r="BP295" s="41"/>
      <c r="BQ295" s="41"/>
      <c r="BR295" s="41"/>
      <c r="BS295" s="41"/>
      <c r="BT295" s="41"/>
      <c r="BU295" s="41"/>
      <c r="BV295" s="41"/>
      <c r="BW295" s="41"/>
      <c r="BX295" s="41"/>
      <c r="BY295" s="41"/>
      <c r="BZ295" s="41"/>
      <c r="CA295" s="41"/>
      <c r="CB295" s="41"/>
      <c r="CC295" s="41"/>
      <c r="CD295" s="41"/>
      <c r="CE295" s="41"/>
      <c r="CF295" s="41"/>
      <c r="CG295" s="41"/>
      <c r="CH295" s="41"/>
      <c r="CI295" s="41"/>
      <c r="CJ295" s="41"/>
      <c r="CK295" s="41"/>
      <c r="CL295" s="41"/>
      <c r="CM295" s="41"/>
      <c r="CN295" s="41"/>
      <c r="CO295" s="41"/>
      <c r="CP295" s="41"/>
      <c r="CQ295" s="41"/>
      <c r="CR295" s="41"/>
      <c r="CS295" s="41"/>
      <c r="CT295" s="41"/>
      <c r="CU295" s="41"/>
      <c r="CV295" s="41"/>
      <c r="CW295" s="41"/>
    </row>
    <row r="296" spans="1:101" ht="16.5" x14ac:dyDescent="0.35">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c r="AJ296" s="41"/>
      <c r="AK296" s="41"/>
      <c r="AL296" s="41"/>
      <c r="AM296" s="41"/>
      <c r="AN296" s="41"/>
      <c r="AO296" s="41"/>
      <c r="AP296" s="41"/>
      <c r="AQ296" s="41"/>
      <c r="AR296" s="41"/>
      <c r="AS296" s="41"/>
      <c r="AT296" s="41"/>
      <c r="AU296" s="41"/>
      <c r="AV296" s="41"/>
      <c r="AW296" s="41"/>
      <c r="AX296" s="41"/>
      <c r="AY296" s="41"/>
      <c r="AZ296" s="41"/>
      <c r="BA296" s="41"/>
      <c r="BB296" s="41"/>
      <c r="BC296" s="41"/>
      <c r="BD296" s="41"/>
      <c r="BE296" s="41"/>
      <c r="BF296" s="41"/>
      <c r="BG296" s="41"/>
      <c r="BH296" s="41"/>
      <c r="BI296" s="41"/>
      <c r="BJ296" s="41"/>
      <c r="BK296" s="41"/>
      <c r="BL296" s="41"/>
      <c r="BM296" s="41"/>
      <c r="BN296" s="41"/>
      <c r="BO296" s="41"/>
      <c r="BP296" s="41"/>
      <c r="BQ296" s="41"/>
      <c r="BR296" s="41"/>
      <c r="BS296" s="41"/>
      <c r="BT296" s="41"/>
      <c r="BU296" s="41"/>
      <c r="BV296" s="41"/>
      <c r="BW296" s="41"/>
      <c r="BX296" s="41"/>
      <c r="BY296" s="41"/>
      <c r="BZ296" s="41"/>
      <c r="CA296" s="41"/>
      <c r="CB296" s="41"/>
      <c r="CC296" s="41"/>
      <c r="CD296" s="41"/>
      <c r="CE296" s="41"/>
      <c r="CF296" s="41"/>
      <c r="CG296" s="41"/>
      <c r="CH296" s="41"/>
      <c r="CI296" s="41"/>
      <c r="CJ296" s="41"/>
      <c r="CK296" s="41"/>
      <c r="CL296" s="41"/>
      <c r="CM296" s="41"/>
      <c r="CN296" s="41"/>
      <c r="CO296" s="41"/>
      <c r="CP296" s="41"/>
      <c r="CQ296" s="41"/>
      <c r="CR296" s="41"/>
      <c r="CS296" s="41"/>
      <c r="CT296" s="41"/>
      <c r="CU296" s="41"/>
      <c r="CV296" s="41"/>
      <c r="CW296" s="41"/>
    </row>
    <row r="297" spans="1:101" ht="16.5" x14ac:dyDescent="0.35">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c r="AJ297" s="41"/>
      <c r="AK297" s="41"/>
      <c r="AL297" s="41"/>
      <c r="AM297" s="41"/>
      <c r="AN297" s="41"/>
      <c r="AO297" s="41"/>
      <c r="AP297" s="41"/>
      <c r="AQ297" s="41"/>
      <c r="AR297" s="41"/>
      <c r="AS297" s="41"/>
      <c r="AT297" s="41"/>
      <c r="AU297" s="41"/>
      <c r="AV297" s="41"/>
      <c r="AW297" s="41"/>
      <c r="AX297" s="41"/>
      <c r="AY297" s="41"/>
      <c r="AZ297" s="41"/>
      <c r="BA297" s="41"/>
      <c r="BB297" s="41"/>
      <c r="BC297" s="41"/>
      <c r="BD297" s="41"/>
      <c r="BE297" s="41"/>
      <c r="BF297" s="41"/>
      <c r="BG297" s="41"/>
      <c r="BH297" s="41"/>
      <c r="BI297" s="41"/>
      <c r="BJ297" s="41"/>
      <c r="BK297" s="41"/>
      <c r="BL297" s="41"/>
      <c r="BM297" s="41"/>
      <c r="BN297" s="41"/>
      <c r="BO297" s="41"/>
      <c r="BP297" s="41"/>
      <c r="BQ297" s="41"/>
      <c r="BR297" s="41"/>
      <c r="BS297" s="41"/>
      <c r="BT297" s="41"/>
      <c r="BU297" s="41"/>
      <c r="BV297" s="41"/>
      <c r="BW297" s="41"/>
      <c r="BX297" s="41"/>
      <c r="BY297" s="41"/>
      <c r="BZ297" s="41"/>
      <c r="CA297" s="41"/>
      <c r="CB297" s="41"/>
      <c r="CC297" s="41"/>
      <c r="CD297" s="41"/>
      <c r="CE297" s="41"/>
      <c r="CF297" s="41"/>
      <c r="CG297" s="41"/>
      <c r="CH297" s="41"/>
      <c r="CI297" s="41"/>
      <c r="CJ297" s="41"/>
      <c r="CK297" s="41"/>
      <c r="CL297" s="41"/>
      <c r="CM297" s="41"/>
      <c r="CN297" s="41"/>
      <c r="CO297" s="41"/>
      <c r="CP297" s="41"/>
      <c r="CQ297" s="41"/>
      <c r="CR297" s="41"/>
      <c r="CS297" s="41"/>
      <c r="CT297" s="41"/>
      <c r="CU297" s="41"/>
      <c r="CV297" s="41"/>
      <c r="CW297" s="41"/>
    </row>
    <row r="298" spans="1:101" ht="16.5" x14ac:dyDescent="0.35">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c r="AJ298" s="41"/>
      <c r="AK298" s="41"/>
      <c r="AL298" s="41"/>
      <c r="AM298" s="41"/>
      <c r="AN298" s="41"/>
      <c r="AO298" s="41"/>
      <c r="AP298" s="41"/>
      <c r="AQ298" s="41"/>
      <c r="AR298" s="41"/>
      <c r="AS298" s="41"/>
      <c r="AT298" s="41"/>
      <c r="AU298" s="41"/>
      <c r="AV298" s="41"/>
      <c r="AW298" s="41"/>
      <c r="AX298" s="41"/>
      <c r="AY298" s="41"/>
      <c r="AZ298" s="41"/>
      <c r="BA298" s="41"/>
      <c r="BB298" s="41"/>
      <c r="BC298" s="41"/>
      <c r="BD298" s="41"/>
      <c r="BE298" s="41"/>
      <c r="BF298" s="41"/>
      <c r="BG298" s="41"/>
      <c r="BH298" s="41"/>
      <c r="BI298" s="41"/>
      <c r="BJ298" s="41"/>
      <c r="BK298" s="41"/>
      <c r="BL298" s="41"/>
      <c r="BM298" s="41"/>
      <c r="BN298" s="41"/>
      <c r="BO298" s="41"/>
      <c r="BP298" s="41"/>
      <c r="BQ298" s="41"/>
      <c r="BR298" s="41"/>
      <c r="BS298" s="41"/>
      <c r="BT298" s="41"/>
      <c r="BU298" s="41"/>
      <c r="BV298" s="41"/>
      <c r="BW298" s="41"/>
      <c r="BX298" s="41"/>
      <c r="BY298" s="41"/>
      <c r="BZ298" s="41"/>
      <c r="CA298" s="41"/>
      <c r="CB298" s="41"/>
      <c r="CC298" s="41"/>
      <c r="CD298" s="41"/>
      <c r="CE298" s="41"/>
      <c r="CF298" s="41"/>
      <c r="CG298" s="41"/>
      <c r="CH298" s="41"/>
      <c r="CI298" s="41"/>
      <c r="CJ298" s="41"/>
      <c r="CK298" s="41"/>
      <c r="CL298" s="41"/>
      <c r="CM298" s="41"/>
      <c r="CN298" s="41"/>
      <c r="CO298" s="41"/>
      <c r="CP298" s="41"/>
      <c r="CQ298" s="41"/>
      <c r="CR298" s="41"/>
      <c r="CS298" s="41"/>
      <c r="CT298" s="41"/>
      <c r="CU298" s="41"/>
      <c r="CV298" s="41"/>
      <c r="CW298" s="41"/>
    </row>
    <row r="299" spans="1:101" ht="16.5" x14ac:dyDescent="0.35">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c r="AJ299" s="41"/>
      <c r="AK299" s="41"/>
      <c r="AL299" s="41"/>
      <c r="AM299" s="41"/>
      <c r="AN299" s="41"/>
      <c r="AO299" s="41"/>
      <c r="AP299" s="41"/>
      <c r="AQ299" s="41"/>
      <c r="AR299" s="41"/>
      <c r="AS299" s="41"/>
      <c r="AT299" s="41"/>
      <c r="AU299" s="41"/>
      <c r="AV299" s="41"/>
      <c r="AW299" s="41"/>
      <c r="AX299" s="41"/>
      <c r="AY299" s="41"/>
      <c r="AZ299" s="41"/>
      <c r="BA299" s="41"/>
      <c r="BB299" s="41"/>
      <c r="BC299" s="41"/>
      <c r="BD299" s="41"/>
      <c r="BE299" s="41"/>
      <c r="BF299" s="41"/>
      <c r="BG299" s="41"/>
      <c r="BH299" s="41"/>
      <c r="BI299" s="41"/>
      <c r="BJ299" s="41"/>
      <c r="BK299" s="41"/>
      <c r="BL299" s="41"/>
      <c r="BM299" s="41"/>
      <c r="BN299" s="41"/>
      <c r="BO299" s="41"/>
      <c r="BP299" s="41"/>
      <c r="BQ299" s="41"/>
      <c r="BR299" s="41"/>
      <c r="BS299" s="41"/>
      <c r="BT299" s="41"/>
      <c r="BU299" s="41"/>
      <c r="BV299" s="41"/>
      <c r="BW299" s="41"/>
      <c r="BX299" s="41"/>
      <c r="BY299" s="41"/>
      <c r="BZ299" s="41"/>
      <c r="CA299" s="41"/>
      <c r="CB299" s="41"/>
      <c r="CC299" s="41"/>
      <c r="CD299" s="41"/>
      <c r="CE299" s="41"/>
      <c r="CF299" s="41"/>
      <c r="CG299" s="41"/>
      <c r="CH299" s="41"/>
      <c r="CI299" s="41"/>
      <c r="CJ299" s="41"/>
      <c r="CK299" s="41"/>
      <c r="CL299" s="41"/>
      <c r="CM299" s="41"/>
      <c r="CN299" s="41"/>
      <c r="CO299" s="41"/>
      <c r="CP299" s="41"/>
      <c r="CQ299" s="41"/>
      <c r="CR299" s="41"/>
      <c r="CS299" s="41"/>
      <c r="CT299" s="41"/>
      <c r="CU299" s="41"/>
      <c r="CV299" s="41"/>
      <c r="CW299" s="41"/>
    </row>
    <row r="300" spans="1:101" ht="16.5" x14ac:dyDescent="0.35">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c r="AJ300" s="41"/>
      <c r="AK300" s="41"/>
      <c r="AL300" s="41"/>
      <c r="AM300" s="41"/>
      <c r="AN300" s="41"/>
      <c r="AO300" s="41"/>
      <c r="AP300" s="41"/>
      <c r="AQ300" s="41"/>
      <c r="AR300" s="41"/>
      <c r="AS300" s="41"/>
      <c r="AT300" s="41"/>
      <c r="AU300" s="41"/>
      <c r="AV300" s="41"/>
      <c r="AW300" s="41"/>
      <c r="AX300" s="41"/>
      <c r="AY300" s="41"/>
      <c r="AZ300" s="41"/>
      <c r="BA300" s="41"/>
      <c r="BB300" s="41"/>
      <c r="BC300" s="41"/>
      <c r="BD300" s="41"/>
      <c r="BE300" s="41"/>
      <c r="BF300" s="41"/>
      <c r="BG300" s="41"/>
      <c r="BH300" s="41"/>
      <c r="BI300" s="41"/>
      <c r="BJ300" s="41"/>
      <c r="BK300" s="41"/>
      <c r="BL300" s="41"/>
      <c r="BM300" s="41"/>
      <c r="BN300" s="41"/>
      <c r="BO300" s="41"/>
      <c r="BP300" s="41"/>
      <c r="BQ300" s="41"/>
      <c r="BR300" s="41"/>
      <c r="BS300" s="41"/>
      <c r="BT300" s="41"/>
      <c r="BU300" s="41"/>
      <c r="BV300" s="41"/>
      <c r="BW300" s="41"/>
      <c r="BX300" s="41"/>
      <c r="BY300" s="41"/>
      <c r="BZ300" s="41"/>
      <c r="CA300" s="41"/>
      <c r="CB300" s="41"/>
      <c r="CC300" s="41"/>
      <c r="CD300" s="41"/>
      <c r="CE300" s="41"/>
      <c r="CF300" s="41"/>
      <c r="CG300" s="41"/>
      <c r="CH300" s="41"/>
      <c r="CI300" s="41"/>
      <c r="CJ300" s="41"/>
      <c r="CK300" s="41"/>
      <c r="CL300" s="41"/>
      <c r="CM300" s="41"/>
      <c r="CN300" s="41"/>
      <c r="CO300" s="41"/>
      <c r="CP300" s="41"/>
      <c r="CQ300" s="41"/>
      <c r="CR300" s="41"/>
      <c r="CS300" s="41"/>
      <c r="CT300" s="41"/>
      <c r="CU300" s="41"/>
      <c r="CV300" s="41"/>
      <c r="CW300" s="41"/>
    </row>
    <row r="301" spans="1:101" ht="16.5" x14ac:dyDescent="0.35">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c r="AJ301" s="41"/>
      <c r="AK301" s="41"/>
      <c r="AL301" s="41"/>
      <c r="AM301" s="41"/>
      <c r="AN301" s="41"/>
      <c r="AO301" s="41"/>
      <c r="AP301" s="41"/>
      <c r="AQ301" s="41"/>
      <c r="AR301" s="41"/>
      <c r="AS301" s="41"/>
      <c r="AT301" s="41"/>
      <c r="AU301" s="41"/>
      <c r="AV301" s="41"/>
      <c r="AW301" s="41"/>
      <c r="AX301" s="41"/>
      <c r="AY301" s="41"/>
      <c r="AZ301" s="41"/>
      <c r="BA301" s="41"/>
      <c r="BB301" s="41"/>
      <c r="BC301" s="41"/>
      <c r="BD301" s="41"/>
      <c r="BE301" s="41"/>
      <c r="BF301" s="41"/>
      <c r="BG301" s="41"/>
      <c r="BH301" s="41"/>
      <c r="BI301" s="41"/>
      <c r="BJ301" s="41"/>
      <c r="BK301" s="41"/>
      <c r="BL301" s="41"/>
      <c r="BM301" s="41"/>
      <c r="BN301" s="41"/>
      <c r="BO301" s="41"/>
      <c r="BP301" s="41"/>
      <c r="BQ301" s="41"/>
      <c r="BR301" s="41"/>
      <c r="BS301" s="41"/>
      <c r="BT301" s="41"/>
      <c r="BU301" s="41"/>
      <c r="BV301" s="41"/>
      <c r="BW301" s="41"/>
      <c r="BX301" s="41"/>
      <c r="BY301" s="41"/>
      <c r="BZ301" s="41"/>
      <c r="CA301" s="41"/>
      <c r="CB301" s="41"/>
      <c r="CC301" s="41"/>
      <c r="CD301" s="41"/>
      <c r="CE301" s="41"/>
      <c r="CF301" s="41"/>
      <c r="CG301" s="41"/>
      <c r="CH301" s="41"/>
      <c r="CI301" s="41"/>
      <c r="CJ301" s="41"/>
      <c r="CK301" s="41"/>
      <c r="CL301" s="41"/>
      <c r="CM301" s="41"/>
      <c r="CN301" s="41"/>
      <c r="CO301" s="41"/>
      <c r="CP301" s="41"/>
      <c r="CQ301" s="41"/>
      <c r="CR301" s="41"/>
      <c r="CS301" s="41"/>
      <c r="CT301" s="41"/>
      <c r="CU301" s="41"/>
      <c r="CV301" s="41"/>
      <c r="CW301" s="41"/>
    </row>
    <row r="302" spans="1:101" ht="16.5" x14ac:dyDescent="0.35">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c r="AJ302" s="41"/>
      <c r="AK302" s="41"/>
      <c r="AL302" s="41"/>
      <c r="AM302" s="41"/>
      <c r="AN302" s="41"/>
      <c r="AO302" s="41"/>
      <c r="AP302" s="41"/>
      <c r="AQ302" s="41"/>
      <c r="AR302" s="41"/>
      <c r="AS302" s="41"/>
      <c r="AT302" s="41"/>
      <c r="AU302" s="41"/>
      <c r="AV302" s="41"/>
      <c r="AW302" s="41"/>
      <c r="AX302" s="41"/>
      <c r="AY302" s="41"/>
      <c r="AZ302" s="41"/>
      <c r="BA302" s="41"/>
      <c r="BB302" s="41"/>
      <c r="BC302" s="41"/>
      <c r="BD302" s="41"/>
      <c r="BE302" s="41"/>
      <c r="BF302" s="41"/>
      <c r="BG302" s="41"/>
      <c r="BH302" s="41"/>
      <c r="BI302" s="41"/>
      <c r="BJ302" s="41"/>
      <c r="BK302" s="41"/>
      <c r="BL302" s="41"/>
      <c r="BM302" s="41"/>
      <c r="BN302" s="41"/>
      <c r="BO302" s="41"/>
      <c r="BP302" s="41"/>
      <c r="BQ302" s="41"/>
      <c r="BR302" s="41"/>
      <c r="BS302" s="41"/>
      <c r="BT302" s="41"/>
      <c r="BU302" s="41"/>
      <c r="BV302" s="41"/>
      <c r="BW302" s="41"/>
      <c r="BX302" s="41"/>
      <c r="BY302" s="41"/>
      <c r="BZ302" s="41"/>
      <c r="CA302" s="41"/>
      <c r="CB302" s="41"/>
      <c r="CC302" s="41"/>
      <c r="CD302" s="41"/>
      <c r="CE302" s="41"/>
      <c r="CF302" s="41"/>
      <c r="CG302" s="41"/>
      <c r="CH302" s="41"/>
      <c r="CI302" s="41"/>
      <c r="CJ302" s="41"/>
      <c r="CK302" s="41"/>
      <c r="CL302" s="41"/>
      <c r="CM302" s="41"/>
      <c r="CN302" s="41"/>
      <c r="CO302" s="41"/>
      <c r="CP302" s="41"/>
      <c r="CQ302" s="41"/>
      <c r="CR302" s="41"/>
      <c r="CS302" s="41"/>
      <c r="CT302" s="41"/>
      <c r="CU302" s="41"/>
      <c r="CV302" s="41"/>
      <c r="CW302" s="41"/>
    </row>
    <row r="303" spans="1:101" ht="16.5" x14ac:dyDescent="0.35">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c r="AJ303" s="41"/>
      <c r="AK303" s="41"/>
      <c r="AL303" s="41"/>
      <c r="AM303" s="41"/>
      <c r="AN303" s="41"/>
      <c r="AO303" s="41"/>
      <c r="AP303" s="41"/>
      <c r="AQ303" s="41"/>
      <c r="AR303" s="41"/>
      <c r="AS303" s="41"/>
      <c r="AT303" s="41"/>
      <c r="AU303" s="41"/>
      <c r="AV303" s="41"/>
      <c r="AW303" s="41"/>
      <c r="AX303" s="41"/>
      <c r="AY303" s="41"/>
      <c r="AZ303" s="41"/>
      <c r="BA303" s="41"/>
      <c r="BB303" s="41"/>
      <c r="BC303" s="41"/>
      <c r="BD303" s="41"/>
      <c r="BE303" s="41"/>
      <c r="BF303" s="41"/>
      <c r="BG303" s="41"/>
      <c r="BH303" s="41"/>
      <c r="BI303" s="41"/>
      <c r="BJ303" s="41"/>
      <c r="BK303" s="41"/>
      <c r="BL303" s="41"/>
      <c r="BM303" s="41"/>
      <c r="BN303" s="41"/>
      <c r="BO303" s="41"/>
      <c r="BP303" s="41"/>
      <c r="BQ303" s="41"/>
      <c r="BR303" s="41"/>
      <c r="BS303" s="41"/>
      <c r="BT303" s="41"/>
      <c r="BU303" s="41"/>
      <c r="BV303" s="41"/>
      <c r="BW303" s="41"/>
      <c r="BX303" s="41"/>
      <c r="BY303" s="41"/>
      <c r="BZ303" s="41"/>
      <c r="CA303" s="41"/>
      <c r="CB303" s="41"/>
      <c r="CC303" s="41"/>
      <c r="CD303" s="41"/>
      <c r="CE303" s="41"/>
      <c r="CF303" s="41"/>
      <c r="CG303" s="41"/>
      <c r="CH303" s="41"/>
      <c r="CI303" s="41"/>
      <c r="CJ303" s="41"/>
      <c r="CK303" s="41"/>
      <c r="CL303" s="41"/>
      <c r="CM303" s="41"/>
      <c r="CN303" s="41"/>
      <c r="CO303" s="41"/>
      <c r="CP303" s="41"/>
      <c r="CQ303" s="41"/>
      <c r="CR303" s="41"/>
      <c r="CS303" s="41"/>
      <c r="CT303" s="41"/>
      <c r="CU303" s="41"/>
      <c r="CV303" s="41"/>
      <c r="CW303" s="41"/>
    </row>
    <row r="304" spans="1:101" ht="16.5" x14ac:dyDescent="0.35">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c r="AP304" s="41"/>
      <c r="AQ304" s="41"/>
      <c r="AR304" s="41"/>
      <c r="AS304" s="41"/>
      <c r="AT304" s="41"/>
      <c r="AU304" s="41"/>
      <c r="AV304" s="41"/>
      <c r="AW304" s="41"/>
      <c r="AX304" s="41"/>
      <c r="AY304" s="41"/>
      <c r="AZ304" s="41"/>
      <c r="BA304" s="41"/>
      <c r="BB304" s="41"/>
      <c r="BC304" s="41"/>
      <c r="BD304" s="41"/>
      <c r="BE304" s="41"/>
      <c r="BF304" s="41"/>
      <c r="BG304" s="41"/>
      <c r="BH304" s="41"/>
      <c r="BI304" s="41"/>
      <c r="BJ304" s="41"/>
      <c r="BK304" s="41"/>
      <c r="BL304" s="41"/>
      <c r="BM304" s="41"/>
      <c r="BN304" s="41"/>
      <c r="BO304" s="41"/>
      <c r="BP304" s="41"/>
      <c r="BQ304" s="41"/>
      <c r="BR304" s="41"/>
      <c r="BS304" s="41"/>
      <c r="BT304" s="41"/>
      <c r="BU304" s="41"/>
      <c r="BV304" s="41"/>
      <c r="BW304" s="41"/>
      <c r="BX304" s="41"/>
      <c r="BY304" s="41"/>
      <c r="BZ304" s="41"/>
      <c r="CA304" s="41"/>
      <c r="CB304" s="41"/>
      <c r="CC304" s="41"/>
      <c r="CD304" s="41"/>
      <c r="CE304" s="41"/>
      <c r="CF304" s="41"/>
      <c r="CG304" s="41"/>
      <c r="CH304" s="41"/>
      <c r="CI304" s="41"/>
      <c r="CJ304" s="41"/>
      <c r="CK304" s="41"/>
      <c r="CL304" s="41"/>
      <c r="CM304" s="41"/>
      <c r="CN304" s="41"/>
      <c r="CO304" s="41"/>
      <c r="CP304" s="41"/>
      <c r="CQ304" s="41"/>
      <c r="CR304" s="41"/>
      <c r="CS304" s="41"/>
      <c r="CT304" s="41"/>
      <c r="CU304" s="41"/>
      <c r="CV304" s="41"/>
      <c r="CW304" s="41"/>
    </row>
    <row r="305" spans="1:101" ht="16.5" x14ac:dyDescent="0.35">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c r="AJ305" s="41"/>
      <c r="AK305" s="41"/>
      <c r="AL305" s="41"/>
      <c r="AM305" s="41"/>
      <c r="AN305" s="41"/>
      <c r="AO305" s="41"/>
      <c r="AP305" s="41"/>
      <c r="AQ305" s="41"/>
      <c r="AR305" s="41"/>
      <c r="AS305" s="41"/>
      <c r="AT305" s="41"/>
      <c r="AU305" s="41"/>
      <c r="AV305" s="41"/>
      <c r="AW305" s="41"/>
      <c r="AX305" s="41"/>
      <c r="AY305" s="41"/>
      <c r="AZ305" s="41"/>
      <c r="BA305" s="41"/>
      <c r="BB305" s="41"/>
      <c r="BC305" s="41"/>
      <c r="BD305" s="41"/>
      <c r="BE305" s="41"/>
      <c r="BF305" s="41"/>
      <c r="BG305" s="41"/>
      <c r="BH305" s="41"/>
      <c r="BI305" s="41"/>
      <c r="BJ305" s="41"/>
      <c r="BK305" s="41"/>
      <c r="BL305" s="41"/>
      <c r="BM305" s="41"/>
      <c r="BN305" s="41"/>
      <c r="BO305" s="41"/>
      <c r="BP305" s="41"/>
      <c r="BQ305" s="41"/>
      <c r="BR305" s="41"/>
      <c r="BS305" s="41"/>
      <c r="BT305" s="41"/>
      <c r="BU305" s="41"/>
      <c r="BV305" s="41"/>
      <c r="BW305" s="41"/>
      <c r="BX305" s="41"/>
      <c r="BY305" s="41"/>
      <c r="BZ305" s="41"/>
      <c r="CA305" s="41"/>
      <c r="CB305" s="41"/>
      <c r="CC305" s="41"/>
      <c r="CD305" s="41"/>
      <c r="CE305" s="41"/>
      <c r="CF305" s="41"/>
      <c r="CG305" s="41"/>
      <c r="CH305" s="41"/>
      <c r="CI305" s="41"/>
      <c r="CJ305" s="41"/>
      <c r="CK305" s="41"/>
      <c r="CL305" s="41"/>
      <c r="CM305" s="41"/>
      <c r="CN305" s="41"/>
      <c r="CO305" s="41"/>
      <c r="CP305" s="41"/>
      <c r="CQ305" s="41"/>
      <c r="CR305" s="41"/>
      <c r="CS305" s="41"/>
      <c r="CT305" s="41"/>
      <c r="CU305" s="41"/>
      <c r="CV305" s="41"/>
      <c r="CW305" s="41"/>
    </row>
    <row r="306" spans="1:101" ht="16.5" x14ac:dyDescent="0.35">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c r="AJ306" s="41"/>
      <c r="AK306" s="41"/>
      <c r="AL306" s="41"/>
      <c r="AM306" s="41"/>
      <c r="AN306" s="41"/>
      <c r="AO306" s="41"/>
      <c r="AP306" s="41"/>
      <c r="AQ306" s="41"/>
      <c r="AR306" s="41"/>
      <c r="AS306" s="41"/>
      <c r="AT306" s="41"/>
      <c r="AU306" s="41"/>
      <c r="AV306" s="41"/>
      <c r="AW306" s="41"/>
      <c r="AX306" s="41"/>
      <c r="AY306" s="41"/>
      <c r="AZ306" s="41"/>
      <c r="BA306" s="41"/>
      <c r="BB306" s="41"/>
      <c r="BC306" s="41"/>
      <c r="BD306" s="41"/>
      <c r="BE306" s="41"/>
      <c r="BF306" s="41"/>
      <c r="BG306" s="41"/>
      <c r="BH306" s="41"/>
      <c r="BI306" s="41"/>
      <c r="BJ306" s="41"/>
      <c r="BK306" s="41"/>
      <c r="BL306" s="41"/>
      <c r="BM306" s="41"/>
      <c r="BN306" s="41"/>
      <c r="BO306" s="41"/>
      <c r="BP306" s="41"/>
      <c r="BQ306" s="41"/>
      <c r="BR306" s="41"/>
      <c r="BS306" s="41"/>
      <c r="BT306" s="41"/>
      <c r="BU306" s="41"/>
      <c r="BV306" s="41"/>
      <c r="BW306" s="41"/>
      <c r="BX306" s="41"/>
      <c r="BY306" s="41"/>
      <c r="BZ306" s="41"/>
      <c r="CA306" s="41"/>
      <c r="CB306" s="41"/>
      <c r="CC306" s="41"/>
      <c r="CD306" s="41"/>
      <c r="CE306" s="41"/>
      <c r="CF306" s="41"/>
      <c r="CG306" s="41"/>
      <c r="CH306" s="41"/>
      <c r="CI306" s="41"/>
      <c r="CJ306" s="41"/>
      <c r="CK306" s="41"/>
      <c r="CL306" s="41"/>
      <c r="CM306" s="41"/>
      <c r="CN306" s="41"/>
      <c r="CO306" s="41"/>
      <c r="CP306" s="41"/>
      <c r="CQ306" s="41"/>
      <c r="CR306" s="41"/>
      <c r="CS306" s="41"/>
      <c r="CT306" s="41"/>
      <c r="CU306" s="41"/>
      <c r="CV306" s="41"/>
      <c r="CW306" s="41"/>
    </row>
    <row r="307" spans="1:101" ht="16.5" x14ac:dyDescent="0.35">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c r="AJ307" s="41"/>
      <c r="AK307" s="41"/>
      <c r="AL307" s="41"/>
      <c r="AM307" s="41"/>
      <c r="AN307" s="41"/>
      <c r="AO307" s="41"/>
      <c r="AP307" s="41"/>
      <c r="AQ307" s="41"/>
      <c r="AR307" s="41"/>
      <c r="AS307" s="41"/>
      <c r="AT307" s="41"/>
      <c r="AU307" s="41"/>
      <c r="AV307" s="41"/>
      <c r="AW307" s="41"/>
      <c r="AX307" s="41"/>
      <c r="AY307" s="41"/>
      <c r="AZ307" s="41"/>
      <c r="BA307" s="41"/>
      <c r="BB307" s="41"/>
      <c r="BC307" s="41"/>
      <c r="BD307" s="41"/>
      <c r="BE307" s="41"/>
      <c r="BF307" s="41"/>
      <c r="BG307" s="41"/>
      <c r="BH307" s="41"/>
      <c r="BI307" s="41"/>
      <c r="BJ307" s="41"/>
      <c r="BK307" s="41"/>
      <c r="BL307" s="41"/>
      <c r="BM307" s="41"/>
      <c r="BN307" s="41"/>
      <c r="BO307" s="41"/>
      <c r="BP307" s="41"/>
      <c r="BQ307" s="41"/>
      <c r="BR307" s="41"/>
      <c r="BS307" s="41"/>
      <c r="BT307" s="41"/>
      <c r="BU307" s="41"/>
      <c r="BV307" s="41"/>
      <c r="BW307" s="41"/>
      <c r="BX307" s="41"/>
      <c r="BY307" s="41"/>
      <c r="BZ307" s="41"/>
      <c r="CA307" s="41"/>
      <c r="CB307" s="41"/>
      <c r="CC307" s="41"/>
      <c r="CD307" s="41"/>
      <c r="CE307" s="41"/>
      <c r="CF307" s="41"/>
      <c r="CG307" s="41"/>
      <c r="CH307" s="41"/>
      <c r="CI307" s="41"/>
      <c r="CJ307" s="41"/>
      <c r="CK307" s="41"/>
      <c r="CL307" s="41"/>
      <c r="CM307" s="41"/>
      <c r="CN307" s="41"/>
      <c r="CO307" s="41"/>
      <c r="CP307" s="41"/>
      <c r="CQ307" s="41"/>
      <c r="CR307" s="41"/>
      <c r="CS307" s="41"/>
      <c r="CT307" s="41"/>
      <c r="CU307" s="41"/>
      <c r="CV307" s="41"/>
      <c r="CW307" s="41"/>
    </row>
    <row r="308" spans="1:101" ht="16.5" x14ac:dyDescent="0.35">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c r="AJ308" s="41"/>
      <c r="AK308" s="41"/>
      <c r="AL308" s="41"/>
      <c r="AM308" s="41"/>
      <c r="AN308" s="41"/>
      <c r="AO308" s="41"/>
      <c r="AP308" s="41"/>
      <c r="AQ308" s="41"/>
      <c r="AR308" s="41"/>
      <c r="AS308" s="41"/>
      <c r="AT308" s="41"/>
      <c r="AU308" s="41"/>
      <c r="AV308" s="41"/>
      <c r="AW308" s="41"/>
      <c r="AX308" s="41"/>
      <c r="AY308" s="41"/>
      <c r="AZ308" s="41"/>
      <c r="BA308" s="41"/>
      <c r="BB308" s="41"/>
      <c r="BC308" s="41"/>
      <c r="BD308" s="41"/>
      <c r="BE308" s="41"/>
      <c r="BF308" s="41"/>
      <c r="BG308" s="41"/>
      <c r="BH308" s="41"/>
      <c r="BI308" s="41"/>
      <c r="BJ308" s="41"/>
      <c r="BK308" s="41"/>
      <c r="BL308" s="41"/>
      <c r="BM308" s="41"/>
      <c r="BN308" s="41"/>
      <c r="BO308" s="41"/>
      <c r="BP308" s="41"/>
      <c r="BQ308" s="41"/>
      <c r="BR308" s="41"/>
      <c r="BS308" s="41"/>
      <c r="BT308" s="41"/>
      <c r="BU308" s="41"/>
      <c r="BV308" s="41"/>
      <c r="BW308" s="41"/>
      <c r="BX308" s="41"/>
      <c r="BY308" s="41"/>
      <c r="BZ308" s="41"/>
      <c r="CA308" s="41"/>
      <c r="CB308" s="41"/>
      <c r="CC308" s="41"/>
      <c r="CD308" s="41"/>
      <c r="CE308" s="41"/>
      <c r="CF308" s="41"/>
      <c r="CG308" s="41"/>
      <c r="CH308" s="41"/>
      <c r="CI308" s="41"/>
      <c r="CJ308" s="41"/>
      <c r="CK308" s="41"/>
      <c r="CL308" s="41"/>
      <c r="CM308" s="41"/>
      <c r="CN308" s="41"/>
      <c r="CO308" s="41"/>
      <c r="CP308" s="41"/>
      <c r="CQ308" s="41"/>
      <c r="CR308" s="41"/>
      <c r="CS308" s="41"/>
      <c r="CT308" s="41"/>
      <c r="CU308" s="41"/>
      <c r="CV308" s="41"/>
      <c r="CW308" s="41"/>
    </row>
    <row r="309" spans="1:101" ht="16.5" x14ac:dyDescent="0.35">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c r="AJ309" s="41"/>
      <c r="AK309" s="41"/>
      <c r="AL309" s="41"/>
      <c r="AM309" s="41"/>
      <c r="AN309" s="41"/>
      <c r="AO309" s="41"/>
      <c r="AP309" s="41"/>
      <c r="AQ309" s="41"/>
      <c r="AR309" s="41"/>
      <c r="AS309" s="41"/>
      <c r="AT309" s="41"/>
      <c r="AU309" s="41"/>
      <c r="AV309" s="41"/>
      <c r="AW309" s="41"/>
      <c r="AX309" s="41"/>
      <c r="AY309" s="41"/>
      <c r="AZ309" s="41"/>
      <c r="BA309" s="41"/>
      <c r="BB309" s="41"/>
      <c r="BC309" s="41"/>
      <c r="BD309" s="41"/>
      <c r="BE309" s="41"/>
      <c r="BF309" s="41"/>
      <c r="BG309" s="41"/>
      <c r="BH309" s="41"/>
      <c r="BI309" s="41"/>
      <c r="BJ309" s="41"/>
      <c r="BK309" s="41"/>
      <c r="BL309" s="41"/>
      <c r="BM309" s="41"/>
      <c r="BN309" s="41"/>
      <c r="BO309" s="41"/>
      <c r="BP309" s="41"/>
      <c r="BQ309" s="41"/>
      <c r="BR309" s="41"/>
      <c r="BS309" s="41"/>
      <c r="BT309" s="41"/>
      <c r="BU309" s="41"/>
      <c r="BV309" s="41"/>
      <c r="BW309" s="41"/>
      <c r="BX309" s="41"/>
      <c r="BY309" s="41"/>
      <c r="BZ309" s="41"/>
      <c r="CA309" s="41"/>
      <c r="CB309" s="41"/>
      <c r="CC309" s="41"/>
      <c r="CD309" s="41"/>
      <c r="CE309" s="41"/>
      <c r="CF309" s="41"/>
      <c r="CG309" s="41"/>
      <c r="CH309" s="41"/>
      <c r="CI309" s="41"/>
      <c r="CJ309" s="41"/>
      <c r="CK309" s="41"/>
      <c r="CL309" s="41"/>
      <c r="CM309" s="41"/>
      <c r="CN309" s="41"/>
      <c r="CO309" s="41"/>
      <c r="CP309" s="41"/>
      <c r="CQ309" s="41"/>
      <c r="CR309" s="41"/>
      <c r="CS309" s="41"/>
      <c r="CT309" s="41"/>
      <c r="CU309" s="41"/>
      <c r="CV309" s="41"/>
      <c r="CW309" s="41"/>
    </row>
    <row r="310" spans="1:101" ht="16.5" x14ac:dyDescent="0.35">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c r="AJ310" s="41"/>
      <c r="AK310" s="41"/>
      <c r="AL310" s="41"/>
      <c r="AM310" s="41"/>
      <c r="AN310" s="41"/>
      <c r="AO310" s="41"/>
      <c r="AP310" s="41"/>
      <c r="AQ310" s="41"/>
      <c r="AR310" s="41"/>
      <c r="AS310" s="41"/>
      <c r="AT310" s="41"/>
      <c r="AU310" s="41"/>
      <c r="AV310" s="41"/>
      <c r="AW310" s="41"/>
      <c r="AX310" s="41"/>
      <c r="AY310" s="41"/>
      <c r="AZ310" s="41"/>
      <c r="BA310" s="41"/>
      <c r="BB310" s="41"/>
      <c r="BC310" s="41"/>
      <c r="BD310" s="41"/>
      <c r="BE310" s="41"/>
      <c r="BF310" s="41"/>
      <c r="BG310" s="41"/>
      <c r="BH310" s="41"/>
      <c r="BI310" s="41"/>
      <c r="BJ310" s="41"/>
      <c r="BK310" s="41"/>
      <c r="BL310" s="41"/>
      <c r="BM310" s="41"/>
      <c r="BN310" s="41"/>
      <c r="BO310" s="41"/>
      <c r="BP310" s="41"/>
      <c r="BQ310" s="41"/>
      <c r="BR310" s="41"/>
      <c r="BS310" s="41"/>
      <c r="BT310" s="41"/>
      <c r="BU310" s="41"/>
      <c r="BV310" s="41"/>
      <c r="BW310" s="41"/>
      <c r="BX310" s="41"/>
      <c r="BY310" s="41"/>
      <c r="BZ310" s="41"/>
      <c r="CA310" s="41"/>
      <c r="CB310" s="41"/>
      <c r="CC310" s="41"/>
      <c r="CD310" s="41"/>
      <c r="CE310" s="41"/>
      <c r="CF310" s="41"/>
      <c r="CG310" s="41"/>
      <c r="CH310" s="41"/>
      <c r="CI310" s="41"/>
      <c r="CJ310" s="41"/>
      <c r="CK310" s="41"/>
      <c r="CL310" s="41"/>
      <c r="CM310" s="41"/>
      <c r="CN310" s="41"/>
      <c r="CO310" s="41"/>
      <c r="CP310" s="41"/>
      <c r="CQ310" s="41"/>
      <c r="CR310" s="41"/>
      <c r="CS310" s="41"/>
      <c r="CT310" s="41"/>
      <c r="CU310" s="41"/>
      <c r="CV310" s="41"/>
      <c r="CW310" s="41"/>
    </row>
    <row r="311" spans="1:101" ht="16.5" x14ac:dyDescent="0.35">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c r="AJ311" s="41"/>
      <c r="AK311" s="41"/>
      <c r="AL311" s="41"/>
      <c r="AM311" s="41"/>
      <c r="AN311" s="41"/>
      <c r="AO311" s="41"/>
      <c r="AP311" s="41"/>
      <c r="AQ311" s="41"/>
      <c r="AR311" s="41"/>
      <c r="AS311" s="41"/>
      <c r="AT311" s="41"/>
      <c r="AU311" s="41"/>
      <c r="AV311" s="41"/>
      <c r="AW311" s="41"/>
      <c r="AX311" s="41"/>
      <c r="AY311" s="41"/>
      <c r="AZ311" s="41"/>
      <c r="BA311" s="41"/>
      <c r="BB311" s="41"/>
      <c r="BC311" s="41"/>
      <c r="BD311" s="41"/>
      <c r="BE311" s="41"/>
      <c r="BF311" s="41"/>
      <c r="BG311" s="41"/>
      <c r="BH311" s="41"/>
      <c r="BI311" s="41"/>
      <c r="BJ311" s="41"/>
      <c r="BK311" s="41"/>
      <c r="BL311" s="41"/>
      <c r="BM311" s="41"/>
      <c r="BN311" s="41"/>
      <c r="BO311" s="41"/>
      <c r="BP311" s="41"/>
      <c r="BQ311" s="41"/>
      <c r="BR311" s="41"/>
      <c r="BS311" s="41"/>
      <c r="BT311" s="41"/>
      <c r="BU311" s="41"/>
      <c r="BV311" s="41"/>
      <c r="BW311" s="41"/>
      <c r="BX311" s="41"/>
      <c r="BY311" s="41"/>
      <c r="BZ311" s="41"/>
      <c r="CA311" s="41"/>
      <c r="CB311" s="41"/>
      <c r="CC311" s="41"/>
      <c r="CD311" s="41"/>
      <c r="CE311" s="41"/>
      <c r="CF311" s="41"/>
      <c r="CG311" s="41"/>
      <c r="CH311" s="41"/>
      <c r="CI311" s="41"/>
      <c r="CJ311" s="41"/>
      <c r="CK311" s="41"/>
      <c r="CL311" s="41"/>
      <c r="CM311" s="41"/>
      <c r="CN311" s="41"/>
      <c r="CO311" s="41"/>
      <c r="CP311" s="41"/>
      <c r="CQ311" s="41"/>
      <c r="CR311" s="41"/>
      <c r="CS311" s="41"/>
      <c r="CT311" s="41"/>
      <c r="CU311" s="41"/>
      <c r="CV311" s="41"/>
      <c r="CW311" s="41"/>
    </row>
    <row r="312" spans="1:101" ht="16.5" x14ac:dyDescent="0.35">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c r="AJ312" s="41"/>
      <c r="AK312" s="41"/>
      <c r="AL312" s="41"/>
      <c r="AM312" s="41"/>
      <c r="AN312" s="41"/>
      <c r="AO312" s="41"/>
      <c r="AP312" s="41"/>
      <c r="AQ312" s="41"/>
      <c r="AR312" s="41"/>
      <c r="AS312" s="41"/>
      <c r="AT312" s="41"/>
      <c r="AU312" s="41"/>
      <c r="AV312" s="41"/>
      <c r="AW312" s="41"/>
      <c r="AX312" s="41"/>
      <c r="AY312" s="41"/>
      <c r="AZ312" s="41"/>
      <c r="BA312" s="41"/>
      <c r="BB312" s="41"/>
      <c r="BC312" s="41"/>
      <c r="BD312" s="41"/>
      <c r="BE312" s="41"/>
      <c r="BF312" s="41"/>
      <c r="BG312" s="41"/>
      <c r="BH312" s="41"/>
      <c r="BI312" s="41"/>
      <c r="BJ312" s="41"/>
      <c r="BK312" s="41"/>
      <c r="BL312" s="41"/>
      <c r="BM312" s="41"/>
      <c r="BN312" s="41"/>
      <c r="BO312" s="41"/>
      <c r="BP312" s="41"/>
      <c r="BQ312" s="41"/>
      <c r="BR312" s="41"/>
      <c r="BS312" s="41"/>
      <c r="BT312" s="41"/>
      <c r="BU312" s="41"/>
      <c r="BV312" s="41"/>
      <c r="BW312" s="41"/>
      <c r="BX312" s="41"/>
      <c r="BY312" s="41"/>
      <c r="BZ312" s="41"/>
      <c r="CA312" s="41"/>
      <c r="CB312" s="41"/>
      <c r="CC312" s="41"/>
      <c r="CD312" s="41"/>
      <c r="CE312" s="41"/>
      <c r="CF312" s="41"/>
      <c r="CG312" s="41"/>
      <c r="CH312" s="41"/>
      <c r="CI312" s="41"/>
      <c r="CJ312" s="41"/>
      <c r="CK312" s="41"/>
      <c r="CL312" s="41"/>
      <c r="CM312" s="41"/>
      <c r="CN312" s="41"/>
      <c r="CO312" s="41"/>
      <c r="CP312" s="41"/>
      <c r="CQ312" s="41"/>
      <c r="CR312" s="41"/>
      <c r="CS312" s="41"/>
      <c r="CT312" s="41"/>
      <c r="CU312" s="41"/>
      <c r="CV312" s="41"/>
      <c r="CW312" s="41"/>
    </row>
    <row r="313" spans="1:101" ht="16.5" x14ac:dyDescent="0.35">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c r="BU313" s="41"/>
      <c r="BV313" s="41"/>
      <c r="BW313" s="41"/>
      <c r="BX313" s="41"/>
      <c r="BY313" s="41"/>
      <c r="BZ313" s="41"/>
      <c r="CA313" s="41"/>
      <c r="CB313" s="41"/>
      <c r="CC313" s="41"/>
      <c r="CD313" s="41"/>
      <c r="CE313" s="41"/>
      <c r="CF313" s="41"/>
      <c r="CG313" s="41"/>
      <c r="CH313" s="41"/>
      <c r="CI313" s="41"/>
      <c r="CJ313" s="41"/>
      <c r="CK313" s="41"/>
      <c r="CL313" s="41"/>
      <c r="CM313" s="41"/>
      <c r="CN313" s="41"/>
      <c r="CO313" s="41"/>
      <c r="CP313" s="41"/>
      <c r="CQ313" s="41"/>
      <c r="CR313" s="41"/>
      <c r="CS313" s="41"/>
      <c r="CT313" s="41"/>
      <c r="CU313" s="41"/>
      <c r="CV313" s="41"/>
      <c r="CW313" s="41"/>
    </row>
    <row r="314" spans="1:101" ht="16.5" x14ac:dyDescent="0.35">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c r="AJ314" s="41"/>
      <c r="AK314" s="41"/>
      <c r="AL314" s="41"/>
      <c r="AM314" s="41"/>
      <c r="AN314" s="41"/>
      <c r="AO314" s="41"/>
      <c r="AP314" s="41"/>
      <c r="AQ314" s="41"/>
      <c r="AR314" s="41"/>
      <c r="AS314" s="41"/>
      <c r="AT314" s="41"/>
      <c r="AU314" s="41"/>
      <c r="AV314" s="41"/>
      <c r="AW314" s="41"/>
      <c r="AX314" s="41"/>
      <c r="AY314" s="41"/>
      <c r="AZ314" s="41"/>
      <c r="BA314" s="41"/>
      <c r="BB314" s="41"/>
      <c r="BC314" s="41"/>
      <c r="BD314" s="41"/>
      <c r="BE314" s="41"/>
      <c r="BF314" s="41"/>
      <c r="BG314" s="41"/>
      <c r="BH314" s="41"/>
      <c r="BI314" s="41"/>
      <c r="BJ314" s="41"/>
      <c r="BK314" s="41"/>
      <c r="BL314" s="41"/>
      <c r="BM314" s="41"/>
      <c r="BN314" s="41"/>
      <c r="BO314" s="41"/>
      <c r="BP314" s="41"/>
      <c r="BQ314" s="41"/>
      <c r="BR314" s="41"/>
      <c r="BS314" s="41"/>
      <c r="BT314" s="41"/>
      <c r="BU314" s="41"/>
      <c r="BV314" s="41"/>
      <c r="BW314" s="41"/>
      <c r="BX314" s="41"/>
      <c r="BY314" s="41"/>
      <c r="BZ314" s="41"/>
      <c r="CA314" s="41"/>
      <c r="CB314" s="41"/>
      <c r="CC314" s="41"/>
      <c r="CD314" s="41"/>
      <c r="CE314" s="41"/>
      <c r="CF314" s="41"/>
      <c r="CG314" s="41"/>
      <c r="CH314" s="41"/>
      <c r="CI314" s="41"/>
      <c r="CJ314" s="41"/>
      <c r="CK314" s="41"/>
      <c r="CL314" s="41"/>
      <c r="CM314" s="41"/>
      <c r="CN314" s="41"/>
      <c r="CO314" s="41"/>
      <c r="CP314" s="41"/>
      <c r="CQ314" s="41"/>
      <c r="CR314" s="41"/>
      <c r="CS314" s="41"/>
      <c r="CT314" s="41"/>
      <c r="CU314" s="41"/>
      <c r="CV314" s="41"/>
      <c r="CW314" s="41"/>
    </row>
    <row r="315" spans="1:101" ht="16.5" x14ac:dyDescent="0.35">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c r="AJ315" s="41"/>
      <c r="AK315" s="41"/>
      <c r="AL315" s="41"/>
      <c r="AM315" s="41"/>
      <c r="AN315" s="41"/>
      <c r="AO315" s="41"/>
      <c r="AP315" s="41"/>
      <c r="AQ315" s="41"/>
      <c r="AR315" s="41"/>
      <c r="AS315" s="41"/>
      <c r="AT315" s="41"/>
      <c r="AU315" s="41"/>
      <c r="AV315" s="41"/>
      <c r="AW315" s="41"/>
      <c r="AX315" s="41"/>
      <c r="AY315" s="41"/>
      <c r="AZ315" s="41"/>
      <c r="BA315" s="41"/>
      <c r="BB315" s="41"/>
      <c r="BC315" s="41"/>
      <c r="BD315" s="41"/>
      <c r="BE315" s="41"/>
      <c r="BF315" s="41"/>
      <c r="BG315" s="41"/>
      <c r="BH315" s="41"/>
      <c r="BI315" s="41"/>
      <c r="BJ315" s="41"/>
      <c r="BK315" s="41"/>
      <c r="BL315" s="41"/>
      <c r="BM315" s="41"/>
      <c r="BN315" s="41"/>
      <c r="BO315" s="41"/>
      <c r="BP315" s="41"/>
      <c r="BQ315" s="41"/>
      <c r="BR315" s="41"/>
      <c r="BS315" s="41"/>
      <c r="BT315" s="41"/>
      <c r="BU315" s="41"/>
      <c r="BV315" s="41"/>
      <c r="BW315" s="41"/>
      <c r="BX315" s="41"/>
      <c r="BY315" s="41"/>
      <c r="BZ315" s="41"/>
      <c r="CA315" s="41"/>
      <c r="CB315" s="41"/>
      <c r="CC315" s="41"/>
      <c r="CD315" s="41"/>
      <c r="CE315" s="41"/>
      <c r="CF315" s="41"/>
      <c r="CG315" s="41"/>
      <c r="CH315" s="41"/>
      <c r="CI315" s="41"/>
      <c r="CJ315" s="41"/>
      <c r="CK315" s="41"/>
      <c r="CL315" s="41"/>
      <c r="CM315" s="41"/>
      <c r="CN315" s="41"/>
      <c r="CO315" s="41"/>
      <c r="CP315" s="41"/>
      <c r="CQ315" s="41"/>
      <c r="CR315" s="41"/>
      <c r="CS315" s="41"/>
      <c r="CT315" s="41"/>
      <c r="CU315" s="41"/>
      <c r="CV315" s="41"/>
      <c r="CW315" s="41"/>
    </row>
    <row r="316" spans="1:101" ht="16.5" x14ac:dyDescent="0.35">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c r="AJ316" s="41"/>
      <c r="AK316" s="41"/>
      <c r="AL316" s="41"/>
      <c r="AM316" s="41"/>
      <c r="AN316" s="41"/>
      <c r="AO316" s="41"/>
      <c r="AP316" s="41"/>
      <c r="AQ316" s="41"/>
      <c r="AR316" s="41"/>
      <c r="AS316" s="41"/>
      <c r="AT316" s="41"/>
      <c r="AU316" s="41"/>
      <c r="AV316" s="41"/>
      <c r="AW316" s="41"/>
      <c r="AX316" s="41"/>
      <c r="AY316" s="41"/>
      <c r="AZ316" s="41"/>
      <c r="BA316" s="41"/>
      <c r="BB316" s="41"/>
      <c r="BC316" s="41"/>
      <c r="BD316" s="41"/>
      <c r="BE316" s="41"/>
      <c r="BF316" s="41"/>
      <c r="BG316" s="41"/>
      <c r="BH316" s="41"/>
      <c r="BI316" s="41"/>
      <c r="BJ316" s="41"/>
      <c r="BK316" s="41"/>
      <c r="BL316" s="41"/>
      <c r="BM316" s="41"/>
      <c r="BN316" s="41"/>
      <c r="BO316" s="41"/>
      <c r="BP316" s="41"/>
      <c r="BQ316" s="41"/>
      <c r="BR316" s="41"/>
      <c r="BS316" s="41"/>
      <c r="BT316" s="41"/>
      <c r="BU316" s="41"/>
      <c r="BV316" s="41"/>
      <c r="BW316" s="41"/>
      <c r="BX316" s="41"/>
      <c r="BY316" s="41"/>
      <c r="BZ316" s="41"/>
      <c r="CA316" s="41"/>
      <c r="CB316" s="41"/>
      <c r="CC316" s="41"/>
      <c r="CD316" s="41"/>
      <c r="CE316" s="41"/>
      <c r="CF316" s="41"/>
      <c r="CG316" s="41"/>
      <c r="CH316" s="41"/>
      <c r="CI316" s="41"/>
      <c r="CJ316" s="41"/>
      <c r="CK316" s="41"/>
      <c r="CL316" s="41"/>
      <c r="CM316" s="41"/>
      <c r="CN316" s="41"/>
      <c r="CO316" s="41"/>
      <c r="CP316" s="41"/>
      <c r="CQ316" s="41"/>
      <c r="CR316" s="41"/>
      <c r="CS316" s="41"/>
      <c r="CT316" s="41"/>
      <c r="CU316" s="41"/>
      <c r="CV316" s="41"/>
      <c r="CW316" s="41"/>
    </row>
    <row r="317" spans="1:101" ht="16.5" x14ac:dyDescent="0.35">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c r="AJ317" s="41"/>
      <c r="AK317" s="41"/>
      <c r="AL317" s="41"/>
      <c r="AM317" s="41"/>
      <c r="AN317" s="41"/>
      <c r="AO317" s="41"/>
      <c r="AP317" s="41"/>
      <c r="AQ317" s="41"/>
      <c r="AR317" s="41"/>
      <c r="AS317" s="41"/>
      <c r="AT317" s="41"/>
      <c r="AU317" s="41"/>
      <c r="AV317" s="41"/>
      <c r="AW317" s="41"/>
      <c r="AX317" s="41"/>
      <c r="AY317" s="41"/>
      <c r="AZ317" s="41"/>
      <c r="BA317" s="41"/>
      <c r="BB317" s="41"/>
      <c r="BC317" s="41"/>
      <c r="BD317" s="41"/>
      <c r="BE317" s="41"/>
      <c r="BF317" s="41"/>
      <c r="BG317" s="41"/>
      <c r="BH317" s="41"/>
      <c r="BI317" s="41"/>
      <c r="BJ317" s="41"/>
      <c r="BK317" s="41"/>
      <c r="BL317" s="41"/>
      <c r="BM317" s="41"/>
      <c r="BN317" s="41"/>
      <c r="BO317" s="41"/>
      <c r="BP317" s="41"/>
      <c r="BQ317" s="41"/>
      <c r="BR317" s="41"/>
      <c r="BS317" s="41"/>
      <c r="BT317" s="41"/>
      <c r="BU317" s="41"/>
      <c r="BV317" s="41"/>
      <c r="BW317" s="41"/>
      <c r="BX317" s="41"/>
      <c r="BY317" s="41"/>
      <c r="BZ317" s="41"/>
      <c r="CA317" s="41"/>
      <c r="CB317" s="41"/>
      <c r="CC317" s="41"/>
      <c r="CD317" s="41"/>
      <c r="CE317" s="41"/>
      <c r="CF317" s="41"/>
      <c r="CG317" s="41"/>
      <c r="CH317" s="41"/>
      <c r="CI317" s="41"/>
      <c r="CJ317" s="41"/>
      <c r="CK317" s="41"/>
      <c r="CL317" s="41"/>
      <c r="CM317" s="41"/>
      <c r="CN317" s="41"/>
      <c r="CO317" s="41"/>
      <c r="CP317" s="41"/>
      <c r="CQ317" s="41"/>
      <c r="CR317" s="41"/>
      <c r="CS317" s="41"/>
      <c r="CT317" s="41"/>
      <c r="CU317" s="41"/>
      <c r="CV317" s="41"/>
      <c r="CW317" s="41"/>
    </row>
    <row r="318" spans="1:101" ht="16.5" x14ac:dyDescent="0.35">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c r="AJ318" s="41"/>
      <c r="AK318" s="41"/>
      <c r="AL318" s="41"/>
      <c r="AM318" s="41"/>
      <c r="AN318" s="41"/>
      <c r="AO318" s="41"/>
      <c r="AP318" s="41"/>
      <c r="AQ318" s="41"/>
      <c r="AR318" s="41"/>
      <c r="AS318" s="41"/>
      <c r="AT318" s="41"/>
      <c r="AU318" s="41"/>
      <c r="AV318" s="41"/>
      <c r="AW318" s="41"/>
      <c r="AX318" s="41"/>
      <c r="AY318" s="41"/>
      <c r="AZ318" s="41"/>
      <c r="BA318" s="41"/>
      <c r="BB318" s="41"/>
      <c r="BC318" s="41"/>
      <c r="BD318" s="41"/>
      <c r="BE318" s="41"/>
      <c r="BF318" s="41"/>
      <c r="BG318" s="41"/>
      <c r="BH318" s="41"/>
      <c r="BI318" s="41"/>
      <c r="BJ318" s="41"/>
      <c r="BK318" s="41"/>
      <c r="BL318" s="41"/>
      <c r="BM318" s="41"/>
      <c r="BN318" s="41"/>
      <c r="BO318" s="41"/>
      <c r="BP318" s="41"/>
      <c r="BQ318" s="41"/>
      <c r="BR318" s="41"/>
      <c r="BS318" s="41"/>
      <c r="BT318" s="41"/>
      <c r="BU318" s="41"/>
      <c r="BV318" s="41"/>
      <c r="BW318" s="41"/>
      <c r="BX318" s="41"/>
      <c r="BY318" s="41"/>
      <c r="BZ318" s="41"/>
      <c r="CA318" s="41"/>
      <c r="CB318" s="41"/>
      <c r="CC318" s="41"/>
      <c r="CD318" s="41"/>
      <c r="CE318" s="41"/>
      <c r="CF318" s="41"/>
      <c r="CG318" s="41"/>
      <c r="CH318" s="41"/>
      <c r="CI318" s="41"/>
      <c r="CJ318" s="41"/>
      <c r="CK318" s="41"/>
      <c r="CL318" s="41"/>
      <c r="CM318" s="41"/>
      <c r="CN318" s="41"/>
      <c r="CO318" s="41"/>
      <c r="CP318" s="41"/>
      <c r="CQ318" s="41"/>
      <c r="CR318" s="41"/>
      <c r="CS318" s="41"/>
      <c r="CT318" s="41"/>
      <c r="CU318" s="41"/>
      <c r="CV318" s="41"/>
      <c r="CW318" s="41"/>
    </row>
    <row r="319" spans="1:101" ht="16.5" x14ac:dyDescent="0.35">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c r="AJ319" s="41"/>
      <c r="AK319" s="41"/>
      <c r="AL319" s="41"/>
      <c r="AM319" s="41"/>
      <c r="AN319" s="41"/>
      <c r="AO319" s="41"/>
      <c r="AP319" s="41"/>
      <c r="AQ319" s="41"/>
      <c r="AR319" s="41"/>
      <c r="AS319" s="41"/>
      <c r="AT319" s="41"/>
      <c r="AU319" s="41"/>
      <c r="AV319" s="41"/>
      <c r="AW319" s="41"/>
      <c r="AX319" s="41"/>
      <c r="AY319" s="41"/>
      <c r="AZ319" s="41"/>
      <c r="BA319" s="41"/>
      <c r="BB319" s="41"/>
      <c r="BC319" s="41"/>
      <c r="BD319" s="41"/>
      <c r="BE319" s="41"/>
      <c r="BF319" s="41"/>
      <c r="BG319" s="41"/>
      <c r="BH319" s="41"/>
      <c r="BI319" s="41"/>
      <c r="BJ319" s="41"/>
      <c r="BK319" s="41"/>
      <c r="BL319" s="41"/>
      <c r="BM319" s="41"/>
      <c r="BN319" s="41"/>
      <c r="BO319" s="41"/>
      <c r="BP319" s="41"/>
      <c r="BQ319" s="41"/>
      <c r="BR319" s="41"/>
      <c r="BS319" s="41"/>
      <c r="BT319" s="41"/>
      <c r="BU319" s="41"/>
      <c r="BV319" s="41"/>
      <c r="BW319" s="41"/>
      <c r="BX319" s="41"/>
      <c r="BY319" s="41"/>
      <c r="BZ319" s="41"/>
      <c r="CA319" s="41"/>
      <c r="CB319" s="41"/>
      <c r="CC319" s="41"/>
      <c r="CD319" s="41"/>
      <c r="CE319" s="41"/>
      <c r="CF319" s="41"/>
      <c r="CG319" s="41"/>
      <c r="CH319" s="41"/>
      <c r="CI319" s="41"/>
      <c r="CJ319" s="41"/>
      <c r="CK319" s="41"/>
      <c r="CL319" s="41"/>
      <c r="CM319" s="41"/>
      <c r="CN319" s="41"/>
      <c r="CO319" s="41"/>
      <c r="CP319" s="41"/>
      <c r="CQ319" s="41"/>
      <c r="CR319" s="41"/>
      <c r="CS319" s="41"/>
      <c r="CT319" s="41"/>
      <c r="CU319" s="41"/>
      <c r="CV319" s="41"/>
      <c r="CW319" s="41"/>
    </row>
    <row r="320" spans="1:101" ht="16.5" x14ac:dyDescent="0.35">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c r="AJ320" s="41"/>
      <c r="AK320" s="41"/>
      <c r="AL320" s="41"/>
      <c r="AM320" s="41"/>
      <c r="AN320" s="41"/>
      <c r="AO320" s="41"/>
      <c r="AP320" s="41"/>
      <c r="AQ320" s="41"/>
      <c r="AR320" s="41"/>
      <c r="AS320" s="41"/>
      <c r="AT320" s="41"/>
      <c r="AU320" s="41"/>
      <c r="AV320" s="41"/>
      <c r="AW320" s="41"/>
      <c r="AX320" s="41"/>
      <c r="AY320" s="41"/>
      <c r="AZ320" s="41"/>
      <c r="BA320" s="41"/>
      <c r="BB320" s="41"/>
      <c r="BC320" s="41"/>
      <c r="BD320" s="41"/>
      <c r="BE320" s="41"/>
      <c r="BF320" s="41"/>
      <c r="BG320" s="41"/>
      <c r="BH320" s="41"/>
      <c r="BI320" s="41"/>
      <c r="BJ320" s="41"/>
      <c r="BK320" s="41"/>
      <c r="BL320" s="41"/>
      <c r="BM320" s="41"/>
      <c r="BN320" s="41"/>
      <c r="BO320" s="41"/>
      <c r="BP320" s="41"/>
      <c r="BQ320" s="41"/>
      <c r="BR320" s="41"/>
      <c r="BS320" s="41"/>
      <c r="BT320" s="41"/>
      <c r="BU320" s="41"/>
      <c r="BV320" s="41"/>
      <c r="BW320" s="41"/>
      <c r="BX320" s="41"/>
      <c r="BY320" s="41"/>
      <c r="BZ320" s="41"/>
      <c r="CA320" s="41"/>
      <c r="CB320" s="41"/>
      <c r="CC320" s="41"/>
      <c r="CD320" s="41"/>
      <c r="CE320" s="41"/>
      <c r="CF320" s="41"/>
      <c r="CG320" s="41"/>
      <c r="CH320" s="41"/>
      <c r="CI320" s="41"/>
      <c r="CJ320" s="41"/>
      <c r="CK320" s="41"/>
      <c r="CL320" s="41"/>
      <c r="CM320" s="41"/>
      <c r="CN320" s="41"/>
      <c r="CO320" s="41"/>
      <c r="CP320" s="41"/>
      <c r="CQ320" s="41"/>
      <c r="CR320" s="41"/>
      <c r="CS320" s="41"/>
      <c r="CT320" s="41"/>
      <c r="CU320" s="41"/>
      <c r="CV320" s="41"/>
      <c r="CW320" s="41"/>
    </row>
    <row r="321" spans="1:101" ht="16.5" x14ac:dyDescent="0.35">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c r="AJ321" s="41"/>
      <c r="AK321" s="41"/>
      <c r="AL321" s="41"/>
      <c r="AM321" s="41"/>
      <c r="AN321" s="41"/>
      <c r="AO321" s="41"/>
      <c r="AP321" s="41"/>
      <c r="AQ321" s="41"/>
      <c r="AR321" s="41"/>
      <c r="AS321" s="41"/>
      <c r="AT321" s="41"/>
      <c r="AU321" s="41"/>
      <c r="AV321" s="41"/>
      <c r="AW321" s="41"/>
      <c r="AX321" s="41"/>
      <c r="AY321" s="41"/>
      <c r="AZ321" s="41"/>
      <c r="BA321" s="41"/>
      <c r="BB321" s="41"/>
      <c r="BC321" s="41"/>
      <c r="BD321" s="41"/>
      <c r="BE321" s="41"/>
      <c r="BF321" s="41"/>
      <c r="BG321" s="41"/>
      <c r="BH321" s="41"/>
      <c r="BI321" s="41"/>
      <c r="BJ321" s="41"/>
      <c r="BK321" s="41"/>
      <c r="BL321" s="41"/>
      <c r="BM321" s="41"/>
      <c r="BN321" s="41"/>
      <c r="BO321" s="41"/>
      <c r="BP321" s="41"/>
      <c r="BQ321" s="41"/>
      <c r="BR321" s="41"/>
      <c r="BS321" s="41"/>
      <c r="BT321" s="41"/>
      <c r="BU321" s="41"/>
      <c r="BV321" s="41"/>
      <c r="BW321" s="41"/>
      <c r="BX321" s="41"/>
      <c r="BY321" s="41"/>
      <c r="BZ321" s="41"/>
      <c r="CA321" s="41"/>
      <c r="CB321" s="41"/>
      <c r="CC321" s="41"/>
      <c r="CD321" s="41"/>
      <c r="CE321" s="41"/>
      <c r="CF321" s="41"/>
      <c r="CG321" s="41"/>
      <c r="CH321" s="41"/>
      <c r="CI321" s="41"/>
      <c r="CJ321" s="41"/>
      <c r="CK321" s="41"/>
      <c r="CL321" s="41"/>
      <c r="CM321" s="41"/>
      <c r="CN321" s="41"/>
      <c r="CO321" s="41"/>
      <c r="CP321" s="41"/>
      <c r="CQ321" s="41"/>
      <c r="CR321" s="41"/>
      <c r="CS321" s="41"/>
      <c r="CT321" s="41"/>
      <c r="CU321" s="41"/>
      <c r="CV321" s="41"/>
      <c r="CW321" s="41"/>
    </row>
    <row r="322" spans="1:101" ht="16.5" x14ac:dyDescent="0.35">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c r="AJ322" s="41"/>
      <c r="AK322" s="41"/>
      <c r="AL322" s="41"/>
      <c r="AM322" s="41"/>
      <c r="AN322" s="41"/>
      <c r="AO322" s="41"/>
      <c r="AP322" s="41"/>
      <c r="AQ322" s="41"/>
      <c r="AR322" s="41"/>
      <c r="AS322" s="41"/>
      <c r="AT322" s="41"/>
      <c r="AU322" s="41"/>
      <c r="AV322" s="41"/>
      <c r="AW322" s="41"/>
      <c r="AX322" s="41"/>
      <c r="AY322" s="41"/>
      <c r="AZ322" s="41"/>
      <c r="BA322" s="41"/>
      <c r="BB322" s="41"/>
      <c r="BC322" s="41"/>
      <c r="BD322" s="41"/>
      <c r="BE322" s="41"/>
      <c r="BF322" s="41"/>
      <c r="BG322" s="41"/>
      <c r="BH322" s="41"/>
      <c r="BI322" s="41"/>
      <c r="BJ322" s="41"/>
      <c r="BK322" s="41"/>
      <c r="BL322" s="41"/>
      <c r="BM322" s="41"/>
      <c r="BN322" s="41"/>
      <c r="BO322" s="41"/>
      <c r="BP322" s="41"/>
      <c r="BQ322" s="41"/>
      <c r="BR322" s="41"/>
      <c r="BS322" s="41"/>
      <c r="BT322" s="41"/>
      <c r="BU322" s="41"/>
      <c r="BV322" s="41"/>
      <c r="BW322" s="41"/>
      <c r="BX322" s="41"/>
      <c r="BY322" s="41"/>
      <c r="BZ322" s="41"/>
      <c r="CA322" s="41"/>
      <c r="CB322" s="41"/>
      <c r="CC322" s="41"/>
      <c r="CD322" s="41"/>
      <c r="CE322" s="41"/>
      <c r="CF322" s="41"/>
      <c r="CG322" s="41"/>
      <c r="CH322" s="41"/>
      <c r="CI322" s="41"/>
      <c r="CJ322" s="41"/>
      <c r="CK322" s="41"/>
      <c r="CL322" s="41"/>
      <c r="CM322" s="41"/>
      <c r="CN322" s="41"/>
      <c r="CO322" s="41"/>
      <c r="CP322" s="41"/>
      <c r="CQ322" s="41"/>
      <c r="CR322" s="41"/>
      <c r="CS322" s="41"/>
      <c r="CT322" s="41"/>
      <c r="CU322" s="41"/>
      <c r="CV322" s="41"/>
      <c r="CW322" s="41"/>
    </row>
    <row r="323" spans="1:101" ht="16.5" x14ac:dyDescent="0.35">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c r="AJ323" s="41"/>
      <c r="AK323" s="41"/>
      <c r="AL323" s="41"/>
      <c r="AM323" s="41"/>
      <c r="AN323" s="41"/>
      <c r="AO323" s="41"/>
      <c r="AP323" s="41"/>
      <c r="AQ323" s="41"/>
      <c r="AR323" s="41"/>
      <c r="AS323" s="41"/>
      <c r="AT323" s="41"/>
      <c r="AU323" s="41"/>
      <c r="AV323" s="41"/>
      <c r="AW323" s="41"/>
      <c r="AX323" s="41"/>
      <c r="AY323" s="41"/>
      <c r="AZ323" s="41"/>
      <c r="BA323" s="41"/>
      <c r="BB323" s="41"/>
      <c r="BC323" s="41"/>
      <c r="BD323" s="41"/>
      <c r="BE323" s="41"/>
      <c r="BF323" s="41"/>
      <c r="BG323" s="41"/>
      <c r="BH323" s="41"/>
      <c r="BI323" s="41"/>
      <c r="BJ323" s="41"/>
      <c r="BK323" s="41"/>
      <c r="BL323" s="41"/>
      <c r="BM323" s="41"/>
      <c r="BN323" s="41"/>
      <c r="BO323" s="41"/>
      <c r="BP323" s="41"/>
      <c r="BQ323" s="41"/>
      <c r="BR323" s="41"/>
      <c r="BS323" s="41"/>
      <c r="BT323" s="41"/>
      <c r="BU323" s="41"/>
      <c r="BV323" s="41"/>
      <c r="BW323" s="41"/>
      <c r="BX323" s="41"/>
      <c r="BY323" s="41"/>
      <c r="BZ323" s="41"/>
      <c r="CA323" s="41"/>
      <c r="CB323" s="41"/>
      <c r="CC323" s="41"/>
      <c r="CD323" s="41"/>
      <c r="CE323" s="41"/>
      <c r="CF323" s="41"/>
      <c r="CG323" s="41"/>
      <c r="CH323" s="41"/>
      <c r="CI323" s="41"/>
      <c r="CJ323" s="41"/>
      <c r="CK323" s="41"/>
      <c r="CL323" s="41"/>
      <c r="CM323" s="41"/>
      <c r="CN323" s="41"/>
      <c r="CO323" s="41"/>
      <c r="CP323" s="41"/>
      <c r="CQ323" s="41"/>
      <c r="CR323" s="41"/>
      <c r="CS323" s="41"/>
      <c r="CT323" s="41"/>
      <c r="CU323" s="41"/>
      <c r="CV323" s="41"/>
      <c r="CW323" s="41"/>
    </row>
    <row r="324" spans="1:101" ht="16.5" x14ac:dyDescent="0.35">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c r="AJ324" s="41"/>
      <c r="AK324" s="41"/>
      <c r="AL324" s="41"/>
      <c r="AM324" s="41"/>
      <c r="AN324" s="41"/>
      <c r="AO324" s="41"/>
      <c r="AP324" s="41"/>
      <c r="AQ324" s="41"/>
      <c r="AR324" s="41"/>
      <c r="AS324" s="41"/>
      <c r="AT324" s="41"/>
      <c r="AU324" s="41"/>
      <c r="AV324" s="41"/>
      <c r="AW324" s="41"/>
      <c r="AX324" s="41"/>
      <c r="AY324" s="41"/>
      <c r="AZ324" s="41"/>
      <c r="BA324" s="41"/>
      <c r="BB324" s="41"/>
      <c r="BC324" s="41"/>
      <c r="BD324" s="41"/>
      <c r="BE324" s="41"/>
      <c r="BF324" s="41"/>
      <c r="BG324" s="41"/>
      <c r="BH324" s="41"/>
      <c r="BI324" s="41"/>
      <c r="BJ324" s="41"/>
      <c r="BK324" s="41"/>
      <c r="BL324" s="41"/>
      <c r="BM324" s="41"/>
      <c r="BN324" s="41"/>
      <c r="BO324" s="41"/>
      <c r="BP324" s="41"/>
      <c r="BQ324" s="41"/>
      <c r="BR324" s="41"/>
      <c r="BS324" s="41"/>
      <c r="BT324" s="41"/>
      <c r="BU324" s="41"/>
      <c r="BV324" s="41"/>
      <c r="BW324" s="41"/>
      <c r="BX324" s="41"/>
      <c r="BY324" s="41"/>
      <c r="BZ324" s="41"/>
      <c r="CA324" s="41"/>
      <c r="CB324" s="41"/>
      <c r="CC324" s="41"/>
      <c r="CD324" s="41"/>
      <c r="CE324" s="41"/>
      <c r="CF324" s="41"/>
      <c r="CG324" s="41"/>
      <c r="CH324" s="41"/>
      <c r="CI324" s="41"/>
      <c r="CJ324" s="41"/>
      <c r="CK324" s="41"/>
      <c r="CL324" s="41"/>
      <c r="CM324" s="41"/>
      <c r="CN324" s="41"/>
      <c r="CO324" s="41"/>
      <c r="CP324" s="41"/>
      <c r="CQ324" s="41"/>
      <c r="CR324" s="41"/>
      <c r="CS324" s="41"/>
      <c r="CT324" s="41"/>
      <c r="CU324" s="41"/>
      <c r="CV324" s="41"/>
      <c r="CW324" s="41"/>
    </row>
    <row r="325" spans="1:101" ht="16.5" x14ac:dyDescent="0.35">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c r="AJ325" s="41"/>
      <c r="AK325" s="41"/>
      <c r="AL325" s="41"/>
      <c r="AM325" s="41"/>
      <c r="AN325" s="41"/>
      <c r="AO325" s="41"/>
      <c r="AP325" s="41"/>
      <c r="AQ325" s="41"/>
      <c r="AR325" s="41"/>
      <c r="AS325" s="41"/>
      <c r="AT325" s="41"/>
      <c r="AU325" s="41"/>
      <c r="AV325" s="41"/>
      <c r="AW325" s="41"/>
      <c r="AX325" s="41"/>
      <c r="AY325" s="41"/>
      <c r="AZ325" s="41"/>
      <c r="BA325" s="41"/>
      <c r="BB325" s="41"/>
      <c r="BC325" s="41"/>
      <c r="BD325" s="41"/>
      <c r="BE325" s="41"/>
      <c r="BF325" s="41"/>
      <c r="BG325" s="41"/>
      <c r="BH325" s="41"/>
      <c r="BI325" s="41"/>
      <c r="BJ325" s="41"/>
      <c r="BK325" s="41"/>
      <c r="BL325" s="41"/>
      <c r="BM325" s="41"/>
      <c r="BN325" s="41"/>
      <c r="BO325" s="41"/>
      <c r="BP325" s="41"/>
      <c r="BQ325" s="41"/>
      <c r="BR325" s="41"/>
      <c r="BS325" s="41"/>
      <c r="BT325" s="41"/>
      <c r="BU325" s="41"/>
      <c r="BV325" s="41"/>
      <c r="BW325" s="41"/>
      <c r="BX325" s="41"/>
      <c r="BY325" s="41"/>
      <c r="BZ325" s="41"/>
      <c r="CA325" s="41"/>
      <c r="CB325" s="41"/>
      <c r="CC325" s="41"/>
      <c r="CD325" s="41"/>
      <c r="CE325" s="41"/>
      <c r="CF325" s="41"/>
      <c r="CG325" s="41"/>
      <c r="CH325" s="41"/>
      <c r="CI325" s="41"/>
      <c r="CJ325" s="41"/>
      <c r="CK325" s="41"/>
      <c r="CL325" s="41"/>
      <c r="CM325" s="41"/>
      <c r="CN325" s="41"/>
      <c r="CO325" s="41"/>
      <c r="CP325" s="41"/>
      <c r="CQ325" s="41"/>
      <c r="CR325" s="41"/>
      <c r="CS325" s="41"/>
      <c r="CT325" s="41"/>
      <c r="CU325" s="41"/>
      <c r="CV325" s="41"/>
      <c r="CW325" s="41"/>
    </row>
    <row r="326" spans="1:101" ht="16.5" x14ac:dyDescent="0.35">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c r="AJ326" s="41"/>
      <c r="AK326" s="41"/>
      <c r="AL326" s="41"/>
      <c r="AM326" s="41"/>
      <c r="AN326" s="41"/>
      <c r="AO326" s="41"/>
      <c r="AP326" s="41"/>
      <c r="AQ326" s="41"/>
      <c r="AR326" s="41"/>
      <c r="AS326" s="41"/>
      <c r="AT326" s="41"/>
      <c r="AU326" s="41"/>
      <c r="AV326" s="41"/>
      <c r="AW326" s="41"/>
      <c r="AX326" s="41"/>
      <c r="AY326" s="41"/>
      <c r="AZ326" s="41"/>
      <c r="BA326" s="41"/>
      <c r="BB326" s="41"/>
      <c r="BC326" s="41"/>
      <c r="BD326" s="41"/>
      <c r="BE326" s="41"/>
      <c r="BF326" s="41"/>
      <c r="BG326" s="41"/>
      <c r="BH326" s="41"/>
      <c r="BI326" s="41"/>
      <c r="BJ326" s="41"/>
      <c r="BK326" s="41"/>
      <c r="BL326" s="41"/>
      <c r="BM326" s="41"/>
      <c r="BN326" s="41"/>
      <c r="BO326" s="41"/>
      <c r="BP326" s="41"/>
      <c r="BQ326" s="41"/>
      <c r="BR326" s="41"/>
      <c r="BS326" s="41"/>
      <c r="BT326" s="41"/>
      <c r="BU326" s="41"/>
      <c r="BV326" s="41"/>
      <c r="BW326" s="41"/>
      <c r="BX326" s="41"/>
      <c r="BY326" s="41"/>
      <c r="BZ326" s="41"/>
      <c r="CA326" s="41"/>
      <c r="CB326" s="41"/>
      <c r="CC326" s="41"/>
      <c r="CD326" s="41"/>
      <c r="CE326" s="41"/>
      <c r="CF326" s="41"/>
      <c r="CG326" s="41"/>
      <c r="CH326" s="41"/>
      <c r="CI326" s="41"/>
      <c r="CJ326" s="41"/>
      <c r="CK326" s="41"/>
      <c r="CL326" s="41"/>
      <c r="CM326" s="41"/>
      <c r="CN326" s="41"/>
      <c r="CO326" s="41"/>
      <c r="CP326" s="41"/>
      <c r="CQ326" s="41"/>
      <c r="CR326" s="41"/>
      <c r="CS326" s="41"/>
      <c r="CT326" s="41"/>
      <c r="CU326" s="41"/>
      <c r="CV326" s="41"/>
      <c r="CW326" s="41"/>
    </row>
    <row r="327" spans="1:101" ht="16.5" x14ac:dyDescent="0.35">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c r="AJ327" s="41"/>
      <c r="AK327" s="41"/>
      <c r="AL327" s="41"/>
      <c r="AM327" s="41"/>
      <c r="AN327" s="41"/>
      <c r="AO327" s="41"/>
      <c r="AP327" s="41"/>
      <c r="AQ327" s="41"/>
      <c r="AR327" s="41"/>
      <c r="AS327" s="41"/>
      <c r="AT327" s="41"/>
      <c r="AU327" s="41"/>
      <c r="AV327" s="41"/>
      <c r="AW327" s="41"/>
      <c r="AX327" s="41"/>
      <c r="AY327" s="41"/>
      <c r="AZ327" s="41"/>
      <c r="BA327" s="41"/>
      <c r="BB327" s="41"/>
      <c r="BC327" s="41"/>
      <c r="BD327" s="41"/>
      <c r="BE327" s="41"/>
      <c r="BF327" s="41"/>
      <c r="BG327" s="41"/>
      <c r="BH327" s="41"/>
      <c r="BI327" s="41"/>
      <c r="BJ327" s="41"/>
      <c r="BK327" s="41"/>
      <c r="BL327" s="41"/>
      <c r="BM327" s="41"/>
      <c r="BN327" s="41"/>
      <c r="BO327" s="41"/>
      <c r="BP327" s="41"/>
      <c r="BQ327" s="41"/>
      <c r="BR327" s="41"/>
      <c r="BS327" s="41"/>
      <c r="BT327" s="41"/>
      <c r="BU327" s="41"/>
      <c r="BV327" s="41"/>
      <c r="BW327" s="41"/>
      <c r="BX327" s="41"/>
      <c r="BY327" s="41"/>
      <c r="BZ327" s="41"/>
      <c r="CA327" s="41"/>
      <c r="CB327" s="41"/>
      <c r="CC327" s="41"/>
      <c r="CD327" s="41"/>
      <c r="CE327" s="41"/>
      <c r="CF327" s="41"/>
      <c r="CG327" s="41"/>
      <c r="CH327" s="41"/>
      <c r="CI327" s="41"/>
      <c r="CJ327" s="41"/>
      <c r="CK327" s="41"/>
      <c r="CL327" s="41"/>
      <c r="CM327" s="41"/>
      <c r="CN327" s="41"/>
      <c r="CO327" s="41"/>
      <c r="CP327" s="41"/>
      <c r="CQ327" s="41"/>
      <c r="CR327" s="41"/>
      <c r="CS327" s="41"/>
      <c r="CT327" s="41"/>
      <c r="CU327" s="41"/>
      <c r="CV327" s="41"/>
      <c r="CW327" s="41"/>
    </row>
    <row r="328" spans="1:101" ht="16.5" x14ac:dyDescent="0.35">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c r="AJ328" s="41"/>
      <c r="AK328" s="41"/>
      <c r="AL328" s="41"/>
      <c r="AM328" s="41"/>
      <c r="AN328" s="41"/>
      <c r="AO328" s="41"/>
      <c r="AP328" s="41"/>
      <c r="AQ328" s="41"/>
      <c r="AR328" s="41"/>
      <c r="AS328" s="41"/>
      <c r="AT328" s="41"/>
      <c r="AU328" s="41"/>
      <c r="AV328" s="41"/>
      <c r="AW328" s="41"/>
      <c r="AX328" s="41"/>
      <c r="AY328" s="41"/>
      <c r="AZ328" s="41"/>
      <c r="BA328" s="41"/>
      <c r="BB328" s="41"/>
      <c r="BC328" s="41"/>
      <c r="BD328" s="41"/>
      <c r="BE328" s="41"/>
      <c r="BF328" s="41"/>
      <c r="BG328" s="41"/>
      <c r="BH328" s="41"/>
      <c r="BI328" s="41"/>
      <c r="BJ328" s="41"/>
      <c r="BK328" s="41"/>
      <c r="BL328" s="41"/>
      <c r="BM328" s="41"/>
      <c r="BN328" s="41"/>
      <c r="BO328" s="41"/>
      <c r="BP328" s="41"/>
      <c r="BQ328" s="41"/>
      <c r="BR328" s="41"/>
      <c r="BS328" s="41"/>
      <c r="BT328" s="41"/>
      <c r="BU328" s="41"/>
      <c r="BV328" s="41"/>
      <c r="BW328" s="41"/>
      <c r="BX328" s="41"/>
      <c r="BY328" s="41"/>
      <c r="BZ328" s="41"/>
      <c r="CA328" s="41"/>
      <c r="CB328" s="41"/>
      <c r="CC328" s="41"/>
      <c r="CD328" s="41"/>
      <c r="CE328" s="41"/>
      <c r="CF328" s="41"/>
      <c r="CG328" s="41"/>
      <c r="CH328" s="41"/>
      <c r="CI328" s="41"/>
      <c r="CJ328" s="41"/>
      <c r="CK328" s="41"/>
      <c r="CL328" s="41"/>
      <c r="CM328" s="41"/>
      <c r="CN328" s="41"/>
      <c r="CO328" s="41"/>
      <c r="CP328" s="41"/>
      <c r="CQ328" s="41"/>
      <c r="CR328" s="41"/>
      <c r="CS328" s="41"/>
      <c r="CT328" s="41"/>
      <c r="CU328" s="41"/>
      <c r="CV328" s="41"/>
      <c r="CW328" s="41"/>
    </row>
    <row r="329" spans="1:101" ht="16.5" x14ac:dyDescent="0.35">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c r="AJ329" s="41"/>
      <c r="AK329" s="41"/>
      <c r="AL329" s="41"/>
      <c r="AM329" s="41"/>
      <c r="AN329" s="41"/>
      <c r="AO329" s="41"/>
      <c r="AP329" s="41"/>
      <c r="AQ329" s="41"/>
      <c r="AR329" s="41"/>
      <c r="AS329" s="41"/>
      <c r="AT329" s="41"/>
      <c r="AU329" s="41"/>
      <c r="AV329" s="41"/>
      <c r="AW329" s="41"/>
      <c r="AX329" s="41"/>
      <c r="AY329" s="41"/>
      <c r="AZ329" s="41"/>
      <c r="BA329" s="41"/>
      <c r="BB329" s="41"/>
      <c r="BC329" s="41"/>
      <c r="BD329" s="41"/>
      <c r="BE329" s="41"/>
      <c r="BF329" s="41"/>
      <c r="BG329" s="41"/>
      <c r="BH329" s="41"/>
      <c r="BI329" s="41"/>
      <c r="BJ329" s="41"/>
      <c r="BK329" s="41"/>
      <c r="BL329" s="41"/>
      <c r="BM329" s="41"/>
      <c r="BN329" s="41"/>
      <c r="BO329" s="41"/>
      <c r="BP329" s="41"/>
      <c r="BQ329" s="41"/>
      <c r="BR329" s="41"/>
      <c r="BS329" s="41"/>
      <c r="BT329" s="41"/>
      <c r="BU329" s="41"/>
      <c r="BV329" s="41"/>
      <c r="BW329" s="41"/>
      <c r="BX329" s="41"/>
      <c r="BY329" s="41"/>
      <c r="BZ329" s="41"/>
      <c r="CA329" s="41"/>
      <c r="CB329" s="41"/>
      <c r="CC329" s="41"/>
      <c r="CD329" s="41"/>
      <c r="CE329" s="41"/>
      <c r="CF329" s="41"/>
      <c r="CG329" s="41"/>
      <c r="CH329" s="41"/>
      <c r="CI329" s="41"/>
      <c r="CJ329" s="41"/>
      <c r="CK329" s="41"/>
      <c r="CL329" s="41"/>
      <c r="CM329" s="41"/>
      <c r="CN329" s="41"/>
      <c r="CO329" s="41"/>
      <c r="CP329" s="41"/>
      <c r="CQ329" s="41"/>
      <c r="CR329" s="41"/>
      <c r="CS329" s="41"/>
      <c r="CT329" s="41"/>
      <c r="CU329" s="41"/>
      <c r="CV329" s="41"/>
      <c r="CW329" s="41"/>
    </row>
    <row r="330" spans="1:101" ht="16.5" x14ac:dyDescent="0.35">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c r="AJ330" s="41"/>
      <c r="AK330" s="41"/>
      <c r="AL330" s="41"/>
      <c r="AM330" s="41"/>
      <c r="AN330" s="41"/>
      <c r="AO330" s="41"/>
      <c r="AP330" s="41"/>
      <c r="AQ330" s="41"/>
      <c r="AR330" s="41"/>
      <c r="AS330" s="41"/>
      <c r="AT330" s="41"/>
      <c r="AU330" s="41"/>
      <c r="AV330" s="41"/>
      <c r="AW330" s="41"/>
      <c r="AX330" s="41"/>
      <c r="AY330" s="41"/>
      <c r="AZ330" s="41"/>
      <c r="BA330" s="41"/>
      <c r="BB330" s="41"/>
      <c r="BC330" s="41"/>
      <c r="BD330" s="41"/>
      <c r="BE330" s="41"/>
      <c r="BF330" s="41"/>
      <c r="BG330" s="41"/>
      <c r="BH330" s="41"/>
      <c r="BI330" s="41"/>
      <c r="BJ330" s="41"/>
      <c r="BK330" s="41"/>
      <c r="BL330" s="41"/>
      <c r="BM330" s="41"/>
      <c r="BN330" s="41"/>
      <c r="BO330" s="41"/>
      <c r="BP330" s="41"/>
      <c r="BQ330" s="41"/>
      <c r="BR330" s="41"/>
      <c r="BS330" s="41"/>
      <c r="BT330" s="41"/>
      <c r="BU330" s="41"/>
      <c r="BV330" s="41"/>
      <c r="BW330" s="41"/>
      <c r="BX330" s="41"/>
      <c r="BY330" s="41"/>
      <c r="BZ330" s="41"/>
      <c r="CA330" s="41"/>
      <c r="CB330" s="41"/>
      <c r="CC330" s="41"/>
      <c r="CD330" s="41"/>
      <c r="CE330" s="41"/>
      <c r="CF330" s="41"/>
      <c r="CG330" s="41"/>
      <c r="CH330" s="41"/>
      <c r="CI330" s="41"/>
      <c r="CJ330" s="41"/>
      <c r="CK330" s="41"/>
      <c r="CL330" s="41"/>
      <c r="CM330" s="41"/>
      <c r="CN330" s="41"/>
      <c r="CO330" s="41"/>
      <c r="CP330" s="41"/>
      <c r="CQ330" s="41"/>
      <c r="CR330" s="41"/>
      <c r="CS330" s="41"/>
      <c r="CT330" s="41"/>
      <c r="CU330" s="41"/>
      <c r="CV330" s="41"/>
      <c r="CW330" s="41"/>
    </row>
    <row r="331" spans="1:101" ht="16.5" x14ac:dyDescent="0.35">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c r="AJ331" s="41"/>
      <c r="AK331" s="41"/>
      <c r="AL331" s="41"/>
      <c r="AM331" s="41"/>
      <c r="AN331" s="41"/>
      <c r="AO331" s="41"/>
      <c r="AP331" s="41"/>
      <c r="AQ331" s="41"/>
      <c r="AR331" s="41"/>
      <c r="AS331" s="41"/>
      <c r="AT331" s="41"/>
      <c r="AU331" s="41"/>
      <c r="AV331" s="41"/>
      <c r="AW331" s="41"/>
      <c r="AX331" s="41"/>
      <c r="AY331" s="41"/>
      <c r="AZ331" s="41"/>
      <c r="BA331" s="41"/>
      <c r="BB331" s="41"/>
      <c r="BC331" s="41"/>
      <c r="BD331" s="41"/>
      <c r="BE331" s="41"/>
      <c r="BF331" s="41"/>
      <c r="BG331" s="41"/>
      <c r="BH331" s="41"/>
      <c r="BI331" s="41"/>
      <c r="BJ331" s="41"/>
      <c r="BK331" s="41"/>
      <c r="BL331" s="41"/>
      <c r="BM331" s="41"/>
      <c r="BN331" s="41"/>
      <c r="BO331" s="41"/>
      <c r="BP331" s="41"/>
      <c r="BQ331" s="41"/>
      <c r="BR331" s="41"/>
      <c r="BS331" s="41"/>
      <c r="BT331" s="41"/>
      <c r="BU331" s="41"/>
      <c r="BV331" s="41"/>
      <c r="BW331" s="41"/>
      <c r="BX331" s="41"/>
      <c r="BY331" s="41"/>
      <c r="BZ331" s="41"/>
      <c r="CA331" s="41"/>
      <c r="CB331" s="41"/>
      <c r="CC331" s="41"/>
      <c r="CD331" s="41"/>
      <c r="CE331" s="41"/>
      <c r="CF331" s="41"/>
      <c r="CG331" s="41"/>
      <c r="CH331" s="41"/>
      <c r="CI331" s="41"/>
      <c r="CJ331" s="41"/>
      <c r="CK331" s="41"/>
      <c r="CL331" s="41"/>
      <c r="CM331" s="41"/>
      <c r="CN331" s="41"/>
      <c r="CO331" s="41"/>
      <c r="CP331" s="41"/>
      <c r="CQ331" s="41"/>
      <c r="CR331" s="41"/>
      <c r="CS331" s="41"/>
      <c r="CT331" s="41"/>
      <c r="CU331" s="41"/>
      <c r="CV331" s="41"/>
      <c r="CW331" s="41"/>
    </row>
    <row r="332" spans="1:101" ht="16.5" x14ac:dyDescent="0.35">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c r="AJ332" s="41"/>
      <c r="AK332" s="41"/>
      <c r="AL332" s="41"/>
      <c r="AM332" s="41"/>
      <c r="AN332" s="41"/>
      <c r="AO332" s="41"/>
      <c r="AP332" s="41"/>
      <c r="AQ332" s="41"/>
      <c r="AR332" s="41"/>
      <c r="AS332" s="41"/>
      <c r="AT332" s="41"/>
      <c r="AU332" s="41"/>
      <c r="AV332" s="41"/>
      <c r="AW332" s="41"/>
      <c r="AX332" s="41"/>
      <c r="AY332" s="41"/>
      <c r="AZ332" s="41"/>
      <c r="BA332" s="41"/>
      <c r="BB332" s="41"/>
      <c r="BC332" s="41"/>
      <c r="BD332" s="41"/>
      <c r="BE332" s="41"/>
      <c r="BF332" s="41"/>
      <c r="BG332" s="41"/>
      <c r="BH332" s="41"/>
      <c r="BI332" s="41"/>
      <c r="BJ332" s="41"/>
      <c r="BK332" s="41"/>
      <c r="BL332" s="41"/>
      <c r="BM332" s="41"/>
      <c r="BN332" s="41"/>
      <c r="BO332" s="41"/>
      <c r="BP332" s="41"/>
      <c r="BQ332" s="41"/>
      <c r="BR332" s="41"/>
      <c r="BS332" s="41"/>
      <c r="BT332" s="41"/>
      <c r="BU332" s="41"/>
      <c r="BV332" s="41"/>
      <c r="BW332" s="41"/>
      <c r="BX332" s="41"/>
      <c r="BY332" s="41"/>
      <c r="BZ332" s="41"/>
      <c r="CA332" s="41"/>
      <c r="CB332" s="41"/>
      <c r="CC332" s="41"/>
      <c r="CD332" s="41"/>
      <c r="CE332" s="41"/>
      <c r="CF332" s="41"/>
      <c r="CG332" s="41"/>
      <c r="CH332" s="41"/>
      <c r="CI332" s="41"/>
      <c r="CJ332" s="41"/>
      <c r="CK332" s="41"/>
      <c r="CL332" s="41"/>
      <c r="CM332" s="41"/>
      <c r="CN332" s="41"/>
      <c r="CO332" s="41"/>
      <c r="CP332" s="41"/>
      <c r="CQ332" s="41"/>
      <c r="CR332" s="41"/>
      <c r="CS332" s="41"/>
      <c r="CT332" s="41"/>
      <c r="CU332" s="41"/>
      <c r="CV332" s="41"/>
      <c r="CW332" s="41"/>
    </row>
    <row r="333" spans="1:101" ht="16.5" x14ac:dyDescent="0.35">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c r="AJ333" s="41"/>
      <c r="AK333" s="41"/>
      <c r="AL333" s="41"/>
      <c r="AM333" s="41"/>
      <c r="AN333" s="41"/>
      <c r="AO333" s="41"/>
      <c r="AP333" s="41"/>
      <c r="AQ333" s="41"/>
      <c r="AR333" s="41"/>
      <c r="AS333" s="41"/>
      <c r="AT333" s="41"/>
      <c r="AU333" s="41"/>
      <c r="AV333" s="41"/>
      <c r="AW333" s="41"/>
      <c r="AX333" s="41"/>
      <c r="AY333" s="41"/>
      <c r="AZ333" s="41"/>
      <c r="BA333" s="41"/>
      <c r="BB333" s="41"/>
      <c r="BC333" s="41"/>
      <c r="BD333" s="41"/>
      <c r="BE333" s="41"/>
      <c r="BF333" s="41"/>
      <c r="BG333" s="41"/>
      <c r="BH333" s="41"/>
      <c r="BI333" s="41"/>
      <c r="BJ333" s="41"/>
      <c r="BK333" s="41"/>
      <c r="BL333" s="41"/>
      <c r="BM333" s="41"/>
      <c r="BN333" s="41"/>
      <c r="BO333" s="41"/>
      <c r="BP333" s="41"/>
      <c r="BQ333" s="41"/>
      <c r="BR333" s="41"/>
      <c r="BS333" s="41"/>
      <c r="BT333" s="41"/>
      <c r="BU333" s="41"/>
      <c r="BV333" s="41"/>
      <c r="BW333" s="41"/>
      <c r="BX333" s="41"/>
      <c r="BY333" s="41"/>
      <c r="BZ333" s="41"/>
      <c r="CA333" s="41"/>
      <c r="CB333" s="41"/>
      <c r="CC333" s="41"/>
      <c r="CD333" s="41"/>
      <c r="CE333" s="41"/>
      <c r="CF333" s="41"/>
      <c r="CG333" s="41"/>
      <c r="CH333" s="41"/>
      <c r="CI333" s="41"/>
      <c r="CJ333" s="41"/>
      <c r="CK333" s="41"/>
      <c r="CL333" s="41"/>
      <c r="CM333" s="41"/>
      <c r="CN333" s="41"/>
      <c r="CO333" s="41"/>
      <c r="CP333" s="41"/>
      <c r="CQ333" s="41"/>
      <c r="CR333" s="41"/>
      <c r="CS333" s="41"/>
      <c r="CT333" s="41"/>
      <c r="CU333" s="41"/>
      <c r="CV333" s="41"/>
      <c r="CW333" s="41"/>
    </row>
    <row r="334" spans="1:101" ht="16.5" x14ac:dyDescent="0.35">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BG334" s="41"/>
      <c r="BH334" s="41"/>
      <c r="BI334" s="41"/>
      <c r="BJ334" s="41"/>
      <c r="BK334" s="41"/>
      <c r="BL334" s="41"/>
      <c r="BM334" s="41"/>
      <c r="BN334" s="41"/>
      <c r="BO334" s="41"/>
      <c r="BP334" s="41"/>
      <c r="BQ334" s="41"/>
      <c r="BR334" s="41"/>
      <c r="BS334" s="41"/>
      <c r="BT334" s="41"/>
      <c r="BU334" s="41"/>
      <c r="BV334" s="41"/>
      <c r="BW334" s="41"/>
      <c r="BX334" s="41"/>
      <c r="BY334" s="41"/>
      <c r="BZ334" s="41"/>
      <c r="CA334" s="41"/>
      <c r="CB334" s="41"/>
      <c r="CC334" s="41"/>
      <c r="CD334" s="41"/>
      <c r="CE334" s="41"/>
      <c r="CF334" s="41"/>
      <c r="CG334" s="41"/>
      <c r="CH334" s="41"/>
      <c r="CI334" s="41"/>
      <c r="CJ334" s="41"/>
      <c r="CK334" s="41"/>
      <c r="CL334" s="41"/>
      <c r="CM334" s="41"/>
      <c r="CN334" s="41"/>
      <c r="CO334" s="41"/>
      <c r="CP334" s="41"/>
      <c r="CQ334" s="41"/>
      <c r="CR334" s="41"/>
      <c r="CS334" s="41"/>
      <c r="CT334" s="41"/>
      <c r="CU334" s="41"/>
      <c r="CV334" s="41"/>
      <c r="CW334" s="41"/>
    </row>
    <row r="335" spans="1:101" ht="16.5" x14ac:dyDescent="0.35">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41"/>
      <c r="AW335" s="41"/>
      <c r="AX335" s="41"/>
      <c r="AY335" s="41"/>
      <c r="AZ335" s="41"/>
      <c r="BA335" s="41"/>
      <c r="BB335" s="41"/>
      <c r="BC335" s="41"/>
      <c r="BD335" s="41"/>
      <c r="BE335" s="41"/>
      <c r="BF335" s="41"/>
      <c r="BG335" s="41"/>
      <c r="BH335" s="41"/>
      <c r="BI335" s="41"/>
      <c r="BJ335" s="41"/>
      <c r="BK335" s="41"/>
      <c r="BL335" s="41"/>
      <c r="BM335" s="41"/>
      <c r="BN335" s="41"/>
      <c r="BO335" s="41"/>
      <c r="BP335" s="41"/>
      <c r="BQ335" s="41"/>
      <c r="BR335" s="41"/>
      <c r="BS335" s="41"/>
      <c r="BT335" s="41"/>
      <c r="BU335" s="41"/>
      <c r="BV335" s="41"/>
      <c r="BW335" s="41"/>
      <c r="BX335" s="41"/>
      <c r="BY335" s="41"/>
      <c r="BZ335" s="41"/>
      <c r="CA335" s="41"/>
      <c r="CB335" s="41"/>
      <c r="CC335" s="41"/>
      <c r="CD335" s="41"/>
      <c r="CE335" s="41"/>
      <c r="CF335" s="41"/>
      <c r="CG335" s="41"/>
      <c r="CH335" s="41"/>
      <c r="CI335" s="41"/>
      <c r="CJ335" s="41"/>
      <c r="CK335" s="41"/>
      <c r="CL335" s="41"/>
      <c r="CM335" s="41"/>
      <c r="CN335" s="41"/>
      <c r="CO335" s="41"/>
      <c r="CP335" s="41"/>
      <c r="CQ335" s="41"/>
      <c r="CR335" s="41"/>
      <c r="CS335" s="41"/>
      <c r="CT335" s="41"/>
      <c r="CU335" s="41"/>
      <c r="CV335" s="41"/>
      <c r="CW335" s="41"/>
    </row>
    <row r="336" spans="1:101" ht="16.5" x14ac:dyDescent="0.35">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c r="AJ336" s="41"/>
      <c r="AK336" s="41"/>
      <c r="AL336" s="41"/>
      <c r="AM336" s="41"/>
      <c r="AN336" s="41"/>
      <c r="AO336" s="41"/>
      <c r="AP336" s="41"/>
      <c r="AQ336" s="41"/>
      <c r="AR336" s="41"/>
      <c r="AS336" s="41"/>
      <c r="AT336" s="41"/>
      <c r="AU336" s="41"/>
      <c r="AV336" s="41"/>
      <c r="AW336" s="41"/>
      <c r="AX336" s="41"/>
      <c r="AY336" s="41"/>
      <c r="AZ336" s="41"/>
      <c r="BA336" s="41"/>
      <c r="BB336" s="41"/>
      <c r="BC336" s="41"/>
      <c r="BD336" s="41"/>
      <c r="BE336" s="41"/>
      <c r="BF336" s="41"/>
      <c r="BG336" s="41"/>
      <c r="BH336" s="41"/>
      <c r="BI336" s="41"/>
      <c r="BJ336" s="41"/>
      <c r="BK336" s="41"/>
      <c r="BL336" s="41"/>
      <c r="BM336" s="41"/>
      <c r="BN336" s="41"/>
      <c r="BO336" s="41"/>
      <c r="BP336" s="41"/>
      <c r="BQ336" s="41"/>
      <c r="BR336" s="41"/>
      <c r="BS336" s="41"/>
      <c r="BT336" s="41"/>
      <c r="BU336" s="41"/>
      <c r="BV336" s="41"/>
      <c r="BW336" s="41"/>
      <c r="BX336" s="41"/>
      <c r="BY336" s="41"/>
      <c r="BZ336" s="41"/>
      <c r="CA336" s="41"/>
      <c r="CB336" s="41"/>
      <c r="CC336" s="41"/>
      <c r="CD336" s="41"/>
      <c r="CE336" s="41"/>
      <c r="CF336" s="41"/>
      <c r="CG336" s="41"/>
      <c r="CH336" s="41"/>
      <c r="CI336" s="41"/>
      <c r="CJ336" s="41"/>
      <c r="CK336" s="41"/>
      <c r="CL336" s="41"/>
      <c r="CM336" s="41"/>
      <c r="CN336" s="41"/>
      <c r="CO336" s="41"/>
      <c r="CP336" s="41"/>
      <c r="CQ336" s="41"/>
      <c r="CR336" s="41"/>
      <c r="CS336" s="41"/>
      <c r="CT336" s="41"/>
      <c r="CU336" s="41"/>
      <c r="CV336" s="41"/>
      <c r="CW336" s="41"/>
    </row>
    <row r="337" spans="1:101" ht="16.5" x14ac:dyDescent="0.35">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41"/>
      <c r="AZ337" s="41"/>
      <c r="BA337" s="41"/>
      <c r="BB337" s="41"/>
      <c r="BC337" s="41"/>
      <c r="BD337" s="41"/>
      <c r="BE337" s="41"/>
      <c r="BF337" s="41"/>
      <c r="BG337" s="41"/>
      <c r="BH337" s="41"/>
      <c r="BI337" s="41"/>
      <c r="BJ337" s="41"/>
      <c r="BK337" s="41"/>
      <c r="BL337" s="41"/>
      <c r="BM337" s="41"/>
      <c r="BN337" s="41"/>
      <c r="BO337" s="41"/>
      <c r="BP337" s="41"/>
      <c r="BQ337" s="41"/>
      <c r="BR337" s="41"/>
      <c r="BS337" s="41"/>
      <c r="BT337" s="41"/>
      <c r="BU337" s="41"/>
      <c r="BV337" s="41"/>
      <c r="BW337" s="41"/>
      <c r="BX337" s="41"/>
      <c r="BY337" s="41"/>
      <c r="BZ337" s="41"/>
      <c r="CA337" s="41"/>
      <c r="CB337" s="41"/>
      <c r="CC337" s="41"/>
      <c r="CD337" s="41"/>
      <c r="CE337" s="41"/>
      <c r="CF337" s="41"/>
      <c r="CG337" s="41"/>
      <c r="CH337" s="41"/>
      <c r="CI337" s="41"/>
      <c r="CJ337" s="41"/>
      <c r="CK337" s="41"/>
      <c r="CL337" s="41"/>
      <c r="CM337" s="41"/>
      <c r="CN337" s="41"/>
      <c r="CO337" s="41"/>
      <c r="CP337" s="41"/>
      <c r="CQ337" s="41"/>
      <c r="CR337" s="41"/>
      <c r="CS337" s="41"/>
      <c r="CT337" s="41"/>
      <c r="CU337" s="41"/>
      <c r="CV337" s="41"/>
      <c r="CW337" s="41"/>
    </row>
    <row r="338" spans="1:101" ht="16.5" x14ac:dyDescent="0.35">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41"/>
      <c r="AZ338" s="41"/>
      <c r="BA338" s="41"/>
      <c r="BB338" s="41"/>
      <c r="BC338" s="41"/>
      <c r="BD338" s="41"/>
      <c r="BE338" s="41"/>
      <c r="BF338" s="41"/>
      <c r="BG338" s="41"/>
      <c r="BH338" s="41"/>
      <c r="BI338" s="41"/>
      <c r="BJ338" s="41"/>
      <c r="BK338" s="41"/>
      <c r="BL338" s="41"/>
      <c r="BM338" s="41"/>
      <c r="BN338" s="41"/>
      <c r="BO338" s="41"/>
      <c r="BP338" s="41"/>
      <c r="BQ338" s="41"/>
      <c r="BR338" s="41"/>
      <c r="BS338" s="41"/>
      <c r="BT338" s="41"/>
      <c r="BU338" s="41"/>
      <c r="BV338" s="41"/>
      <c r="BW338" s="41"/>
      <c r="BX338" s="41"/>
      <c r="BY338" s="41"/>
      <c r="BZ338" s="41"/>
      <c r="CA338" s="41"/>
      <c r="CB338" s="41"/>
      <c r="CC338" s="41"/>
      <c r="CD338" s="41"/>
      <c r="CE338" s="41"/>
      <c r="CF338" s="41"/>
      <c r="CG338" s="41"/>
      <c r="CH338" s="41"/>
      <c r="CI338" s="41"/>
      <c r="CJ338" s="41"/>
      <c r="CK338" s="41"/>
      <c r="CL338" s="41"/>
      <c r="CM338" s="41"/>
      <c r="CN338" s="41"/>
      <c r="CO338" s="41"/>
      <c r="CP338" s="41"/>
      <c r="CQ338" s="41"/>
      <c r="CR338" s="41"/>
      <c r="CS338" s="41"/>
      <c r="CT338" s="41"/>
      <c r="CU338" s="41"/>
      <c r="CV338" s="41"/>
      <c r="CW338" s="41"/>
    </row>
    <row r="339" spans="1:101" ht="16.5" x14ac:dyDescent="0.35">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c r="AJ339" s="41"/>
      <c r="AK339" s="41"/>
      <c r="AL339" s="41"/>
      <c r="AM339" s="41"/>
      <c r="AN339" s="41"/>
      <c r="AO339" s="41"/>
      <c r="AP339" s="41"/>
      <c r="AQ339" s="41"/>
      <c r="AR339" s="41"/>
      <c r="AS339" s="41"/>
      <c r="AT339" s="41"/>
      <c r="AU339" s="41"/>
      <c r="AV339" s="41"/>
      <c r="AW339" s="41"/>
      <c r="AX339" s="41"/>
      <c r="AY339" s="41"/>
      <c r="AZ339" s="41"/>
      <c r="BA339" s="41"/>
      <c r="BB339" s="41"/>
      <c r="BC339" s="41"/>
      <c r="BD339" s="41"/>
      <c r="BE339" s="41"/>
      <c r="BF339" s="41"/>
      <c r="BG339" s="41"/>
      <c r="BH339" s="41"/>
      <c r="BI339" s="41"/>
      <c r="BJ339" s="41"/>
      <c r="BK339" s="41"/>
      <c r="BL339" s="41"/>
      <c r="BM339" s="41"/>
      <c r="BN339" s="41"/>
      <c r="BO339" s="41"/>
      <c r="BP339" s="41"/>
      <c r="BQ339" s="41"/>
      <c r="BR339" s="41"/>
      <c r="BS339" s="41"/>
      <c r="BT339" s="41"/>
      <c r="BU339" s="41"/>
      <c r="BV339" s="41"/>
      <c r="BW339" s="41"/>
      <c r="BX339" s="41"/>
      <c r="BY339" s="41"/>
      <c r="BZ339" s="41"/>
      <c r="CA339" s="41"/>
      <c r="CB339" s="41"/>
      <c r="CC339" s="41"/>
      <c r="CD339" s="41"/>
      <c r="CE339" s="41"/>
      <c r="CF339" s="41"/>
      <c r="CG339" s="41"/>
      <c r="CH339" s="41"/>
      <c r="CI339" s="41"/>
      <c r="CJ339" s="41"/>
      <c r="CK339" s="41"/>
      <c r="CL339" s="41"/>
      <c r="CM339" s="41"/>
      <c r="CN339" s="41"/>
      <c r="CO339" s="41"/>
      <c r="CP339" s="41"/>
      <c r="CQ339" s="41"/>
      <c r="CR339" s="41"/>
      <c r="CS339" s="41"/>
      <c r="CT339" s="41"/>
      <c r="CU339" s="41"/>
      <c r="CV339" s="41"/>
      <c r="CW339" s="41"/>
    </row>
    <row r="340" spans="1:101" ht="16.5" x14ac:dyDescent="0.35">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41"/>
      <c r="AZ340" s="41"/>
      <c r="BA340" s="41"/>
      <c r="BB340" s="41"/>
      <c r="BC340" s="41"/>
      <c r="BD340" s="41"/>
      <c r="BE340" s="41"/>
      <c r="BF340" s="41"/>
      <c r="BG340" s="41"/>
      <c r="BH340" s="41"/>
      <c r="BI340" s="41"/>
      <c r="BJ340" s="41"/>
      <c r="BK340" s="41"/>
      <c r="BL340" s="41"/>
      <c r="BM340" s="41"/>
      <c r="BN340" s="41"/>
      <c r="BO340" s="41"/>
      <c r="BP340" s="41"/>
      <c r="BQ340" s="41"/>
      <c r="BR340" s="41"/>
      <c r="BS340" s="41"/>
      <c r="BT340" s="41"/>
      <c r="BU340" s="41"/>
      <c r="BV340" s="41"/>
      <c r="BW340" s="41"/>
      <c r="BX340" s="41"/>
      <c r="BY340" s="41"/>
      <c r="BZ340" s="41"/>
      <c r="CA340" s="41"/>
      <c r="CB340" s="41"/>
      <c r="CC340" s="41"/>
      <c r="CD340" s="41"/>
      <c r="CE340" s="41"/>
      <c r="CF340" s="41"/>
      <c r="CG340" s="41"/>
      <c r="CH340" s="41"/>
      <c r="CI340" s="41"/>
      <c r="CJ340" s="41"/>
      <c r="CK340" s="41"/>
      <c r="CL340" s="41"/>
      <c r="CM340" s="41"/>
      <c r="CN340" s="41"/>
      <c r="CO340" s="41"/>
      <c r="CP340" s="41"/>
      <c r="CQ340" s="41"/>
      <c r="CR340" s="41"/>
      <c r="CS340" s="41"/>
      <c r="CT340" s="41"/>
      <c r="CU340" s="41"/>
      <c r="CV340" s="41"/>
      <c r="CW340" s="41"/>
    </row>
    <row r="341" spans="1:101" ht="16.5" x14ac:dyDescent="0.35">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c r="AJ341" s="41"/>
      <c r="AK341" s="41"/>
      <c r="AL341" s="41"/>
      <c r="AM341" s="41"/>
      <c r="AN341" s="41"/>
      <c r="AO341" s="41"/>
      <c r="AP341" s="41"/>
      <c r="AQ341" s="41"/>
      <c r="AR341" s="41"/>
      <c r="AS341" s="41"/>
      <c r="AT341" s="41"/>
      <c r="AU341" s="41"/>
      <c r="AV341" s="41"/>
      <c r="AW341" s="41"/>
      <c r="AX341" s="41"/>
      <c r="AY341" s="41"/>
      <c r="AZ341" s="41"/>
      <c r="BA341" s="41"/>
      <c r="BB341" s="41"/>
      <c r="BC341" s="41"/>
      <c r="BD341" s="41"/>
      <c r="BE341" s="41"/>
      <c r="BF341" s="41"/>
      <c r="BG341" s="41"/>
      <c r="BH341" s="41"/>
      <c r="BI341" s="41"/>
      <c r="BJ341" s="41"/>
      <c r="BK341" s="41"/>
      <c r="BL341" s="41"/>
      <c r="BM341" s="41"/>
      <c r="BN341" s="41"/>
      <c r="BO341" s="41"/>
      <c r="BP341" s="41"/>
      <c r="BQ341" s="41"/>
      <c r="BR341" s="41"/>
      <c r="BS341" s="41"/>
      <c r="BT341" s="41"/>
      <c r="BU341" s="41"/>
      <c r="BV341" s="41"/>
      <c r="BW341" s="41"/>
      <c r="BX341" s="41"/>
      <c r="BY341" s="41"/>
      <c r="BZ341" s="41"/>
      <c r="CA341" s="41"/>
      <c r="CB341" s="41"/>
      <c r="CC341" s="41"/>
      <c r="CD341" s="41"/>
      <c r="CE341" s="41"/>
      <c r="CF341" s="41"/>
      <c r="CG341" s="41"/>
      <c r="CH341" s="41"/>
      <c r="CI341" s="41"/>
      <c r="CJ341" s="41"/>
      <c r="CK341" s="41"/>
      <c r="CL341" s="41"/>
      <c r="CM341" s="41"/>
      <c r="CN341" s="41"/>
      <c r="CO341" s="41"/>
      <c r="CP341" s="41"/>
      <c r="CQ341" s="41"/>
      <c r="CR341" s="41"/>
      <c r="CS341" s="41"/>
      <c r="CT341" s="41"/>
      <c r="CU341" s="41"/>
      <c r="CV341" s="41"/>
      <c r="CW341" s="41"/>
    </row>
    <row r="342" spans="1:101" ht="16.5" x14ac:dyDescent="0.35">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41"/>
      <c r="AZ342" s="41"/>
      <c r="BA342" s="41"/>
      <c r="BB342" s="41"/>
      <c r="BC342" s="41"/>
      <c r="BD342" s="41"/>
      <c r="BE342" s="41"/>
      <c r="BF342" s="41"/>
      <c r="BG342" s="41"/>
      <c r="BH342" s="41"/>
      <c r="BI342" s="41"/>
      <c r="BJ342" s="41"/>
      <c r="BK342" s="41"/>
      <c r="BL342" s="41"/>
      <c r="BM342" s="41"/>
      <c r="BN342" s="41"/>
      <c r="BO342" s="41"/>
      <c r="BP342" s="41"/>
      <c r="BQ342" s="41"/>
      <c r="BR342" s="41"/>
      <c r="BS342" s="41"/>
      <c r="BT342" s="41"/>
      <c r="BU342" s="41"/>
      <c r="BV342" s="41"/>
      <c r="BW342" s="41"/>
      <c r="BX342" s="41"/>
      <c r="BY342" s="41"/>
      <c r="BZ342" s="41"/>
      <c r="CA342" s="41"/>
      <c r="CB342" s="41"/>
      <c r="CC342" s="41"/>
      <c r="CD342" s="41"/>
      <c r="CE342" s="41"/>
      <c r="CF342" s="41"/>
      <c r="CG342" s="41"/>
      <c r="CH342" s="41"/>
      <c r="CI342" s="41"/>
      <c r="CJ342" s="41"/>
      <c r="CK342" s="41"/>
      <c r="CL342" s="41"/>
      <c r="CM342" s="41"/>
      <c r="CN342" s="41"/>
      <c r="CO342" s="41"/>
      <c r="CP342" s="41"/>
      <c r="CQ342" s="41"/>
      <c r="CR342" s="41"/>
      <c r="CS342" s="41"/>
      <c r="CT342" s="41"/>
      <c r="CU342" s="41"/>
      <c r="CV342" s="41"/>
      <c r="CW342" s="41"/>
    </row>
    <row r="343" spans="1:101" ht="16.5" x14ac:dyDescent="0.35">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41"/>
      <c r="AZ343" s="41"/>
      <c r="BA343" s="41"/>
      <c r="BB343" s="41"/>
      <c r="BC343" s="41"/>
      <c r="BD343" s="41"/>
      <c r="BE343" s="41"/>
      <c r="BF343" s="41"/>
      <c r="BG343" s="41"/>
      <c r="BH343" s="41"/>
      <c r="BI343" s="41"/>
      <c r="BJ343" s="41"/>
      <c r="BK343" s="41"/>
      <c r="BL343" s="41"/>
      <c r="BM343" s="41"/>
      <c r="BN343" s="41"/>
      <c r="BO343" s="41"/>
      <c r="BP343" s="41"/>
      <c r="BQ343" s="41"/>
      <c r="BR343" s="41"/>
      <c r="BS343" s="41"/>
      <c r="BT343" s="41"/>
      <c r="BU343" s="41"/>
      <c r="BV343" s="41"/>
      <c r="BW343" s="41"/>
      <c r="BX343" s="41"/>
      <c r="BY343" s="41"/>
      <c r="BZ343" s="41"/>
      <c r="CA343" s="41"/>
      <c r="CB343" s="41"/>
      <c r="CC343" s="41"/>
      <c r="CD343" s="41"/>
      <c r="CE343" s="41"/>
      <c r="CF343" s="41"/>
      <c r="CG343" s="41"/>
      <c r="CH343" s="41"/>
      <c r="CI343" s="41"/>
      <c r="CJ343" s="41"/>
      <c r="CK343" s="41"/>
      <c r="CL343" s="41"/>
      <c r="CM343" s="41"/>
      <c r="CN343" s="41"/>
      <c r="CO343" s="41"/>
      <c r="CP343" s="41"/>
      <c r="CQ343" s="41"/>
      <c r="CR343" s="41"/>
      <c r="CS343" s="41"/>
      <c r="CT343" s="41"/>
      <c r="CU343" s="41"/>
      <c r="CV343" s="41"/>
      <c r="CW343" s="41"/>
    </row>
    <row r="344" spans="1:101" ht="16.5" x14ac:dyDescent="0.35">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c r="AJ344" s="41"/>
      <c r="AK344" s="41"/>
      <c r="AL344" s="41"/>
      <c r="AM344" s="41"/>
      <c r="AN344" s="41"/>
      <c r="AO344" s="41"/>
      <c r="AP344" s="41"/>
      <c r="AQ344" s="41"/>
      <c r="AR344" s="41"/>
      <c r="AS344" s="41"/>
      <c r="AT344" s="41"/>
      <c r="AU344" s="41"/>
      <c r="AV344" s="41"/>
      <c r="AW344" s="41"/>
      <c r="AX344" s="41"/>
      <c r="AY344" s="41"/>
      <c r="AZ344" s="41"/>
      <c r="BA344" s="41"/>
      <c r="BB344" s="41"/>
      <c r="BC344" s="41"/>
      <c r="BD344" s="41"/>
      <c r="BE344" s="41"/>
      <c r="BF344" s="41"/>
      <c r="BG344" s="41"/>
      <c r="BH344" s="41"/>
      <c r="BI344" s="41"/>
      <c r="BJ344" s="41"/>
      <c r="BK344" s="41"/>
      <c r="BL344" s="41"/>
      <c r="BM344" s="41"/>
      <c r="BN344" s="41"/>
      <c r="BO344" s="41"/>
      <c r="BP344" s="41"/>
      <c r="BQ344" s="41"/>
      <c r="BR344" s="41"/>
      <c r="BS344" s="41"/>
      <c r="BT344" s="41"/>
      <c r="BU344" s="41"/>
      <c r="BV344" s="41"/>
      <c r="BW344" s="41"/>
      <c r="BX344" s="41"/>
      <c r="BY344" s="41"/>
      <c r="BZ344" s="41"/>
      <c r="CA344" s="41"/>
      <c r="CB344" s="41"/>
      <c r="CC344" s="41"/>
      <c r="CD344" s="41"/>
      <c r="CE344" s="41"/>
      <c r="CF344" s="41"/>
      <c r="CG344" s="41"/>
      <c r="CH344" s="41"/>
      <c r="CI344" s="41"/>
      <c r="CJ344" s="41"/>
      <c r="CK344" s="41"/>
      <c r="CL344" s="41"/>
      <c r="CM344" s="41"/>
      <c r="CN344" s="41"/>
      <c r="CO344" s="41"/>
      <c r="CP344" s="41"/>
      <c r="CQ344" s="41"/>
      <c r="CR344" s="41"/>
      <c r="CS344" s="41"/>
      <c r="CT344" s="41"/>
      <c r="CU344" s="41"/>
      <c r="CV344" s="41"/>
      <c r="CW344" s="41"/>
    </row>
    <row r="345" spans="1:101" ht="16.5" x14ac:dyDescent="0.35">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41"/>
      <c r="AZ345" s="41"/>
      <c r="BA345" s="41"/>
      <c r="BB345" s="41"/>
      <c r="BC345" s="41"/>
      <c r="BD345" s="41"/>
      <c r="BE345" s="41"/>
      <c r="BF345" s="41"/>
      <c r="BG345" s="41"/>
      <c r="BH345" s="41"/>
      <c r="BI345" s="41"/>
      <c r="BJ345" s="41"/>
      <c r="BK345" s="41"/>
      <c r="BL345" s="41"/>
      <c r="BM345" s="41"/>
      <c r="BN345" s="41"/>
      <c r="BO345" s="41"/>
      <c r="BP345" s="41"/>
      <c r="BQ345" s="41"/>
      <c r="BR345" s="41"/>
      <c r="BS345" s="41"/>
      <c r="BT345" s="41"/>
      <c r="BU345" s="41"/>
      <c r="BV345" s="41"/>
      <c r="BW345" s="41"/>
      <c r="BX345" s="41"/>
      <c r="BY345" s="41"/>
      <c r="BZ345" s="41"/>
      <c r="CA345" s="41"/>
      <c r="CB345" s="41"/>
      <c r="CC345" s="41"/>
      <c r="CD345" s="41"/>
      <c r="CE345" s="41"/>
      <c r="CF345" s="41"/>
      <c r="CG345" s="41"/>
      <c r="CH345" s="41"/>
      <c r="CI345" s="41"/>
      <c r="CJ345" s="41"/>
      <c r="CK345" s="41"/>
      <c r="CL345" s="41"/>
      <c r="CM345" s="41"/>
      <c r="CN345" s="41"/>
      <c r="CO345" s="41"/>
      <c r="CP345" s="41"/>
      <c r="CQ345" s="41"/>
      <c r="CR345" s="41"/>
      <c r="CS345" s="41"/>
      <c r="CT345" s="41"/>
      <c r="CU345" s="41"/>
      <c r="CV345" s="41"/>
      <c r="CW345" s="41"/>
    </row>
    <row r="346" spans="1:101" ht="16.5" x14ac:dyDescent="0.35">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c r="AJ346" s="41"/>
      <c r="AK346" s="41"/>
      <c r="AL346" s="41"/>
      <c r="AM346" s="41"/>
      <c r="AN346" s="41"/>
      <c r="AO346" s="41"/>
      <c r="AP346" s="41"/>
      <c r="AQ346" s="41"/>
      <c r="AR346" s="41"/>
      <c r="AS346" s="41"/>
      <c r="AT346" s="41"/>
      <c r="AU346" s="41"/>
      <c r="AV346" s="41"/>
      <c r="AW346" s="41"/>
      <c r="AX346" s="41"/>
      <c r="AY346" s="41"/>
      <c r="AZ346" s="41"/>
      <c r="BA346" s="41"/>
      <c r="BB346" s="41"/>
      <c r="BC346" s="41"/>
      <c r="BD346" s="41"/>
      <c r="BE346" s="41"/>
      <c r="BF346" s="41"/>
      <c r="BG346" s="41"/>
      <c r="BH346" s="41"/>
      <c r="BI346" s="41"/>
      <c r="BJ346" s="41"/>
      <c r="BK346" s="41"/>
      <c r="BL346" s="41"/>
      <c r="BM346" s="41"/>
      <c r="BN346" s="41"/>
      <c r="BO346" s="41"/>
      <c r="BP346" s="41"/>
      <c r="BQ346" s="41"/>
      <c r="BR346" s="41"/>
      <c r="BS346" s="41"/>
      <c r="BT346" s="41"/>
      <c r="BU346" s="41"/>
      <c r="BV346" s="41"/>
      <c r="BW346" s="41"/>
      <c r="BX346" s="41"/>
      <c r="BY346" s="41"/>
      <c r="BZ346" s="41"/>
      <c r="CA346" s="41"/>
      <c r="CB346" s="41"/>
      <c r="CC346" s="41"/>
      <c r="CD346" s="41"/>
      <c r="CE346" s="41"/>
      <c r="CF346" s="41"/>
      <c r="CG346" s="41"/>
      <c r="CH346" s="41"/>
      <c r="CI346" s="41"/>
      <c r="CJ346" s="41"/>
      <c r="CK346" s="41"/>
      <c r="CL346" s="41"/>
      <c r="CM346" s="41"/>
      <c r="CN346" s="41"/>
      <c r="CO346" s="41"/>
      <c r="CP346" s="41"/>
      <c r="CQ346" s="41"/>
      <c r="CR346" s="41"/>
      <c r="CS346" s="41"/>
      <c r="CT346" s="41"/>
      <c r="CU346" s="41"/>
      <c r="CV346" s="41"/>
      <c r="CW346" s="41"/>
    </row>
    <row r="347" spans="1:101" ht="16.5" x14ac:dyDescent="0.35">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41"/>
      <c r="AZ347" s="41"/>
      <c r="BA347" s="41"/>
      <c r="BB347" s="41"/>
      <c r="BC347" s="41"/>
      <c r="BD347" s="41"/>
      <c r="BE347" s="41"/>
      <c r="BF347" s="41"/>
      <c r="BG347" s="41"/>
      <c r="BH347" s="41"/>
      <c r="BI347" s="41"/>
      <c r="BJ347" s="41"/>
      <c r="BK347" s="41"/>
      <c r="BL347" s="41"/>
      <c r="BM347" s="41"/>
      <c r="BN347" s="41"/>
      <c r="BO347" s="41"/>
      <c r="BP347" s="41"/>
      <c r="BQ347" s="41"/>
      <c r="BR347" s="41"/>
      <c r="BS347" s="41"/>
      <c r="BT347" s="41"/>
      <c r="BU347" s="41"/>
      <c r="BV347" s="41"/>
      <c r="BW347" s="41"/>
      <c r="BX347" s="41"/>
      <c r="BY347" s="41"/>
      <c r="BZ347" s="41"/>
      <c r="CA347" s="41"/>
      <c r="CB347" s="41"/>
      <c r="CC347" s="41"/>
      <c r="CD347" s="41"/>
      <c r="CE347" s="41"/>
      <c r="CF347" s="41"/>
      <c r="CG347" s="41"/>
      <c r="CH347" s="41"/>
      <c r="CI347" s="41"/>
      <c r="CJ347" s="41"/>
      <c r="CK347" s="41"/>
      <c r="CL347" s="41"/>
      <c r="CM347" s="41"/>
      <c r="CN347" s="41"/>
      <c r="CO347" s="41"/>
      <c r="CP347" s="41"/>
      <c r="CQ347" s="41"/>
      <c r="CR347" s="41"/>
      <c r="CS347" s="41"/>
      <c r="CT347" s="41"/>
      <c r="CU347" s="41"/>
      <c r="CV347" s="41"/>
      <c r="CW347" s="41"/>
    </row>
    <row r="348" spans="1:101" ht="16.5" x14ac:dyDescent="0.35">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41"/>
      <c r="AZ348" s="41"/>
      <c r="BA348" s="41"/>
      <c r="BB348" s="41"/>
      <c r="BC348" s="41"/>
      <c r="BD348" s="41"/>
      <c r="BE348" s="41"/>
      <c r="BF348" s="41"/>
      <c r="BG348" s="41"/>
      <c r="BH348" s="41"/>
      <c r="BI348" s="41"/>
      <c r="BJ348" s="41"/>
      <c r="BK348" s="41"/>
      <c r="BL348" s="41"/>
      <c r="BM348" s="41"/>
      <c r="BN348" s="41"/>
      <c r="BO348" s="41"/>
      <c r="BP348" s="41"/>
      <c r="BQ348" s="41"/>
      <c r="BR348" s="41"/>
      <c r="BS348" s="41"/>
      <c r="BT348" s="41"/>
      <c r="BU348" s="41"/>
      <c r="BV348" s="41"/>
      <c r="BW348" s="41"/>
      <c r="BX348" s="41"/>
      <c r="BY348" s="41"/>
      <c r="BZ348" s="41"/>
      <c r="CA348" s="41"/>
      <c r="CB348" s="41"/>
      <c r="CC348" s="41"/>
      <c r="CD348" s="41"/>
      <c r="CE348" s="41"/>
      <c r="CF348" s="41"/>
      <c r="CG348" s="41"/>
      <c r="CH348" s="41"/>
      <c r="CI348" s="41"/>
      <c r="CJ348" s="41"/>
      <c r="CK348" s="41"/>
      <c r="CL348" s="41"/>
      <c r="CM348" s="41"/>
      <c r="CN348" s="41"/>
      <c r="CO348" s="41"/>
      <c r="CP348" s="41"/>
      <c r="CQ348" s="41"/>
      <c r="CR348" s="41"/>
      <c r="CS348" s="41"/>
      <c r="CT348" s="41"/>
      <c r="CU348" s="41"/>
      <c r="CV348" s="41"/>
      <c r="CW348" s="41"/>
    </row>
    <row r="349" spans="1:101" ht="16.5" x14ac:dyDescent="0.35">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c r="AJ349" s="41"/>
      <c r="AK349" s="41"/>
      <c r="AL349" s="41"/>
      <c r="AM349" s="41"/>
      <c r="AN349" s="41"/>
      <c r="AO349" s="41"/>
      <c r="AP349" s="41"/>
      <c r="AQ349" s="41"/>
      <c r="AR349" s="41"/>
      <c r="AS349" s="41"/>
      <c r="AT349" s="41"/>
      <c r="AU349" s="41"/>
      <c r="AV349" s="41"/>
      <c r="AW349" s="41"/>
      <c r="AX349" s="41"/>
      <c r="AY349" s="41"/>
      <c r="AZ349" s="41"/>
      <c r="BA349" s="41"/>
      <c r="BB349" s="41"/>
      <c r="BC349" s="41"/>
      <c r="BD349" s="41"/>
      <c r="BE349" s="41"/>
      <c r="BF349" s="41"/>
      <c r="BG349" s="41"/>
      <c r="BH349" s="41"/>
      <c r="BI349" s="41"/>
      <c r="BJ349" s="41"/>
      <c r="BK349" s="41"/>
      <c r="BL349" s="41"/>
      <c r="BM349" s="41"/>
      <c r="BN349" s="41"/>
      <c r="BO349" s="41"/>
      <c r="BP349" s="41"/>
      <c r="BQ349" s="41"/>
      <c r="BR349" s="41"/>
      <c r="BS349" s="41"/>
      <c r="BT349" s="41"/>
      <c r="BU349" s="41"/>
      <c r="BV349" s="41"/>
      <c r="BW349" s="41"/>
      <c r="BX349" s="41"/>
      <c r="BY349" s="41"/>
      <c r="BZ349" s="41"/>
      <c r="CA349" s="41"/>
      <c r="CB349" s="41"/>
      <c r="CC349" s="41"/>
      <c r="CD349" s="41"/>
      <c r="CE349" s="41"/>
      <c r="CF349" s="41"/>
      <c r="CG349" s="41"/>
      <c r="CH349" s="41"/>
      <c r="CI349" s="41"/>
      <c r="CJ349" s="41"/>
      <c r="CK349" s="41"/>
      <c r="CL349" s="41"/>
      <c r="CM349" s="41"/>
      <c r="CN349" s="41"/>
      <c r="CO349" s="41"/>
      <c r="CP349" s="41"/>
      <c r="CQ349" s="41"/>
      <c r="CR349" s="41"/>
      <c r="CS349" s="41"/>
      <c r="CT349" s="41"/>
      <c r="CU349" s="41"/>
      <c r="CV349" s="41"/>
      <c r="CW349" s="41"/>
    </row>
    <row r="350" spans="1:101" ht="16.5" x14ac:dyDescent="0.35">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c r="AJ350" s="41"/>
      <c r="AK350" s="41"/>
      <c r="AL350" s="41"/>
      <c r="AM350" s="41"/>
      <c r="AN350" s="41"/>
      <c r="AO350" s="41"/>
      <c r="AP350" s="41"/>
      <c r="AQ350" s="41"/>
      <c r="AR350" s="41"/>
      <c r="AS350" s="41"/>
      <c r="AT350" s="41"/>
      <c r="AU350" s="41"/>
      <c r="AV350" s="41"/>
      <c r="AW350" s="41"/>
      <c r="AX350" s="41"/>
      <c r="AY350" s="41"/>
      <c r="AZ350" s="41"/>
      <c r="BA350" s="41"/>
      <c r="BB350" s="41"/>
      <c r="BC350" s="41"/>
      <c r="BD350" s="41"/>
      <c r="BE350" s="41"/>
      <c r="BF350" s="41"/>
      <c r="BG350" s="41"/>
      <c r="BH350" s="41"/>
      <c r="BI350" s="41"/>
      <c r="BJ350" s="41"/>
      <c r="BK350" s="41"/>
      <c r="BL350" s="41"/>
      <c r="BM350" s="41"/>
      <c r="BN350" s="41"/>
      <c r="BO350" s="41"/>
      <c r="BP350" s="41"/>
      <c r="BQ350" s="41"/>
      <c r="BR350" s="41"/>
      <c r="BS350" s="41"/>
      <c r="BT350" s="41"/>
      <c r="BU350" s="41"/>
      <c r="BV350" s="41"/>
      <c r="BW350" s="41"/>
      <c r="BX350" s="41"/>
      <c r="BY350" s="41"/>
      <c r="BZ350" s="41"/>
      <c r="CA350" s="41"/>
      <c r="CB350" s="41"/>
      <c r="CC350" s="41"/>
      <c r="CD350" s="41"/>
      <c r="CE350" s="41"/>
      <c r="CF350" s="41"/>
      <c r="CG350" s="41"/>
      <c r="CH350" s="41"/>
      <c r="CI350" s="41"/>
      <c r="CJ350" s="41"/>
      <c r="CK350" s="41"/>
      <c r="CL350" s="41"/>
      <c r="CM350" s="41"/>
      <c r="CN350" s="41"/>
      <c r="CO350" s="41"/>
      <c r="CP350" s="41"/>
      <c r="CQ350" s="41"/>
      <c r="CR350" s="41"/>
      <c r="CS350" s="41"/>
      <c r="CT350" s="41"/>
      <c r="CU350" s="41"/>
      <c r="CV350" s="41"/>
      <c r="CW350" s="41"/>
    </row>
    <row r="351" spans="1:101" ht="16.5" x14ac:dyDescent="0.35">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c r="AJ351" s="41"/>
      <c r="AK351" s="41"/>
      <c r="AL351" s="41"/>
      <c r="AM351" s="41"/>
      <c r="AN351" s="41"/>
      <c r="AO351" s="41"/>
      <c r="AP351" s="41"/>
      <c r="AQ351" s="41"/>
      <c r="AR351" s="41"/>
      <c r="AS351" s="41"/>
      <c r="AT351" s="41"/>
      <c r="AU351" s="41"/>
      <c r="AV351" s="41"/>
      <c r="AW351" s="41"/>
      <c r="AX351" s="41"/>
      <c r="AY351" s="41"/>
      <c r="AZ351" s="41"/>
      <c r="BA351" s="41"/>
      <c r="BB351" s="41"/>
      <c r="BC351" s="41"/>
      <c r="BD351" s="41"/>
      <c r="BE351" s="41"/>
      <c r="BF351" s="41"/>
      <c r="BG351" s="41"/>
      <c r="BH351" s="41"/>
      <c r="BI351" s="41"/>
      <c r="BJ351" s="41"/>
      <c r="BK351" s="41"/>
      <c r="BL351" s="41"/>
      <c r="BM351" s="41"/>
      <c r="BN351" s="41"/>
      <c r="BO351" s="41"/>
      <c r="BP351" s="41"/>
      <c r="BQ351" s="41"/>
      <c r="BR351" s="41"/>
      <c r="BS351" s="41"/>
      <c r="BT351" s="41"/>
      <c r="BU351" s="41"/>
      <c r="BV351" s="41"/>
      <c r="BW351" s="41"/>
      <c r="BX351" s="41"/>
      <c r="BY351" s="41"/>
      <c r="BZ351" s="41"/>
      <c r="CA351" s="41"/>
      <c r="CB351" s="41"/>
      <c r="CC351" s="41"/>
      <c r="CD351" s="41"/>
      <c r="CE351" s="41"/>
      <c r="CF351" s="41"/>
      <c r="CG351" s="41"/>
      <c r="CH351" s="41"/>
      <c r="CI351" s="41"/>
      <c r="CJ351" s="41"/>
      <c r="CK351" s="41"/>
      <c r="CL351" s="41"/>
      <c r="CM351" s="41"/>
      <c r="CN351" s="41"/>
      <c r="CO351" s="41"/>
      <c r="CP351" s="41"/>
      <c r="CQ351" s="41"/>
      <c r="CR351" s="41"/>
      <c r="CS351" s="41"/>
      <c r="CT351" s="41"/>
      <c r="CU351" s="41"/>
      <c r="CV351" s="41"/>
      <c r="CW351" s="41"/>
    </row>
    <row r="352" spans="1:101" ht="16.5" x14ac:dyDescent="0.35">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c r="AJ352" s="41"/>
      <c r="AK352" s="41"/>
      <c r="AL352" s="41"/>
      <c r="AM352" s="41"/>
      <c r="AN352" s="41"/>
      <c r="AO352" s="41"/>
      <c r="AP352" s="41"/>
      <c r="AQ352" s="41"/>
      <c r="AR352" s="41"/>
      <c r="AS352" s="41"/>
      <c r="AT352" s="41"/>
      <c r="AU352" s="41"/>
      <c r="AV352" s="41"/>
      <c r="AW352" s="41"/>
      <c r="AX352" s="41"/>
      <c r="AY352" s="41"/>
      <c r="AZ352" s="41"/>
      <c r="BA352" s="41"/>
      <c r="BB352" s="41"/>
      <c r="BC352" s="41"/>
      <c r="BD352" s="41"/>
      <c r="BE352" s="41"/>
      <c r="BF352" s="41"/>
      <c r="BG352" s="41"/>
      <c r="BH352" s="41"/>
      <c r="BI352" s="41"/>
      <c r="BJ352" s="41"/>
      <c r="BK352" s="41"/>
      <c r="BL352" s="41"/>
      <c r="BM352" s="41"/>
      <c r="BN352" s="41"/>
      <c r="BO352" s="41"/>
      <c r="BP352" s="41"/>
      <c r="BQ352" s="41"/>
      <c r="BR352" s="41"/>
      <c r="BS352" s="41"/>
      <c r="BT352" s="41"/>
      <c r="BU352" s="41"/>
      <c r="BV352" s="41"/>
      <c r="BW352" s="41"/>
      <c r="BX352" s="41"/>
      <c r="BY352" s="41"/>
      <c r="BZ352" s="41"/>
      <c r="CA352" s="41"/>
      <c r="CB352" s="41"/>
      <c r="CC352" s="41"/>
      <c r="CD352" s="41"/>
      <c r="CE352" s="41"/>
      <c r="CF352" s="41"/>
      <c r="CG352" s="41"/>
      <c r="CH352" s="41"/>
      <c r="CI352" s="41"/>
      <c r="CJ352" s="41"/>
      <c r="CK352" s="41"/>
      <c r="CL352" s="41"/>
      <c r="CM352" s="41"/>
      <c r="CN352" s="41"/>
      <c r="CO352" s="41"/>
      <c r="CP352" s="41"/>
      <c r="CQ352" s="41"/>
      <c r="CR352" s="41"/>
      <c r="CS352" s="41"/>
      <c r="CT352" s="41"/>
      <c r="CU352" s="41"/>
      <c r="CV352" s="41"/>
      <c r="CW352" s="41"/>
    </row>
    <row r="353" spans="1:101" ht="16.5" x14ac:dyDescent="0.35">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c r="AJ353" s="41"/>
      <c r="AK353" s="41"/>
      <c r="AL353" s="41"/>
      <c r="AM353" s="41"/>
      <c r="AN353" s="41"/>
      <c r="AO353" s="41"/>
      <c r="AP353" s="41"/>
      <c r="AQ353" s="41"/>
      <c r="AR353" s="41"/>
      <c r="AS353" s="41"/>
      <c r="AT353" s="41"/>
      <c r="AU353" s="41"/>
      <c r="AV353" s="41"/>
      <c r="AW353" s="41"/>
      <c r="AX353" s="41"/>
      <c r="AY353" s="41"/>
      <c r="AZ353" s="41"/>
      <c r="BA353" s="41"/>
      <c r="BB353" s="41"/>
      <c r="BC353" s="41"/>
      <c r="BD353" s="41"/>
      <c r="BE353" s="41"/>
      <c r="BF353" s="41"/>
      <c r="BG353" s="41"/>
      <c r="BH353" s="41"/>
      <c r="BI353" s="41"/>
      <c r="BJ353" s="41"/>
      <c r="BK353" s="41"/>
      <c r="BL353" s="41"/>
      <c r="BM353" s="41"/>
      <c r="BN353" s="41"/>
      <c r="BO353" s="41"/>
      <c r="BP353" s="41"/>
      <c r="BQ353" s="41"/>
      <c r="BR353" s="41"/>
      <c r="BS353" s="41"/>
      <c r="BT353" s="41"/>
      <c r="BU353" s="41"/>
      <c r="BV353" s="41"/>
      <c r="BW353" s="41"/>
      <c r="BX353" s="41"/>
      <c r="BY353" s="41"/>
      <c r="BZ353" s="41"/>
      <c r="CA353" s="41"/>
      <c r="CB353" s="41"/>
      <c r="CC353" s="41"/>
      <c r="CD353" s="41"/>
      <c r="CE353" s="41"/>
      <c r="CF353" s="41"/>
      <c r="CG353" s="41"/>
      <c r="CH353" s="41"/>
      <c r="CI353" s="41"/>
      <c r="CJ353" s="41"/>
      <c r="CK353" s="41"/>
      <c r="CL353" s="41"/>
      <c r="CM353" s="41"/>
      <c r="CN353" s="41"/>
      <c r="CO353" s="41"/>
      <c r="CP353" s="41"/>
      <c r="CQ353" s="41"/>
      <c r="CR353" s="41"/>
      <c r="CS353" s="41"/>
      <c r="CT353" s="41"/>
      <c r="CU353" s="41"/>
      <c r="CV353" s="41"/>
      <c r="CW353" s="41"/>
    </row>
    <row r="354" spans="1:101" ht="16.5" x14ac:dyDescent="0.35">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c r="AJ354" s="41"/>
      <c r="AK354" s="41"/>
      <c r="AL354" s="41"/>
      <c r="AM354" s="41"/>
      <c r="AN354" s="41"/>
      <c r="AO354" s="41"/>
      <c r="AP354" s="41"/>
      <c r="AQ354" s="41"/>
      <c r="AR354" s="41"/>
      <c r="AS354" s="41"/>
      <c r="AT354" s="41"/>
      <c r="AU354" s="41"/>
      <c r="AV354" s="41"/>
      <c r="AW354" s="41"/>
      <c r="AX354" s="41"/>
      <c r="AY354" s="41"/>
      <c r="AZ354" s="41"/>
      <c r="BA354" s="41"/>
      <c r="BB354" s="41"/>
      <c r="BC354" s="41"/>
      <c r="BD354" s="41"/>
      <c r="BE354" s="41"/>
      <c r="BF354" s="41"/>
      <c r="BG354" s="41"/>
      <c r="BH354" s="41"/>
      <c r="BI354" s="41"/>
      <c r="BJ354" s="41"/>
      <c r="BK354" s="41"/>
      <c r="BL354" s="41"/>
      <c r="BM354" s="41"/>
      <c r="BN354" s="41"/>
      <c r="BO354" s="41"/>
      <c r="BP354" s="41"/>
      <c r="BQ354" s="41"/>
      <c r="BR354" s="41"/>
      <c r="BS354" s="41"/>
      <c r="BT354" s="41"/>
      <c r="BU354" s="41"/>
      <c r="BV354" s="41"/>
      <c r="BW354" s="41"/>
      <c r="BX354" s="41"/>
      <c r="BY354" s="41"/>
      <c r="BZ354" s="41"/>
      <c r="CA354" s="41"/>
      <c r="CB354" s="41"/>
      <c r="CC354" s="41"/>
      <c r="CD354" s="41"/>
      <c r="CE354" s="41"/>
      <c r="CF354" s="41"/>
      <c r="CG354" s="41"/>
      <c r="CH354" s="41"/>
      <c r="CI354" s="41"/>
      <c r="CJ354" s="41"/>
      <c r="CK354" s="41"/>
      <c r="CL354" s="41"/>
      <c r="CM354" s="41"/>
      <c r="CN354" s="41"/>
      <c r="CO354" s="41"/>
      <c r="CP354" s="41"/>
      <c r="CQ354" s="41"/>
      <c r="CR354" s="41"/>
      <c r="CS354" s="41"/>
      <c r="CT354" s="41"/>
      <c r="CU354" s="41"/>
      <c r="CV354" s="41"/>
      <c r="CW354" s="41"/>
    </row>
    <row r="355" spans="1:101" ht="16.5" x14ac:dyDescent="0.35">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41"/>
      <c r="AZ355" s="41"/>
      <c r="BA355" s="41"/>
      <c r="BB355" s="41"/>
      <c r="BC355" s="41"/>
      <c r="BD355" s="41"/>
      <c r="BE355" s="41"/>
      <c r="BF355" s="41"/>
      <c r="BG355" s="41"/>
      <c r="BH355" s="41"/>
      <c r="BI355" s="41"/>
      <c r="BJ355" s="41"/>
      <c r="BK355" s="41"/>
      <c r="BL355" s="41"/>
      <c r="BM355" s="41"/>
      <c r="BN355" s="41"/>
      <c r="BO355" s="41"/>
      <c r="BP355" s="41"/>
      <c r="BQ355" s="41"/>
      <c r="BR355" s="41"/>
      <c r="BS355" s="41"/>
      <c r="BT355" s="41"/>
      <c r="BU355" s="41"/>
      <c r="BV355" s="41"/>
      <c r="BW355" s="41"/>
      <c r="BX355" s="41"/>
      <c r="BY355" s="41"/>
      <c r="BZ355" s="41"/>
      <c r="CA355" s="41"/>
      <c r="CB355" s="41"/>
      <c r="CC355" s="41"/>
      <c r="CD355" s="41"/>
      <c r="CE355" s="41"/>
      <c r="CF355" s="41"/>
      <c r="CG355" s="41"/>
      <c r="CH355" s="41"/>
      <c r="CI355" s="41"/>
      <c r="CJ355" s="41"/>
      <c r="CK355" s="41"/>
      <c r="CL355" s="41"/>
      <c r="CM355" s="41"/>
      <c r="CN355" s="41"/>
      <c r="CO355" s="41"/>
      <c r="CP355" s="41"/>
      <c r="CQ355" s="41"/>
      <c r="CR355" s="41"/>
      <c r="CS355" s="41"/>
      <c r="CT355" s="41"/>
      <c r="CU355" s="41"/>
      <c r="CV355" s="41"/>
      <c r="CW355" s="41"/>
    </row>
    <row r="356" spans="1:101" ht="16.5" x14ac:dyDescent="0.35">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c r="AJ356" s="41"/>
      <c r="AK356" s="41"/>
      <c r="AL356" s="41"/>
      <c r="AM356" s="41"/>
      <c r="AN356" s="41"/>
      <c r="AO356" s="41"/>
      <c r="AP356" s="41"/>
      <c r="AQ356" s="41"/>
      <c r="AR356" s="41"/>
      <c r="AS356" s="41"/>
      <c r="AT356" s="41"/>
      <c r="AU356" s="41"/>
      <c r="AV356" s="41"/>
      <c r="AW356" s="41"/>
      <c r="AX356" s="41"/>
      <c r="AY356" s="41"/>
      <c r="AZ356" s="41"/>
      <c r="BA356" s="41"/>
      <c r="BB356" s="41"/>
      <c r="BC356" s="41"/>
      <c r="BD356" s="41"/>
      <c r="BE356" s="41"/>
      <c r="BF356" s="41"/>
      <c r="BG356" s="41"/>
      <c r="BH356" s="41"/>
      <c r="BI356" s="41"/>
      <c r="BJ356" s="41"/>
      <c r="BK356" s="41"/>
      <c r="BL356" s="41"/>
      <c r="BM356" s="41"/>
      <c r="BN356" s="41"/>
      <c r="BO356" s="41"/>
      <c r="BP356" s="41"/>
      <c r="BQ356" s="41"/>
      <c r="BR356" s="41"/>
      <c r="BS356" s="41"/>
      <c r="BT356" s="41"/>
      <c r="BU356" s="41"/>
      <c r="BV356" s="41"/>
      <c r="BW356" s="41"/>
      <c r="BX356" s="41"/>
      <c r="BY356" s="41"/>
      <c r="BZ356" s="41"/>
      <c r="CA356" s="41"/>
      <c r="CB356" s="41"/>
      <c r="CC356" s="41"/>
      <c r="CD356" s="41"/>
      <c r="CE356" s="41"/>
      <c r="CF356" s="41"/>
      <c r="CG356" s="41"/>
      <c r="CH356" s="41"/>
      <c r="CI356" s="41"/>
      <c r="CJ356" s="41"/>
      <c r="CK356" s="41"/>
      <c r="CL356" s="41"/>
      <c r="CM356" s="41"/>
      <c r="CN356" s="41"/>
      <c r="CO356" s="41"/>
      <c r="CP356" s="41"/>
      <c r="CQ356" s="41"/>
      <c r="CR356" s="41"/>
      <c r="CS356" s="41"/>
      <c r="CT356" s="41"/>
      <c r="CU356" s="41"/>
      <c r="CV356" s="41"/>
      <c r="CW356" s="41"/>
    </row>
    <row r="357" spans="1:101" ht="16.5" x14ac:dyDescent="0.35">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c r="AJ357" s="41"/>
      <c r="AK357" s="41"/>
      <c r="AL357" s="41"/>
      <c r="AM357" s="41"/>
      <c r="AN357" s="41"/>
      <c r="AO357" s="41"/>
      <c r="AP357" s="41"/>
      <c r="AQ357" s="41"/>
      <c r="AR357" s="41"/>
      <c r="AS357" s="41"/>
      <c r="AT357" s="41"/>
      <c r="AU357" s="41"/>
      <c r="AV357" s="41"/>
      <c r="AW357" s="41"/>
      <c r="AX357" s="41"/>
      <c r="AY357" s="41"/>
      <c r="AZ357" s="41"/>
      <c r="BA357" s="41"/>
      <c r="BB357" s="41"/>
      <c r="BC357" s="41"/>
      <c r="BD357" s="41"/>
      <c r="BE357" s="41"/>
      <c r="BF357" s="41"/>
      <c r="BG357" s="41"/>
      <c r="BH357" s="41"/>
      <c r="BI357" s="41"/>
      <c r="BJ357" s="41"/>
      <c r="BK357" s="41"/>
      <c r="BL357" s="41"/>
      <c r="BM357" s="41"/>
      <c r="BN357" s="41"/>
      <c r="BO357" s="41"/>
      <c r="BP357" s="41"/>
      <c r="BQ357" s="41"/>
      <c r="BR357" s="41"/>
      <c r="BS357" s="41"/>
      <c r="BT357" s="41"/>
      <c r="BU357" s="41"/>
      <c r="BV357" s="41"/>
      <c r="BW357" s="41"/>
      <c r="BX357" s="41"/>
      <c r="BY357" s="41"/>
      <c r="BZ357" s="41"/>
      <c r="CA357" s="41"/>
      <c r="CB357" s="41"/>
      <c r="CC357" s="41"/>
      <c r="CD357" s="41"/>
      <c r="CE357" s="41"/>
      <c r="CF357" s="41"/>
      <c r="CG357" s="41"/>
      <c r="CH357" s="41"/>
      <c r="CI357" s="41"/>
      <c r="CJ357" s="41"/>
      <c r="CK357" s="41"/>
      <c r="CL357" s="41"/>
      <c r="CM357" s="41"/>
      <c r="CN357" s="41"/>
      <c r="CO357" s="41"/>
      <c r="CP357" s="41"/>
      <c r="CQ357" s="41"/>
      <c r="CR357" s="41"/>
      <c r="CS357" s="41"/>
      <c r="CT357" s="41"/>
      <c r="CU357" s="41"/>
      <c r="CV357" s="41"/>
      <c r="CW357" s="41"/>
    </row>
    <row r="358" spans="1:101" ht="16.5" x14ac:dyDescent="0.35">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c r="AJ358" s="41"/>
      <c r="AK358" s="41"/>
      <c r="AL358" s="41"/>
      <c r="AM358" s="41"/>
      <c r="AN358" s="41"/>
      <c r="AO358" s="41"/>
      <c r="AP358" s="41"/>
      <c r="AQ358" s="41"/>
      <c r="AR358" s="41"/>
      <c r="AS358" s="41"/>
      <c r="AT358" s="41"/>
      <c r="AU358" s="41"/>
      <c r="AV358" s="41"/>
      <c r="AW358" s="41"/>
      <c r="AX358" s="41"/>
      <c r="AY358" s="41"/>
      <c r="AZ358" s="41"/>
      <c r="BA358" s="41"/>
      <c r="BB358" s="41"/>
      <c r="BC358" s="41"/>
      <c r="BD358" s="41"/>
      <c r="BE358" s="41"/>
      <c r="BF358" s="41"/>
      <c r="BG358" s="41"/>
      <c r="BH358" s="41"/>
      <c r="BI358" s="41"/>
      <c r="BJ358" s="41"/>
      <c r="BK358" s="41"/>
      <c r="BL358" s="41"/>
      <c r="BM358" s="41"/>
      <c r="BN358" s="41"/>
      <c r="BO358" s="41"/>
      <c r="BP358" s="41"/>
      <c r="BQ358" s="41"/>
      <c r="BR358" s="41"/>
      <c r="BS358" s="41"/>
      <c r="BT358" s="41"/>
      <c r="BU358" s="41"/>
      <c r="BV358" s="41"/>
      <c r="BW358" s="41"/>
      <c r="BX358" s="41"/>
      <c r="BY358" s="41"/>
      <c r="BZ358" s="41"/>
      <c r="CA358" s="41"/>
      <c r="CB358" s="41"/>
      <c r="CC358" s="41"/>
      <c r="CD358" s="41"/>
      <c r="CE358" s="41"/>
      <c r="CF358" s="41"/>
      <c r="CG358" s="41"/>
      <c r="CH358" s="41"/>
      <c r="CI358" s="41"/>
      <c r="CJ358" s="41"/>
      <c r="CK358" s="41"/>
      <c r="CL358" s="41"/>
      <c r="CM358" s="41"/>
      <c r="CN358" s="41"/>
      <c r="CO358" s="41"/>
      <c r="CP358" s="41"/>
      <c r="CQ358" s="41"/>
      <c r="CR358" s="41"/>
      <c r="CS358" s="41"/>
      <c r="CT358" s="41"/>
      <c r="CU358" s="41"/>
      <c r="CV358" s="41"/>
      <c r="CW358" s="41"/>
    </row>
    <row r="359" spans="1:101" ht="16.5" x14ac:dyDescent="0.35">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c r="AJ359" s="41"/>
      <c r="AK359" s="41"/>
      <c r="AL359" s="41"/>
      <c r="AM359" s="41"/>
      <c r="AN359" s="41"/>
      <c r="AO359" s="41"/>
      <c r="AP359" s="41"/>
      <c r="AQ359" s="41"/>
      <c r="AR359" s="41"/>
      <c r="AS359" s="41"/>
      <c r="AT359" s="41"/>
      <c r="AU359" s="41"/>
      <c r="AV359" s="41"/>
      <c r="AW359" s="41"/>
      <c r="AX359" s="41"/>
      <c r="AY359" s="41"/>
      <c r="AZ359" s="41"/>
      <c r="BA359" s="41"/>
      <c r="BB359" s="41"/>
      <c r="BC359" s="41"/>
      <c r="BD359" s="41"/>
      <c r="BE359" s="41"/>
      <c r="BF359" s="41"/>
      <c r="BG359" s="41"/>
      <c r="BH359" s="41"/>
      <c r="BI359" s="41"/>
      <c r="BJ359" s="41"/>
      <c r="BK359" s="41"/>
      <c r="BL359" s="41"/>
      <c r="BM359" s="41"/>
      <c r="BN359" s="41"/>
      <c r="BO359" s="41"/>
      <c r="BP359" s="41"/>
      <c r="BQ359" s="41"/>
      <c r="BR359" s="41"/>
      <c r="BS359" s="41"/>
      <c r="BT359" s="41"/>
      <c r="BU359" s="41"/>
      <c r="BV359" s="41"/>
      <c r="BW359" s="41"/>
      <c r="BX359" s="41"/>
      <c r="BY359" s="41"/>
      <c r="BZ359" s="41"/>
      <c r="CA359" s="41"/>
      <c r="CB359" s="41"/>
      <c r="CC359" s="41"/>
      <c r="CD359" s="41"/>
      <c r="CE359" s="41"/>
      <c r="CF359" s="41"/>
      <c r="CG359" s="41"/>
      <c r="CH359" s="41"/>
      <c r="CI359" s="41"/>
      <c r="CJ359" s="41"/>
      <c r="CK359" s="41"/>
      <c r="CL359" s="41"/>
      <c r="CM359" s="41"/>
      <c r="CN359" s="41"/>
      <c r="CO359" s="41"/>
      <c r="CP359" s="41"/>
      <c r="CQ359" s="41"/>
      <c r="CR359" s="41"/>
      <c r="CS359" s="41"/>
      <c r="CT359" s="41"/>
      <c r="CU359" s="41"/>
      <c r="CV359" s="41"/>
      <c r="CW359" s="41"/>
    </row>
    <row r="360" spans="1:101" ht="16.5" x14ac:dyDescent="0.35">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41"/>
      <c r="AZ360" s="41"/>
      <c r="BA360" s="41"/>
      <c r="BB360" s="41"/>
      <c r="BC360" s="41"/>
      <c r="BD360" s="41"/>
      <c r="BE360" s="41"/>
      <c r="BF360" s="41"/>
      <c r="BG360" s="41"/>
      <c r="BH360" s="41"/>
      <c r="BI360" s="41"/>
      <c r="BJ360" s="41"/>
      <c r="BK360" s="41"/>
      <c r="BL360" s="41"/>
      <c r="BM360" s="41"/>
      <c r="BN360" s="41"/>
      <c r="BO360" s="41"/>
      <c r="BP360" s="41"/>
      <c r="BQ360" s="41"/>
      <c r="BR360" s="41"/>
      <c r="BS360" s="41"/>
      <c r="BT360" s="41"/>
      <c r="BU360" s="41"/>
      <c r="BV360" s="41"/>
      <c r="BW360" s="41"/>
      <c r="BX360" s="41"/>
      <c r="BY360" s="41"/>
      <c r="BZ360" s="41"/>
      <c r="CA360" s="41"/>
      <c r="CB360" s="41"/>
      <c r="CC360" s="41"/>
      <c r="CD360" s="41"/>
      <c r="CE360" s="41"/>
      <c r="CF360" s="41"/>
      <c r="CG360" s="41"/>
      <c r="CH360" s="41"/>
      <c r="CI360" s="41"/>
      <c r="CJ360" s="41"/>
      <c r="CK360" s="41"/>
      <c r="CL360" s="41"/>
      <c r="CM360" s="41"/>
      <c r="CN360" s="41"/>
      <c r="CO360" s="41"/>
      <c r="CP360" s="41"/>
      <c r="CQ360" s="41"/>
      <c r="CR360" s="41"/>
      <c r="CS360" s="41"/>
      <c r="CT360" s="41"/>
      <c r="CU360" s="41"/>
      <c r="CV360" s="41"/>
      <c r="CW360" s="41"/>
    </row>
    <row r="361" spans="1:101" ht="16.5" x14ac:dyDescent="0.35">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c r="AJ361" s="41"/>
      <c r="AK361" s="41"/>
      <c r="AL361" s="41"/>
      <c r="AM361" s="41"/>
      <c r="AN361" s="41"/>
      <c r="AO361" s="41"/>
      <c r="AP361" s="41"/>
      <c r="AQ361" s="41"/>
      <c r="AR361" s="41"/>
      <c r="AS361" s="41"/>
      <c r="AT361" s="41"/>
      <c r="AU361" s="41"/>
      <c r="AV361" s="41"/>
      <c r="AW361" s="41"/>
      <c r="AX361" s="41"/>
      <c r="AY361" s="41"/>
      <c r="AZ361" s="41"/>
      <c r="BA361" s="41"/>
      <c r="BB361" s="41"/>
      <c r="BC361" s="41"/>
      <c r="BD361" s="41"/>
      <c r="BE361" s="41"/>
      <c r="BF361" s="41"/>
      <c r="BG361" s="41"/>
      <c r="BH361" s="41"/>
      <c r="BI361" s="41"/>
      <c r="BJ361" s="41"/>
      <c r="BK361" s="41"/>
      <c r="BL361" s="41"/>
      <c r="BM361" s="41"/>
      <c r="BN361" s="41"/>
      <c r="BO361" s="41"/>
      <c r="BP361" s="41"/>
      <c r="BQ361" s="41"/>
      <c r="BR361" s="41"/>
      <c r="BS361" s="41"/>
      <c r="BT361" s="41"/>
      <c r="BU361" s="41"/>
      <c r="BV361" s="41"/>
      <c r="BW361" s="41"/>
      <c r="BX361" s="41"/>
      <c r="BY361" s="41"/>
      <c r="BZ361" s="41"/>
      <c r="CA361" s="41"/>
      <c r="CB361" s="41"/>
      <c r="CC361" s="41"/>
      <c r="CD361" s="41"/>
      <c r="CE361" s="41"/>
      <c r="CF361" s="41"/>
      <c r="CG361" s="41"/>
      <c r="CH361" s="41"/>
      <c r="CI361" s="41"/>
      <c r="CJ361" s="41"/>
      <c r="CK361" s="41"/>
      <c r="CL361" s="41"/>
      <c r="CM361" s="41"/>
      <c r="CN361" s="41"/>
      <c r="CO361" s="41"/>
      <c r="CP361" s="41"/>
      <c r="CQ361" s="41"/>
      <c r="CR361" s="41"/>
      <c r="CS361" s="41"/>
      <c r="CT361" s="41"/>
      <c r="CU361" s="41"/>
      <c r="CV361" s="41"/>
      <c r="CW361" s="41"/>
    </row>
    <row r="362" spans="1:101" ht="16.5" x14ac:dyDescent="0.35">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c r="AJ362" s="41"/>
      <c r="AK362" s="41"/>
      <c r="AL362" s="41"/>
      <c r="AM362" s="41"/>
      <c r="AN362" s="41"/>
      <c r="AO362" s="41"/>
      <c r="AP362" s="41"/>
      <c r="AQ362" s="41"/>
      <c r="AR362" s="41"/>
      <c r="AS362" s="41"/>
      <c r="AT362" s="41"/>
      <c r="AU362" s="41"/>
      <c r="AV362" s="41"/>
      <c r="AW362" s="41"/>
      <c r="AX362" s="41"/>
      <c r="AY362" s="41"/>
      <c r="AZ362" s="41"/>
      <c r="BA362" s="41"/>
      <c r="BB362" s="41"/>
      <c r="BC362" s="41"/>
      <c r="BD362" s="41"/>
      <c r="BE362" s="41"/>
      <c r="BF362" s="41"/>
      <c r="BG362" s="41"/>
      <c r="BH362" s="41"/>
      <c r="BI362" s="41"/>
      <c r="BJ362" s="41"/>
      <c r="BK362" s="41"/>
      <c r="BL362" s="41"/>
      <c r="BM362" s="41"/>
      <c r="BN362" s="41"/>
      <c r="BO362" s="41"/>
      <c r="BP362" s="41"/>
      <c r="BQ362" s="41"/>
      <c r="BR362" s="41"/>
      <c r="BS362" s="41"/>
      <c r="BT362" s="41"/>
      <c r="BU362" s="41"/>
      <c r="BV362" s="41"/>
      <c r="BW362" s="41"/>
      <c r="BX362" s="41"/>
      <c r="BY362" s="41"/>
      <c r="BZ362" s="41"/>
      <c r="CA362" s="41"/>
      <c r="CB362" s="41"/>
      <c r="CC362" s="41"/>
      <c r="CD362" s="41"/>
      <c r="CE362" s="41"/>
      <c r="CF362" s="41"/>
      <c r="CG362" s="41"/>
      <c r="CH362" s="41"/>
      <c r="CI362" s="41"/>
      <c r="CJ362" s="41"/>
      <c r="CK362" s="41"/>
      <c r="CL362" s="41"/>
      <c r="CM362" s="41"/>
      <c r="CN362" s="41"/>
      <c r="CO362" s="41"/>
      <c r="CP362" s="41"/>
      <c r="CQ362" s="41"/>
      <c r="CR362" s="41"/>
      <c r="CS362" s="41"/>
      <c r="CT362" s="41"/>
      <c r="CU362" s="41"/>
      <c r="CV362" s="41"/>
      <c r="CW362" s="41"/>
    </row>
    <row r="363" spans="1:101" ht="16.5" x14ac:dyDescent="0.35">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c r="AJ363" s="41"/>
      <c r="AK363" s="41"/>
      <c r="AL363" s="41"/>
      <c r="AM363" s="41"/>
      <c r="AN363" s="41"/>
      <c r="AO363" s="41"/>
      <c r="AP363" s="41"/>
      <c r="AQ363" s="41"/>
      <c r="AR363" s="41"/>
      <c r="AS363" s="41"/>
      <c r="AT363" s="41"/>
      <c r="AU363" s="41"/>
      <c r="AV363" s="41"/>
      <c r="AW363" s="41"/>
      <c r="AX363" s="41"/>
      <c r="AY363" s="41"/>
      <c r="AZ363" s="41"/>
      <c r="BA363" s="41"/>
      <c r="BB363" s="41"/>
      <c r="BC363" s="41"/>
      <c r="BD363" s="41"/>
      <c r="BE363" s="41"/>
      <c r="BF363" s="41"/>
      <c r="BG363" s="41"/>
      <c r="BH363" s="41"/>
      <c r="BI363" s="41"/>
      <c r="BJ363" s="41"/>
      <c r="BK363" s="41"/>
      <c r="BL363" s="41"/>
      <c r="BM363" s="41"/>
      <c r="BN363" s="41"/>
      <c r="BO363" s="41"/>
      <c r="BP363" s="41"/>
      <c r="BQ363" s="41"/>
      <c r="BR363" s="41"/>
      <c r="BS363" s="41"/>
      <c r="BT363" s="41"/>
      <c r="BU363" s="41"/>
      <c r="BV363" s="41"/>
      <c r="BW363" s="41"/>
      <c r="BX363" s="41"/>
      <c r="BY363" s="41"/>
      <c r="BZ363" s="41"/>
      <c r="CA363" s="41"/>
      <c r="CB363" s="41"/>
      <c r="CC363" s="41"/>
      <c r="CD363" s="41"/>
      <c r="CE363" s="41"/>
      <c r="CF363" s="41"/>
      <c r="CG363" s="41"/>
      <c r="CH363" s="41"/>
      <c r="CI363" s="41"/>
      <c r="CJ363" s="41"/>
      <c r="CK363" s="41"/>
      <c r="CL363" s="41"/>
      <c r="CM363" s="41"/>
      <c r="CN363" s="41"/>
      <c r="CO363" s="41"/>
      <c r="CP363" s="41"/>
      <c r="CQ363" s="41"/>
      <c r="CR363" s="41"/>
      <c r="CS363" s="41"/>
      <c r="CT363" s="41"/>
      <c r="CU363" s="41"/>
      <c r="CV363" s="41"/>
      <c r="CW363" s="41"/>
    </row>
    <row r="364" spans="1:101" ht="16.5" x14ac:dyDescent="0.35">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BG364" s="41"/>
      <c r="BH364" s="41"/>
      <c r="BI364" s="41"/>
      <c r="BJ364" s="41"/>
      <c r="BK364" s="41"/>
      <c r="BL364" s="41"/>
      <c r="BM364" s="41"/>
      <c r="BN364" s="41"/>
      <c r="BO364" s="41"/>
      <c r="BP364" s="41"/>
      <c r="BQ364" s="41"/>
      <c r="BR364" s="41"/>
      <c r="BS364" s="41"/>
      <c r="BT364" s="41"/>
      <c r="BU364" s="41"/>
      <c r="BV364" s="41"/>
      <c r="BW364" s="41"/>
      <c r="BX364" s="41"/>
      <c r="BY364" s="41"/>
      <c r="BZ364" s="41"/>
      <c r="CA364" s="41"/>
      <c r="CB364" s="41"/>
      <c r="CC364" s="41"/>
      <c r="CD364" s="41"/>
      <c r="CE364" s="41"/>
      <c r="CF364" s="41"/>
      <c r="CG364" s="41"/>
      <c r="CH364" s="41"/>
      <c r="CI364" s="41"/>
      <c r="CJ364" s="41"/>
      <c r="CK364" s="41"/>
      <c r="CL364" s="41"/>
      <c r="CM364" s="41"/>
      <c r="CN364" s="41"/>
      <c r="CO364" s="41"/>
      <c r="CP364" s="41"/>
      <c r="CQ364" s="41"/>
      <c r="CR364" s="41"/>
      <c r="CS364" s="41"/>
      <c r="CT364" s="41"/>
      <c r="CU364" s="41"/>
      <c r="CV364" s="41"/>
      <c r="CW364" s="41"/>
    </row>
    <row r="365" spans="1:101" ht="16.5" x14ac:dyDescent="0.35">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c r="AZ365" s="41"/>
      <c r="BA365" s="41"/>
      <c r="BB365" s="41"/>
      <c r="BC365" s="41"/>
      <c r="BD365" s="41"/>
      <c r="BE365" s="41"/>
      <c r="BF365" s="41"/>
      <c r="BG365" s="41"/>
      <c r="BH365" s="41"/>
      <c r="BI365" s="41"/>
      <c r="BJ365" s="41"/>
      <c r="BK365" s="41"/>
      <c r="BL365" s="41"/>
      <c r="BM365" s="41"/>
      <c r="BN365" s="41"/>
      <c r="BO365" s="41"/>
      <c r="BP365" s="41"/>
      <c r="BQ365" s="41"/>
      <c r="BR365" s="41"/>
      <c r="BS365" s="41"/>
      <c r="BT365" s="41"/>
      <c r="BU365" s="41"/>
      <c r="BV365" s="41"/>
      <c r="BW365" s="41"/>
      <c r="BX365" s="41"/>
      <c r="BY365" s="41"/>
      <c r="BZ365" s="41"/>
      <c r="CA365" s="41"/>
      <c r="CB365" s="41"/>
      <c r="CC365" s="41"/>
      <c r="CD365" s="41"/>
      <c r="CE365" s="41"/>
      <c r="CF365" s="41"/>
      <c r="CG365" s="41"/>
      <c r="CH365" s="41"/>
      <c r="CI365" s="41"/>
      <c r="CJ365" s="41"/>
      <c r="CK365" s="41"/>
      <c r="CL365" s="41"/>
      <c r="CM365" s="41"/>
      <c r="CN365" s="41"/>
      <c r="CO365" s="41"/>
      <c r="CP365" s="41"/>
      <c r="CQ365" s="41"/>
      <c r="CR365" s="41"/>
      <c r="CS365" s="41"/>
      <c r="CT365" s="41"/>
      <c r="CU365" s="41"/>
      <c r="CV365" s="41"/>
      <c r="CW365" s="41"/>
    </row>
    <row r="366" spans="1:101" ht="16.5" x14ac:dyDescent="0.35">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c r="AJ366" s="41"/>
      <c r="AK366" s="41"/>
      <c r="AL366" s="41"/>
      <c r="AM366" s="41"/>
      <c r="AN366" s="41"/>
      <c r="AO366" s="41"/>
      <c r="AP366" s="41"/>
      <c r="AQ366" s="41"/>
      <c r="AR366" s="41"/>
      <c r="AS366" s="41"/>
      <c r="AT366" s="41"/>
      <c r="AU366" s="41"/>
      <c r="AV366" s="41"/>
      <c r="AW366" s="41"/>
      <c r="AX366" s="41"/>
      <c r="AY366" s="41"/>
      <c r="AZ366" s="41"/>
      <c r="BA366" s="41"/>
      <c r="BB366" s="41"/>
      <c r="BC366" s="41"/>
      <c r="BD366" s="41"/>
      <c r="BE366" s="41"/>
      <c r="BF366" s="41"/>
      <c r="BG366" s="41"/>
      <c r="BH366" s="41"/>
      <c r="BI366" s="41"/>
      <c r="BJ366" s="41"/>
      <c r="BK366" s="41"/>
      <c r="BL366" s="41"/>
      <c r="BM366" s="41"/>
      <c r="BN366" s="41"/>
      <c r="BO366" s="41"/>
      <c r="BP366" s="41"/>
      <c r="BQ366" s="41"/>
      <c r="BR366" s="41"/>
      <c r="BS366" s="41"/>
      <c r="BT366" s="41"/>
      <c r="BU366" s="41"/>
      <c r="BV366" s="41"/>
      <c r="BW366" s="41"/>
      <c r="BX366" s="41"/>
      <c r="BY366" s="41"/>
      <c r="BZ366" s="41"/>
      <c r="CA366" s="41"/>
      <c r="CB366" s="41"/>
      <c r="CC366" s="41"/>
      <c r="CD366" s="41"/>
      <c r="CE366" s="41"/>
      <c r="CF366" s="41"/>
      <c r="CG366" s="41"/>
      <c r="CH366" s="41"/>
      <c r="CI366" s="41"/>
      <c r="CJ366" s="41"/>
      <c r="CK366" s="41"/>
      <c r="CL366" s="41"/>
      <c r="CM366" s="41"/>
      <c r="CN366" s="41"/>
      <c r="CO366" s="41"/>
      <c r="CP366" s="41"/>
      <c r="CQ366" s="41"/>
      <c r="CR366" s="41"/>
      <c r="CS366" s="41"/>
      <c r="CT366" s="41"/>
      <c r="CU366" s="41"/>
      <c r="CV366" s="41"/>
      <c r="CW366" s="41"/>
    </row>
    <row r="367" spans="1:101" ht="16.5" x14ac:dyDescent="0.35">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c r="AJ367" s="41"/>
      <c r="AK367" s="41"/>
      <c r="AL367" s="41"/>
      <c r="AM367" s="41"/>
      <c r="AN367" s="41"/>
      <c r="AO367" s="41"/>
      <c r="AP367" s="41"/>
      <c r="AQ367" s="41"/>
      <c r="AR367" s="41"/>
      <c r="AS367" s="41"/>
      <c r="AT367" s="41"/>
      <c r="AU367" s="41"/>
      <c r="AV367" s="41"/>
      <c r="AW367" s="41"/>
      <c r="AX367" s="41"/>
      <c r="AY367" s="41"/>
      <c r="AZ367" s="41"/>
      <c r="BA367" s="41"/>
      <c r="BB367" s="41"/>
      <c r="BC367" s="41"/>
      <c r="BD367" s="41"/>
      <c r="BE367" s="41"/>
      <c r="BF367" s="41"/>
      <c r="BG367" s="41"/>
      <c r="BH367" s="41"/>
      <c r="BI367" s="41"/>
      <c r="BJ367" s="41"/>
      <c r="BK367" s="41"/>
      <c r="BL367" s="41"/>
      <c r="BM367" s="41"/>
      <c r="BN367" s="41"/>
      <c r="BO367" s="41"/>
      <c r="BP367" s="41"/>
      <c r="BQ367" s="41"/>
      <c r="BR367" s="41"/>
      <c r="BS367" s="41"/>
      <c r="BT367" s="41"/>
      <c r="BU367" s="41"/>
      <c r="BV367" s="41"/>
      <c r="BW367" s="41"/>
      <c r="BX367" s="41"/>
      <c r="BY367" s="41"/>
      <c r="BZ367" s="41"/>
      <c r="CA367" s="41"/>
      <c r="CB367" s="41"/>
      <c r="CC367" s="41"/>
      <c r="CD367" s="41"/>
      <c r="CE367" s="41"/>
      <c r="CF367" s="41"/>
      <c r="CG367" s="41"/>
      <c r="CH367" s="41"/>
      <c r="CI367" s="41"/>
      <c r="CJ367" s="41"/>
      <c r="CK367" s="41"/>
      <c r="CL367" s="41"/>
      <c r="CM367" s="41"/>
      <c r="CN367" s="41"/>
      <c r="CO367" s="41"/>
      <c r="CP367" s="41"/>
      <c r="CQ367" s="41"/>
      <c r="CR367" s="41"/>
      <c r="CS367" s="41"/>
      <c r="CT367" s="41"/>
      <c r="CU367" s="41"/>
      <c r="CV367" s="41"/>
      <c r="CW367" s="41"/>
    </row>
    <row r="368" spans="1:101" ht="16.5" x14ac:dyDescent="0.35">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c r="AJ368" s="41"/>
      <c r="AK368" s="41"/>
      <c r="AL368" s="41"/>
      <c r="AM368" s="41"/>
      <c r="AN368" s="41"/>
      <c r="AO368" s="41"/>
      <c r="AP368" s="41"/>
      <c r="AQ368" s="41"/>
      <c r="AR368" s="41"/>
      <c r="AS368" s="41"/>
      <c r="AT368" s="41"/>
      <c r="AU368" s="41"/>
      <c r="AV368" s="41"/>
      <c r="AW368" s="41"/>
      <c r="AX368" s="41"/>
      <c r="AY368" s="41"/>
      <c r="AZ368" s="41"/>
      <c r="BA368" s="41"/>
      <c r="BB368" s="41"/>
      <c r="BC368" s="41"/>
      <c r="BD368" s="41"/>
      <c r="BE368" s="41"/>
      <c r="BF368" s="41"/>
      <c r="BG368" s="41"/>
      <c r="BH368" s="41"/>
      <c r="BI368" s="41"/>
      <c r="BJ368" s="41"/>
      <c r="BK368" s="41"/>
      <c r="BL368" s="41"/>
      <c r="BM368" s="41"/>
      <c r="BN368" s="41"/>
      <c r="BO368" s="41"/>
      <c r="BP368" s="41"/>
      <c r="BQ368" s="41"/>
      <c r="BR368" s="41"/>
      <c r="BS368" s="41"/>
      <c r="BT368" s="41"/>
      <c r="BU368" s="41"/>
      <c r="BV368" s="41"/>
      <c r="BW368" s="41"/>
      <c r="BX368" s="41"/>
      <c r="BY368" s="41"/>
      <c r="BZ368" s="41"/>
      <c r="CA368" s="41"/>
      <c r="CB368" s="41"/>
      <c r="CC368" s="41"/>
      <c r="CD368" s="41"/>
      <c r="CE368" s="41"/>
      <c r="CF368" s="41"/>
      <c r="CG368" s="41"/>
      <c r="CH368" s="41"/>
      <c r="CI368" s="41"/>
      <c r="CJ368" s="41"/>
      <c r="CK368" s="41"/>
      <c r="CL368" s="41"/>
      <c r="CM368" s="41"/>
      <c r="CN368" s="41"/>
      <c r="CO368" s="41"/>
      <c r="CP368" s="41"/>
      <c r="CQ368" s="41"/>
      <c r="CR368" s="41"/>
      <c r="CS368" s="41"/>
      <c r="CT368" s="41"/>
      <c r="CU368" s="41"/>
      <c r="CV368" s="41"/>
      <c r="CW368" s="41"/>
    </row>
    <row r="369" spans="1:101" ht="16.5" x14ac:dyDescent="0.35">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c r="AJ369" s="41"/>
      <c r="AK369" s="41"/>
      <c r="AL369" s="41"/>
      <c r="AM369" s="41"/>
      <c r="AN369" s="41"/>
      <c r="AO369" s="41"/>
      <c r="AP369" s="41"/>
      <c r="AQ369" s="41"/>
      <c r="AR369" s="41"/>
      <c r="AS369" s="41"/>
      <c r="AT369" s="41"/>
      <c r="AU369" s="41"/>
      <c r="AV369" s="41"/>
      <c r="AW369" s="41"/>
      <c r="AX369" s="41"/>
      <c r="AY369" s="41"/>
      <c r="AZ369" s="41"/>
      <c r="BA369" s="41"/>
      <c r="BB369" s="41"/>
      <c r="BC369" s="41"/>
      <c r="BD369" s="41"/>
      <c r="BE369" s="41"/>
      <c r="BF369" s="41"/>
      <c r="BG369" s="41"/>
      <c r="BH369" s="41"/>
      <c r="BI369" s="41"/>
      <c r="BJ369" s="41"/>
      <c r="BK369" s="41"/>
      <c r="BL369" s="41"/>
      <c r="BM369" s="41"/>
      <c r="BN369" s="41"/>
      <c r="BO369" s="41"/>
      <c r="BP369" s="41"/>
      <c r="BQ369" s="41"/>
      <c r="BR369" s="41"/>
      <c r="BS369" s="41"/>
      <c r="BT369" s="41"/>
      <c r="BU369" s="41"/>
      <c r="BV369" s="41"/>
      <c r="BW369" s="41"/>
      <c r="BX369" s="41"/>
      <c r="BY369" s="41"/>
      <c r="BZ369" s="41"/>
      <c r="CA369" s="41"/>
      <c r="CB369" s="41"/>
      <c r="CC369" s="41"/>
      <c r="CD369" s="41"/>
      <c r="CE369" s="41"/>
      <c r="CF369" s="41"/>
      <c r="CG369" s="41"/>
      <c r="CH369" s="41"/>
      <c r="CI369" s="41"/>
      <c r="CJ369" s="41"/>
      <c r="CK369" s="41"/>
      <c r="CL369" s="41"/>
      <c r="CM369" s="41"/>
      <c r="CN369" s="41"/>
      <c r="CO369" s="41"/>
      <c r="CP369" s="41"/>
      <c r="CQ369" s="41"/>
      <c r="CR369" s="41"/>
      <c r="CS369" s="41"/>
      <c r="CT369" s="41"/>
      <c r="CU369" s="41"/>
      <c r="CV369" s="41"/>
      <c r="CW369" s="41"/>
    </row>
    <row r="370" spans="1:101" ht="16.5" x14ac:dyDescent="0.35">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41"/>
      <c r="AZ370" s="41"/>
      <c r="BA370" s="41"/>
      <c r="BB370" s="41"/>
      <c r="BC370" s="41"/>
      <c r="BD370" s="41"/>
      <c r="BE370" s="41"/>
      <c r="BF370" s="41"/>
      <c r="BG370" s="41"/>
      <c r="BH370" s="41"/>
      <c r="BI370" s="41"/>
      <c r="BJ370" s="41"/>
      <c r="BK370" s="41"/>
      <c r="BL370" s="41"/>
      <c r="BM370" s="41"/>
      <c r="BN370" s="41"/>
      <c r="BO370" s="41"/>
      <c r="BP370" s="41"/>
      <c r="BQ370" s="41"/>
      <c r="BR370" s="41"/>
      <c r="BS370" s="41"/>
      <c r="BT370" s="41"/>
      <c r="BU370" s="41"/>
      <c r="BV370" s="41"/>
      <c r="BW370" s="41"/>
      <c r="BX370" s="41"/>
      <c r="BY370" s="41"/>
      <c r="BZ370" s="41"/>
      <c r="CA370" s="41"/>
      <c r="CB370" s="41"/>
      <c r="CC370" s="41"/>
      <c r="CD370" s="41"/>
      <c r="CE370" s="41"/>
      <c r="CF370" s="41"/>
      <c r="CG370" s="41"/>
      <c r="CH370" s="41"/>
      <c r="CI370" s="41"/>
      <c r="CJ370" s="41"/>
      <c r="CK370" s="41"/>
      <c r="CL370" s="41"/>
      <c r="CM370" s="41"/>
      <c r="CN370" s="41"/>
      <c r="CO370" s="41"/>
      <c r="CP370" s="41"/>
      <c r="CQ370" s="41"/>
      <c r="CR370" s="41"/>
      <c r="CS370" s="41"/>
      <c r="CT370" s="41"/>
      <c r="CU370" s="41"/>
      <c r="CV370" s="41"/>
      <c r="CW370" s="41"/>
    </row>
    <row r="371" spans="1:101" ht="16.5" x14ac:dyDescent="0.35">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c r="AJ371" s="41"/>
      <c r="AK371" s="41"/>
      <c r="AL371" s="41"/>
      <c r="AM371" s="41"/>
      <c r="AN371" s="41"/>
      <c r="AO371" s="41"/>
      <c r="AP371" s="41"/>
      <c r="AQ371" s="41"/>
      <c r="AR371" s="41"/>
      <c r="AS371" s="41"/>
      <c r="AT371" s="41"/>
      <c r="AU371" s="41"/>
      <c r="AV371" s="41"/>
      <c r="AW371" s="41"/>
      <c r="AX371" s="41"/>
      <c r="AY371" s="41"/>
      <c r="AZ371" s="41"/>
      <c r="BA371" s="41"/>
      <c r="BB371" s="41"/>
      <c r="BC371" s="41"/>
      <c r="BD371" s="41"/>
      <c r="BE371" s="41"/>
      <c r="BF371" s="41"/>
      <c r="BG371" s="41"/>
      <c r="BH371" s="41"/>
      <c r="BI371" s="41"/>
      <c r="BJ371" s="41"/>
      <c r="BK371" s="41"/>
      <c r="BL371" s="41"/>
      <c r="BM371" s="41"/>
      <c r="BN371" s="41"/>
      <c r="BO371" s="41"/>
      <c r="BP371" s="41"/>
      <c r="BQ371" s="41"/>
      <c r="BR371" s="41"/>
      <c r="BS371" s="41"/>
      <c r="BT371" s="41"/>
      <c r="BU371" s="41"/>
      <c r="BV371" s="41"/>
      <c r="BW371" s="41"/>
      <c r="BX371" s="41"/>
      <c r="BY371" s="41"/>
      <c r="BZ371" s="41"/>
      <c r="CA371" s="41"/>
      <c r="CB371" s="41"/>
      <c r="CC371" s="41"/>
      <c r="CD371" s="41"/>
      <c r="CE371" s="41"/>
      <c r="CF371" s="41"/>
      <c r="CG371" s="41"/>
      <c r="CH371" s="41"/>
      <c r="CI371" s="41"/>
      <c r="CJ371" s="41"/>
      <c r="CK371" s="41"/>
      <c r="CL371" s="41"/>
      <c r="CM371" s="41"/>
      <c r="CN371" s="41"/>
      <c r="CO371" s="41"/>
      <c r="CP371" s="41"/>
      <c r="CQ371" s="41"/>
      <c r="CR371" s="41"/>
      <c r="CS371" s="41"/>
      <c r="CT371" s="41"/>
      <c r="CU371" s="41"/>
      <c r="CV371" s="41"/>
      <c r="CW371" s="41"/>
    </row>
    <row r="372" spans="1:101" ht="16.5" x14ac:dyDescent="0.35">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c r="AJ372" s="41"/>
      <c r="AK372" s="41"/>
      <c r="AL372" s="41"/>
      <c r="AM372" s="41"/>
      <c r="AN372" s="41"/>
      <c r="AO372" s="41"/>
      <c r="AP372" s="41"/>
      <c r="AQ372" s="41"/>
      <c r="AR372" s="41"/>
      <c r="AS372" s="41"/>
      <c r="AT372" s="41"/>
      <c r="AU372" s="41"/>
      <c r="AV372" s="41"/>
      <c r="AW372" s="41"/>
      <c r="AX372" s="41"/>
      <c r="AY372" s="41"/>
      <c r="AZ372" s="41"/>
      <c r="BA372" s="41"/>
      <c r="BB372" s="41"/>
      <c r="BC372" s="41"/>
      <c r="BD372" s="41"/>
      <c r="BE372" s="41"/>
      <c r="BF372" s="41"/>
      <c r="BG372" s="41"/>
      <c r="BH372" s="41"/>
      <c r="BI372" s="41"/>
      <c r="BJ372" s="41"/>
      <c r="BK372" s="41"/>
      <c r="BL372" s="41"/>
      <c r="BM372" s="41"/>
      <c r="BN372" s="41"/>
      <c r="BO372" s="41"/>
      <c r="BP372" s="41"/>
      <c r="BQ372" s="41"/>
      <c r="BR372" s="41"/>
      <c r="BS372" s="41"/>
      <c r="BT372" s="41"/>
      <c r="BU372" s="41"/>
      <c r="BV372" s="41"/>
      <c r="BW372" s="41"/>
      <c r="BX372" s="41"/>
      <c r="BY372" s="41"/>
      <c r="BZ372" s="41"/>
      <c r="CA372" s="41"/>
      <c r="CB372" s="41"/>
      <c r="CC372" s="41"/>
      <c r="CD372" s="41"/>
      <c r="CE372" s="41"/>
      <c r="CF372" s="41"/>
      <c r="CG372" s="41"/>
      <c r="CH372" s="41"/>
      <c r="CI372" s="41"/>
      <c r="CJ372" s="41"/>
      <c r="CK372" s="41"/>
      <c r="CL372" s="41"/>
      <c r="CM372" s="41"/>
      <c r="CN372" s="41"/>
      <c r="CO372" s="41"/>
      <c r="CP372" s="41"/>
      <c r="CQ372" s="41"/>
      <c r="CR372" s="41"/>
      <c r="CS372" s="41"/>
      <c r="CT372" s="41"/>
      <c r="CU372" s="41"/>
      <c r="CV372" s="41"/>
      <c r="CW372" s="41"/>
    </row>
    <row r="373" spans="1:101" ht="16.5" x14ac:dyDescent="0.35">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c r="AJ373" s="41"/>
      <c r="AK373" s="41"/>
      <c r="AL373" s="41"/>
      <c r="AM373" s="41"/>
      <c r="AN373" s="41"/>
      <c r="AO373" s="41"/>
      <c r="AP373" s="41"/>
      <c r="AQ373" s="41"/>
      <c r="AR373" s="41"/>
      <c r="AS373" s="41"/>
      <c r="AT373" s="41"/>
      <c r="AU373" s="41"/>
      <c r="AV373" s="41"/>
      <c r="AW373" s="41"/>
      <c r="AX373" s="41"/>
      <c r="AY373" s="41"/>
      <c r="AZ373" s="41"/>
      <c r="BA373" s="41"/>
      <c r="BB373" s="41"/>
      <c r="BC373" s="41"/>
      <c r="BD373" s="41"/>
      <c r="BE373" s="41"/>
      <c r="BF373" s="41"/>
      <c r="BG373" s="41"/>
      <c r="BH373" s="41"/>
      <c r="BI373" s="41"/>
      <c r="BJ373" s="41"/>
      <c r="BK373" s="41"/>
      <c r="BL373" s="41"/>
      <c r="BM373" s="41"/>
      <c r="BN373" s="41"/>
      <c r="BO373" s="41"/>
      <c r="BP373" s="41"/>
      <c r="BQ373" s="41"/>
      <c r="BR373" s="41"/>
      <c r="BS373" s="41"/>
      <c r="BT373" s="41"/>
      <c r="BU373" s="41"/>
      <c r="BV373" s="41"/>
      <c r="BW373" s="41"/>
      <c r="BX373" s="41"/>
      <c r="BY373" s="41"/>
      <c r="BZ373" s="41"/>
      <c r="CA373" s="41"/>
      <c r="CB373" s="41"/>
      <c r="CC373" s="41"/>
      <c r="CD373" s="41"/>
      <c r="CE373" s="41"/>
      <c r="CF373" s="41"/>
      <c r="CG373" s="41"/>
      <c r="CH373" s="41"/>
      <c r="CI373" s="41"/>
      <c r="CJ373" s="41"/>
      <c r="CK373" s="41"/>
      <c r="CL373" s="41"/>
      <c r="CM373" s="41"/>
      <c r="CN373" s="41"/>
      <c r="CO373" s="41"/>
      <c r="CP373" s="41"/>
      <c r="CQ373" s="41"/>
      <c r="CR373" s="41"/>
      <c r="CS373" s="41"/>
      <c r="CT373" s="41"/>
      <c r="CU373" s="41"/>
      <c r="CV373" s="41"/>
      <c r="CW373" s="41"/>
    </row>
    <row r="374" spans="1:101" ht="16.5" x14ac:dyDescent="0.35">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c r="AJ374" s="41"/>
      <c r="AK374" s="41"/>
      <c r="AL374" s="41"/>
      <c r="AM374" s="41"/>
      <c r="AN374" s="41"/>
      <c r="AO374" s="41"/>
      <c r="AP374" s="41"/>
      <c r="AQ374" s="41"/>
      <c r="AR374" s="41"/>
      <c r="AS374" s="41"/>
      <c r="AT374" s="41"/>
      <c r="AU374" s="41"/>
      <c r="AV374" s="41"/>
      <c r="AW374" s="41"/>
      <c r="AX374" s="41"/>
      <c r="AY374" s="41"/>
      <c r="AZ374" s="41"/>
      <c r="BA374" s="41"/>
      <c r="BB374" s="41"/>
      <c r="BC374" s="41"/>
      <c r="BD374" s="41"/>
      <c r="BE374" s="41"/>
      <c r="BF374" s="41"/>
      <c r="BG374" s="41"/>
      <c r="BH374" s="41"/>
      <c r="BI374" s="41"/>
      <c r="BJ374" s="41"/>
      <c r="BK374" s="41"/>
      <c r="BL374" s="41"/>
      <c r="BM374" s="41"/>
      <c r="BN374" s="41"/>
      <c r="BO374" s="41"/>
      <c r="BP374" s="41"/>
      <c r="BQ374" s="41"/>
      <c r="BR374" s="41"/>
      <c r="BS374" s="41"/>
      <c r="BT374" s="41"/>
      <c r="BU374" s="41"/>
      <c r="BV374" s="41"/>
      <c r="BW374" s="41"/>
      <c r="BX374" s="41"/>
      <c r="BY374" s="41"/>
      <c r="BZ374" s="41"/>
      <c r="CA374" s="41"/>
      <c r="CB374" s="41"/>
      <c r="CC374" s="41"/>
      <c r="CD374" s="41"/>
      <c r="CE374" s="41"/>
      <c r="CF374" s="41"/>
      <c r="CG374" s="41"/>
      <c r="CH374" s="41"/>
      <c r="CI374" s="41"/>
      <c r="CJ374" s="41"/>
      <c r="CK374" s="41"/>
      <c r="CL374" s="41"/>
      <c r="CM374" s="41"/>
      <c r="CN374" s="41"/>
      <c r="CO374" s="41"/>
      <c r="CP374" s="41"/>
      <c r="CQ374" s="41"/>
      <c r="CR374" s="41"/>
      <c r="CS374" s="41"/>
      <c r="CT374" s="41"/>
      <c r="CU374" s="41"/>
      <c r="CV374" s="41"/>
      <c r="CW374" s="41"/>
    </row>
    <row r="375" spans="1:101" ht="16.5" x14ac:dyDescent="0.35">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c r="AJ375" s="41"/>
      <c r="AK375" s="41"/>
      <c r="AL375" s="41"/>
      <c r="AM375" s="41"/>
      <c r="AN375" s="41"/>
      <c r="AO375" s="41"/>
      <c r="AP375" s="41"/>
      <c r="AQ375" s="41"/>
      <c r="AR375" s="41"/>
      <c r="AS375" s="41"/>
      <c r="AT375" s="41"/>
      <c r="AU375" s="41"/>
      <c r="AV375" s="41"/>
      <c r="AW375" s="41"/>
      <c r="AX375" s="41"/>
      <c r="AY375" s="41"/>
      <c r="AZ375" s="41"/>
      <c r="BA375" s="41"/>
      <c r="BB375" s="41"/>
      <c r="BC375" s="41"/>
      <c r="BD375" s="41"/>
      <c r="BE375" s="41"/>
      <c r="BF375" s="41"/>
      <c r="BG375" s="41"/>
      <c r="BH375" s="41"/>
      <c r="BI375" s="41"/>
      <c r="BJ375" s="41"/>
      <c r="BK375" s="41"/>
      <c r="BL375" s="41"/>
      <c r="BM375" s="41"/>
      <c r="BN375" s="41"/>
      <c r="BO375" s="41"/>
      <c r="BP375" s="41"/>
      <c r="BQ375" s="41"/>
      <c r="BR375" s="41"/>
      <c r="BS375" s="41"/>
      <c r="BT375" s="41"/>
      <c r="BU375" s="41"/>
      <c r="BV375" s="41"/>
      <c r="BW375" s="41"/>
      <c r="BX375" s="41"/>
      <c r="BY375" s="41"/>
      <c r="BZ375" s="41"/>
      <c r="CA375" s="41"/>
      <c r="CB375" s="41"/>
      <c r="CC375" s="41"/>
      <c r="CD375" s="41"/>
      <c r="CE375" s="41"/>
      <c r="CF375" s="41"/>
      <c r="CG375" s="41"/>
      <c r="CH375" s="41"/>
      <c r="CI375" s="41"/>
      <c r="CJ375" s="41"/>
      <c r="CK375" s="41"/>
      <c r="CL375" s="41"/>
      <c r="CM375" s="41"/>
      <c r="CN375" s="41"/>
      <c r="CO375" s="41"/>
      <c r="CP375" s="41"/>
      <c r="CQ375" s="41"/>
      <c r="CR375" s="41"/>
      <c r="CS375" s="41"/>
      <c r="CT375" s="41"/>
      <c r="CU375" s="41"/>
      <c r="CV375" s="41"/>
      <c r="CW375" s="41"/>
    </row>
    <row r="376" spans="1:101" ht="16.5" x14ac:dyDescent="0.35">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c r="AJ376" s="41"/>
      <c r="AK376" s="41"/>
      <c r="AL376" s="41"/>
      <c r="AM376" s="41"/>
      <c r="AN376" s="41"/>
      <c r="AO376" s="41"/>
      <c r="AP376" s="41"/>
      <c r="AQ376" s="41"/>
      <c r="AR376" s="41"/>
      <c r="AS376" s="41"/>
      <c r="AT376" s="41"/>
      <c r="AU376" s="41"/>
      <c r="AV376" s="41"/>
      <c r="AW376" s="41"/>
      <c r="AX376" s="41"/>
      <c r="AY376" s="41"/>
      <c r="AZ376" s="41"/>
      <c r="BA376" s="41"/>
      <c r="BB376" s="41"/>
      <c r="BC376" s="41"/>
      <c r="BD376" s="41"/>
      <c r="BE376" s="41"/>
      <c r="BF376" s="41"/>
      <c r="BG376" s="41"/>
      <c r="BH376" s="41"/>
      <c r="BI376" s="41"/>
      <c r="BJ376" s="41"/>
      <c r="BK376" s="41"/>
      <c r="BL376" s="41"/>
      <c r="BM376" s="41"/>
      <c r="BN376" s="41"/>
      <c r="BO376" s="41"/>
      <c r="BP376" s="41"/>
      <c r="BQ376" s="41"/>
      <c r="BR376" s="41"/>
      <c r="BS376" s="41"/>
      <c r="BT376" s="41"/>
      <c r="BU376" s="41"/>
      <c r="BV376" s="41"/>
      <c r="BW376" s="41"/>
      <c r="BX376" s="41"/>
      <c r="BY376" s="41"/>
      <c r="BZ376" s="41"/>
      <c r="CA376" s="41"/>
      <c r="CB376" s="41"/>
      <c r="CC376" s="41"/>
      <c r="CD376" s="41"/>
      <c r="CE376" s="41"/>
      <c r="CF376" s="41"/>
      <c r="CG376" s="41"/>
      <c r="CH376" s="41"/>
      <c r="CI376" s="41"/>
      <c r="CJ376" s="41"/>
      <c r="CK376" s="41"/>
      <c r="CL376" s="41"/>
      <c r="CM376" s="41"/>
      <c r="CN376" s="41"/>
      <c r="CO376" s="41"/>
      <c r="CP376" s="41"/>
      <c r="CQ376" s="41"/>
      <c r="CR376" s="41"/>
      <c r="CS376" s="41"/>
      <c r="CT376" s="41"/>
      <c r="CU376" s="41"/>
      <c r="CV376" s="41"/>
      <c r="CW376" s="41"/>
    </row>
    <row r="377" spans="1:101" ht="16.5" x14ac:dyDescent="0.35">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c r="AJ377" s="41"/>
      <c r="AK377" s="41"/>
      <c r="AL377" s="41"/>
      <c r="AM377" s="41"/>
      <c r="AN377" s="41"/>
      <c r="AO377" s="41"/>
      <c r="AP377" s="41"/>
      <c r="AQ377" s="41"/>
      <c r="AR377" s="41"/>
      <c r="AS377" s="41"/>
      <c r="AT377" s="41"/>
      <c r="AU377" s="41"/>
      <c r="AV377" s="41"/>
      <c r="AW377" s="41"/>
      <c r="AX377" s="41"/>
      <c r="AY377" s="41"/>
      <c r="AZ377" s="41"/>
      <c r="BA377" s="41"/>
      <c r="BB377" s="41"/>
      <c r="BC377" s="41"/>
      <c r="BD377" s="41"/>
      <c r="BE377" s="41"/>
      <c r="BF377" s="41"/>
      <c r="BG377" s="41"/>
      <c r="BH377" s="41"/>
      <c r="BI377" s="41"/>
      <c r="BJ377" s="41"/>
      <c r="BK377" s="41"/>
      <c r="BL377" s="41"/>
      <c r="BM377" s="41"/>
      <c r="BN377" s="41"/>
      <c r="BO377" s="41"/>
      <c r="BP377" s="41"/>
      <c r="BQ377" s="41"/>
      <c r="BR377" s="41"/>
      <c r="BS377" s="41"/>
      <c r="BT377" s="41"/>
      <c r="BU377" s="41"/>
      <c r="BV377" s="41"/>
      <c r="BW377" s="41"/>
      <c r="BX377" s="41"/>
      <c r="BY377" s="41"/>
      <c r="BZ377" s="41"/>
      <c r="CA377" s="41"/>
      <c r="CB377" s="41"/>
      <c r="CC377" s="41"/>
      <c r="CD377" s="41"/>
      <c r="CE377" s="41"/>
      <c r="CF377" s="41"/>
      <c r="CG377" s="41"/>
      <c r="CH377" s="41"/>
      <c r="CI377" s="41"/>
      <c r="CJ377" s="41"/>
      <c r="CK377" s="41"/>
      <c r="CL377" s="41"/>
      <c r="CM377" s="41"/>
      <c r="CN377" s="41"/>
      <c r="CO377" s="41"/>
      <c r="CP377" s="41"/>
      <c r="CQ377" s="41"/>
      <c r="CR377" s="41"/>
      <c r="CS377" s="41"/>
      <c r="CT377" s="41"/>
      <c r="CU377" s="41"/>
      <c r="CV377" s="41"/>
      <c r="CW377" s="41"/>
    </row>
    <row r="378" spans="1:101" ht="16.5" x14ac:dyDescent="0.35">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41"/>
      <c r="AZ378" s="41"/>
      <c r="BA378" s="41"/>
      <c r="BB378" s="41"/>
      <c r="BC378" s="41"/>
      <c r="BD378" s="41"/>
      <c r="BE378" s="41"/>
      <c r="BF378" s="41"/>
      <c r="BG378" s="41"/>
      <c r="BH378" s="41"/>
      <c r="BI378" s="41"/>
      <c r="BJ378" s="41"/>
      <c r="BK378" s="41"/>
      <c r="BL378" s="41"/>
      <c r="BM378" s="41"/>
      <c r="BN378" s="41"/>
      <c r="BO378" s="41"/>
      <c r="BP378" s="41"/>
      <c r="BQ378" s="41"/>
      <c r="BR378" s="41"/>
      <c r="BS378" s="41"/>
      <c r="BT378" s="41"/>
      <c r="BU378" s="41"/>
      <c r="BV378" s="41"/>
      <c r="BW378" s="41"/>
      <c r="BX378" s="41"/>
      <c r="BY378" s="41"/>
      <c r="BZ378" s="41"/>
      <c r="CA378" s="41"/>
      <c r="CB378" s="41"/>
      <c r="CC378" s="41"/>
      <c r="CD378" s="41"/>
      <c r="CE378" s="41"/>
      <c r="CF378" s="41"/>
      <c r="CG378" s="41"/>
      <c r="CH378" s="41"/>
      <c r="CI378" s="41"/>
      <c r="CJ378" s="41"/>
      <c r="CK378" s="41"/>
      <c r="CL378" s="41"/>
      <c r="CM378" s="41"/>
      <c r="CN378" s="41"/>
      <c r="CO378" s="41"/>
      <c r="CP378" s="41"/>
      <c r="CQ378" s="41"/>
      <c r="CR378" s="41"/>
      <c r="CS378" s="41"/>
      <c r="CT378" s="41"/>
      <c r="CU378" s="41"/>
      <c r="CV378" s="41"/>
      <c r="CW378" s="41"/>
    </row>
    <row r="379" spans="1:101" ht="16.5" x14ac:dyDescent="0.35">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c r="AJ379" s="41"/>
      <c r="AK379" s="41"/>
      <c r="AL379" s="41"/>
      <c r="AM379" s="41"/>
      <c r="AN379" s="41"/>
      <c r="AO379" s="41"/>
      <c r="AP379" s="41"/>
      <c r="AQ379" s="41"/>
      <c r="AR379" s="41"/>
      <c r="AS379" s="41"/>
      <c r="AT379" s="41"/>
      <c r="AU379" s="41"/>
      <c r="AV379" s="41"/>
      <c r="AW379" s="41"/>
      <c r="AX379" s="41"/>
      <c r="AY379" s="41"/>
      <c r="AZ379" s="41"/>
      <c r="BA379" s="41"/>
      <c r="BB379" s="41"/>
      <c r="BC379" s="41"/>
      <c r="BD379" s="41"/>
      <c r="BE379" s="41"/>
      <c r="BF379" s="41"/>
      <c r="BG379" s="41"/>
      <c r="BH379" s="41"/>
      <c r="BI379" s="41"/>
      <c r="BJ379" s="41"/>
      <c r="BK379" s="41"/>
      <c r="BL379" s="41"/>
      <c r="BM379" s="41"/>
      <c r="BN379" s="41"/>
      <c r="BO379" s="41"/>
      <c r="BP379" s="41"/>
      <c r="BQ379" s="41"/>
      <c r="BR379" s="41"/>
      <c r="BS379" s="41"/>
      <c r="BT379" s="41"/>
      <c r="BU379" s="41"/>
      <c r="BV379" s="41"/>
      <c r="BW379" s="41"/>
      <c r="BX379" s="41"/>
      <c r="BY379" s="41"/>
      <c r="BZ379" s="41"/>
      <c r="CA379" s="41"/>
      <c r="CB379" s="41"/>
      <c r="CC379" s="41"/>
      <c r="CD379" s="41"/>
      <c r="CE379" s="41"/>
      <c r="CF379" s="41"/>
      <c r="CG379" s="41"/>
      <c r="CH379" s="41"/>
      <c r="CI379" s="41"/>
      <c r="CJ379" s="41"/>
      <c r="CK379" s="41"/>
      <c r="CL379" s="41"/>
      <c r="CM379" s="41"/>
      <c r="CN379" s="41"/>
      <c r="CO379" s="41"/>
      <c r="CP379" s="41"/>
      <c r="CQ379" s="41"/>
      <c r="CR379" s="41"/>
      <c r="CS379" s="41"/>
      <c r="CT379" s="41"/>
      <c r="CU379" s="41"/>
      <c r="CV379" s="41"/>
      <c r="CW379" s="41"/>
    </row>
    <row r="380" spans="1:101" ht="16.5" x14ac:dyDescent="0.35">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c r="AJ380" s="41"/>
      <c r="AK380" s="41"/>
      <c r="AL380" s="41"/>
      <c r="AM380" s="41"/>
      <c r="AN380" s="41"/>
      <c r="AO380" s="41"/>
      <c r="AP380" s="41"/>
      <c r="AQ380" s="41"/>
      <c r="AR380" s="41"/>
      <c r="AS380" s="41"/>
      <c r="AT380" s="41"/>
      <c r="AU380" s="41"/>
      <c r="AV380" s="41"/>
      <c r="AW380" s="41"/>
      <c r="AX380" s="41"/>
      <c r="AY380" s="41"/>
      <c r="AZ380" s="41"/>
      <c r="BA380" s="41"/>
      <c r="BB380" s="41"/>
      <c r="BC380" s="41"/>
      <c r="BD380" s="41"/>
      <c r="BE380" s="41"/>
      <c r="BF380" s="41"/>
      <c r="BG380" s="41"/>
      <c r="BH380" s="41"/>
      <c r="BI380" s="41"/>
      <c r="BJ380" s="41"/>
      <c r="BK380" s="41"/>
      <c r="BL380" s="41"/>
      <c r="BM380" s="41"/>
      <c r="BN380" s="41"/>
      <c r="BO380" s="41"/>
      <c r="BP380" s="41"/>
      <c r="BQ380" s="41"/>
      <c r="BR380" s="41"/>
      <c r="BS380" s="41"/>
      <c r="BT380" s="41"/>
      <c r="BU380" s="41"/>
      <c r="BV380" s="41"/>
      <c r="BW380" s="41"/>
      <c r="BX380" s="41"/>
      <c r="BY380" s="41"/>
      <c r="BZ380" s="41"/>
      <c r="CA380" s="41"/>
      <c r="CB380" s="41"/>
      <c r="CC380" s="41"/>
      <c r="CD380" s="41"/>
      <c r="CE380" s="41"/>
      <c r="CF380" s="41"/>
      <c r="CG380" s="41"/>
      <c r="CH380" s="41"/>
      <c r="CI380" s="41"/>
      <c r="CJ380" s="41"/>
      <c r="CK380" s="41"/>
      <c r="CL380" s="41"/>
      <c r="CM380" s="41"/>
      <c r="CN380" s="41"/>
      <c r="CO380" s="41"/>
      <c r="CP380" s="41"/>
      <c r="CQ380" s="41"/>
      <c r="CR380" s="41"/>
      <c r="CS380" s="41"/>
      <c r="CT380" s="41"/>
      <c r="CU380" s="41"/>
      <c r="CV380" s="41"/>
      <c r="CW380" s="41"/>
    </row>
    <row r="381" spans="1:101" ht="16.5" x14ac:dyDescent="0.35">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c r="AJ381" s="41"/>
      <c r="AK381" s="41"/>
      <c r="AL381" s="41"/>
      <c r="AM381" s="41"/>
      <c r="AN381" s="41"/>
      <c r="AO381" s="41"/>
      <c r="AP381" s="41"/>
      <c r="AQ381" s="41"/>
      <c r="AR381" s="41"/>
      <c r="AS381" s="41"/>
      <c r="AT381" s="41"/>
      <c r="AU381" s="41"/>
      <c r="AV381" s="41"/>
      <c r="AW381" s="41"/>
      <c r="AX381" s="41"/>
      <c r="AY381" s="41"/>
      <c r="AZ381" s="41"/>
      <c r="BA381" s="41"/>
      <c r="BB381" s="41"/>
      <c r="BC381" s="41"/>
      <c r="BD381" s="41"/>
      <c r="BE381" s="41"/>
      <c r="BF381" s="41"/>
      <c r="BG381" s="41"/>
      <c r="BH381" s="41"/>
      <c r="BI381" s="41"/>
      <c r="BJ381" s="41"/>
      <c r="BK381" s="41"/>
      <c r="BL381" s="41"/>
      <c r="BM381" s="41"/>
      <c r="BN381" s="41"/>
      <c r="BO381" s="41"/>
      <c r="BP381" s="41"/>
      <c r="BQ381" s="41"/>
      <c r="BR381" s="41"/>
      <c r="BS381" s="41"/>
      <c r="BT381" s="41"/>
      <c r="BU381" s="41"/>
      <c r="BV381" s="41"/>
      <c r="BW381" s="41"/>
      <c r="BX381" s="41"/>
      <c r="BY381" s="41"/>
      <c r="BZ381" s="41"/>
      <c r="CA381" s="41"/>
      <c r="CB381" s="41"/>
      <c r="CC381" s="41"/>
      <c r="CD381" s="41"/>
      <c r="CE381" s="41"/>
      <c r="CF381" s="41"/>
      <c r="CG381" s="41"/>
      <c r="CH381" s="41"/>
      <c r="CI381" s="41"/>
      <c r="CJ381" s="41"/>
      <c r="CK381" s="41"/>
      <c r="CL381" s="41"/>
      <c r="CM381" s="41"/>
      <c r="CN381" s="41"/>
      <c r="CO381" s="41"/>
      <c r="CP381" s="41"/>
      <c r="CQ381" s="41"/>
      <c r="CR381" s="41"/>
      <c r="CS381" s="41"/>
      <c r="CT381" s="41"/>
      <c r="CU381" s="41"/>
      <c r="CV381" s="41"/>
      <c r="CW381" s="41"/>
    </row>
    <row r="382" spans="1:101" ht="16.5" x14ac:dyDescent="0.35">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41"/>
      <c r="BB382" s="41"/>
      <c r="BC382" s="41"/>
      <c r="BD382" s="41"/>
      <c r="BE382" s="41"/>
      <c r="BF382" s="41"/>
      <c r="BG382" s="41"/>
      <c r="BH382" s="41"/>
      <c r="BI382" s="41"/>
      <c r="BJ382" s="41"/>
      <c r="BK382" s="41"/>
      <c r="BL382" s="41"/>
      <c r="BM382" s="41"/>
      <c r="BN382" s="41"/>
      <c r="BO382" s="41"/>
      <c r="BP382" s="41"/>
      <c r="BQ382" s="41"/>
      <c r="BR382" s="41"/>
      <c r="BS382" s="41"/>
      <c r="BT382" s="41"/>
      <c r="BU382" s="41"/>
      <c r="BV382" s="41"/>
      <c r="BW382" s="41"/>
      <c r="BX382" s="41"/>
      <c r="BY382" s="41"/>
      <c r="BZ382" s="41"/>
      <c r="CA382" s="41"/>
      <c r="CB382" s="41"/>
      <c r="CC382" s="41"/>
      <c r="CD382" s="41"/>
      <c r="CE382" s="41"/>
      <c r="CF382" s="41"/>
      <c r="CG382" s="41"/>
      <c r="CH382" s="41"/>
      <c r="CI382" s="41"/>
      <c r="CJ382" s="41"/>
      <c r="CK382" s="41"/>
      <c r="CL382" s="41"/>
      <c r="CM382" s="41"/>
      <c r="CN382" s="41"/>
      <c r="CO382" s="41"/>
      <c r="CP382" s="41"/>
      <c r="CQ382" s="41"/>
      <c r="CR382" s="41"/>
      <c r="CS382" s="41"/>
      <c r="CT382" s="41"/>
      <c r="CU382" s="41"/>
      <c r="CV382" s="41"/>
      <c r="CW382" s="41"/>
    </row>
    <row r="383" spans="1:101" ht="16.5" x14ac:dyDescent="0.35">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c r="AJ383" s="41"/>
      <c r="AK383" s="41"/>
      <c r="AL383" s="41"/>
      <c r="AM383" s="41"/>
      <c r="AN383" s="41"/>
      <c r="AO383" s="41"/>
      <c r="AP383" s="41"/>
      <c r="AQ383" s="41"/>
      <c r="AR383" s="41"/>
      <c r="AS383" s="41"/>
      <c r="AT383" s="41"/>
      <c r="AU383" s="41"/>
      <c r="AV383" s="41"/>
      <c r="AW383" s="41"/>
      <c r="AX383" s="41"/>
      <c r="AY383" s="41"/>
      <c r="AZ383" s="41"/>
      <c r="BA383" s="41"/>
      <c r="BB383" s="41"/>
      <c r="BC383" s="41"/>
      <c r="BD383" s="41"/>
      <c r="BE383" s="41"/>
      <c r="BF383" s="41"/>
      <c r="BG383" s="41"/>
      <c r="BH383" s="41"/>
      <c r="BI383" s="41"/>
      <c r="BJ383" s="41"/>
      <c r="BK383" s="41"/>
      <c r="BL383" s="41"/>
      <c r="BM383" s="41"/>
      <c r="BN383" s="41"/>
      <c r="BO383" s="41"/>
      <c r="BP383" s="41"/>
      <c r="BQ383" s="41"/>
      <c r="BR383" s="41"/>
      <c r="BS383" s="41"/>
      <c r="BT383" s="41"/>
      <c r="BU383" s="41"/>
      <c r="BV383" s="41"/>
      <c r="BW383" s="41"/>
      <c r="BX383" s="41"/>
      <c r="BY383" s="41"/>
      <c r="BZ383" s="41"/>
      <c r="CA383" s="41"/>
      <c r="CB383" s="41"/>
      <c r="CC383" s="41"/>
      <c r="CD383" s="41"/>
      <c r="CE383" s="41"/>
      <c r="CF383" s="41"/>
      <c r="CG383" s="41"/>
      <c r="CH383" s="41"/>
      <c r="CI383" s="41"/>
      <c r="CJ383" s="41"/>
      <c r="CK383" s="41"/>
      <c r="CL383" s="41"/>
      <c r="CM383" s="41"/>
      <c r="CN383" s="41"/>
      <c r="CO383" s="41"/>
      <c r="CP383" s="41"/>
      <c r="CQ383" s="41"/>
      <c r="CR383" s="41"/>
      <c r="CS383" s="41"/>
      <c r="CT383" s="41"/>
      <c r="CU383" s="41"/>
      <c r="CV383" s="41"/>
      <c r="CW383" s="41"/>
    </row>
    <row r="384" spans="1:101" ht="16.5" x14ac:dyDescent="0.35">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c r="AJ384" s="41"/>
      <c r="AK384" s="41"/>
      <c r="AL384" s="41"/>
      <c r="AM384" s="41"/>
      <c r="AN384" s="41"/>
      <c r="AO384" s="41"/>
      <c r="AP384" s="41"/>
      <c r="AQ384" s="41"/>
      <c r="AR384" s="41"/>
      <c r="AS384" s="41"/>
      <c r="AT384" s="41"/>
      <c r="AU384" s="41"/>
      <c r="AV384" s="41"/>
      <c r="AW384" s="41"/>
      <c r="AX384" s="41"/>
      <c r="AY384" s="41"/>
      <c r="AZ384" s="41"/>
      <c r="BA384" s="41"/>
      <c r="BB384" s="41"/>
      <c r="BC384" s="41"/>
      <c r="BD384" s="41"/>
      <c r="BE384" s="41"/>
      <c r="BF384" s="41"/>
      <c r="BG384" s="41"/>
      <c r="BH384" s="41"/>
      <c r="BI384" s="41"/>
      <c r="BJ384" s="41"/>
      <c r="BK384" s="41"/>
      <c r="BL384" s="41"/>
      <c r="BM384" s="41"/>
      <c r="BN384" s="41"/>
      <c r="BO384" s="41"/>
      <c r="BP384" s="41"/>
      <c r="BQ384" s="41"/>
      <c r="BR384" s="41"/>
      <c r="BS384" s="41"/>
      <c r="BT384" s="41"/>
      <c r="BU384" s="41"/>
      <c r="BV384" s="41"/>
      <c r="BW384" s="41"/>
      <c r="BX384" s="41"/>
      <c r="BY384" s="41"/>
      <c r="BZ384" s="41"/>
      <c r="CA384" s="41"/>
      <c r="CB384" s="41"/>
      <c r="CC384" s="41"/>
      <c r="CD384" s="41"/>
      <c r="CE384" s="41"/>
      <c r="CF384" s="41"/>
      <c r="CG384" s="41"/>
      <c r="CH384" s="41"/>
      <c r="CI384" s="41"/>
      <c r="CJ384" s="41"/>
      <c r="CK384" s="41"/>
      <c r="CL384" s="41"/>
      <c r="CM384" s="41"/>
      <c r="CN384" s="41"/>
      <c r="CO384" s="41"/>
      <c r="CP384" s="41"/>
      <c r="CQ384" s="41"/>
      <c r="CR384" s="41"/>
      <c r="CS384" s="41"/>
      <c r="CT384" s="41"/>
      <c r="CU384" s="41"/>
      <c r="CV384" s="41"/>
      <c r="CW384" s="41"/>
    </row>
    <row r="385" spans="1:101" ht="16.5" x14ac:dyDescent="0.35">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c r="AJ385" s="41"/>
      <c r="AK385" s="41"/>
      <c r="AL385" s="41"/>
      <c r="AM385" s="41"/>
      <c r="AN385" s="41"/>
      <c r="AO385" s="41"/>
      <c r="AP385" s="41"/>
      <c r="AQ385" s="41"/>
      <c r="AR385" s="41"/>
      <c r="AS385" s="41"/>
      <c r="AT385" s="41"/>
      <c r="AU385" s="41"/>
      <c r="AV385" s="41"/>
      <c r="AW385" s="41"/>
      <c r="AX385" s="41"/>
      <c r="AY385" s="41"/>
      <c r="AZ385" s="41"/>
      <c r="BA385" s="41"/>
      <c r="BB385" s="41"/>
      <c r="BC385" s="41"/>
      <c r="BD385" s="41"/>
      <c r="BE385" s="41"/>
      <c r="BF385" s="41"/>
      <c r="BG385" s="41"/>
      <c r="BH385" s="41"/>
      <c r="BI385" s="41"/>
      <c r="BJ385" s="41"/>
      <c r="BK385" s="41"/>
      <c r="BL385" s="41"/>
      <c r="BM385" s="41"/>
      <c r="BN385" s="41"/>
      <c r="BO385" s="41"/>
      <c r="BP385" s="41"/>
      <c r="BQ385" s="41"/>
      <c r="BR385" s="41"/>
      <c r="BS385" s="41"/>
      <c r="BT385" s="41"/>
      <c r="BU385" s="41"/>
      <c r="BV385" s="41"/>
      <c r="BW385" s="41"/>
      <c r="BX385" s="41"/>
      <c r="BY385" s="41"/>
      <c r="BZ385" s="41"/>
      <c r="CA385" s="41"/>
      <c r="CB385" s="41"/>
      <c r="CC385" s="41"/>
      <c r="CD385" s="41"/>
      <c r="CE385" s="41"/>
      <c r="CF385" s="41"/>
      <c r="CG385" s="41"/>
      <c r="CH385" s="41"/>
      <c r="CI385" s="41"/>
      <c r="CJ385" s="41"/>
      <c r="CK385" s="41"/>
      <c r="CL385" s="41"/>
      <c r="CM385" s="41"/>
      <c r="CN385" s="41"/>
      <c r="CO385" s="41"/>
      <c r="CP385" s="41"/>
      <c r="CQ385" s="41"/>
      <c r="CR385" s="41"/>
      <c r="CS385" s="41"/>
      <c r="CT385" s="41"/>
      <c r="CU385" s="41"/>
      <c r="CV385" s="41"/>
      <c r="CW385" s="41"/>
    </row>
    <row r="386" spans="1:101" ht="16.5" x14ac:dyDescent="0.35">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c r="AJ386" s="41"/>
      <c r="AK386" s="41"/>
      <c r="AL386" s="41"/>
      <c r="AM386" s="41"/>
      <c r="AN386" s="41"/>
      <c r="AO386" s="41"/>
      <c r="AP386" s="41"/>
      <c r="AQ386" s="41"/>
      <c r="AR386" s="41"/>
      <c r="AS386" s="41"/>
      <c r="AT386" s="41"/>
      <c r="AU386" s="41"/>
      <c r="AV386" s="41"/>
      <c r="AW386" s="41"/>
      <c r="AX386" s="41"/>
      <c r="AY386" s="41"/>
      <c r="AZ386" s="41"/>
      <c r="BA386" s="41"/>
      <c r="BB386" s="41"/>
      <c r="BC386" s="41"/>
      <c r="BD386" s="41"/>
      <c r="BE386" s="41"/>
      <c r="BF386" s="41"/>
      <c r="BG386" s="41"/>
      <c r="BH386" s="41"/>
      <c r="BI386" s="41"/>
      <c r="BJ386" s="41"/>
      <c r="BK386" s="41"/>
      <c r="BL386" s="41"/>
      <c r="BM386" s="41"/>
      <c r="BN386" s="41"/>
      <c r="BO386" s="41"/>
      <c r="BP386" s="41"/>
      <c r="BQ386" s="41"/>
      <c r="BR386" s="41"/>
      <c r="BS386" s="41"/>
      <c r="BT386" s="41"/>
      <c r="BU386" s="41"/>
      <c r="BV386" s="41"/>
      <c r="BW386" s="41"/>
      <c r="BX386" s="41"/>
      <c r="BY386" s="41"/>
      <c r="BZ386" s="41"/>
      <c r="CA386" s="41"/>
      <c r="CB386" s="41"/>
      <c r="CC386" s="41"/>
      <c r="CD386" s="41"/>
      <c r="CE386" s="41"/>
      <c r="CF386" s="41"/>
      <c r="CG386" s="41"/>
      <c r="CH386" s="41"/>
      <c r="CI386" s="41"/>
      <c r="CJ386" s="41"/>
      <c r="CK386" s="41"/>
      <c r="CL386" s="41"/>
      <c r="CM386" s="41"/>
      <c r="CN386" s="41"/>
      <c r="CO386" s="41"/>
      <c r="CP386" s="41"/>
      <c r="CQ386" s="41"/>
      <c r="CR386" s="41"/>
      <c r="CS386" s="41"/>
      <c r="CT386" s="41"/>
      <c r="CU386" s="41"/>
      <c r="CV386" s="41"/>
      <c r="CW386" s="41"/>
    </row>
    <row r="387" spans="1:101" ht="16.5" x14ac:dyDescent="0.35">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c r="AJ387" s="41"/>
      <c r="AK387" s="41"/>
      <c r="AL387" s="41"/>
      <c r="AM387" s="41"/>
      <c r="AN387" s="41"/>
      <c r="AO387" s="41"/>
      <c r="AP387" s="41"/>
      <c r="AQ387" s="41"/>
      <c r="AR387" s="41"/>
      <c r="AS387" s="41"/>
      <c r="AT387" s="41"/>
      <c r="AU387" s="41"/>
      <c r="AV387" s="41"/>
      <c r="AW387" s="41"/>
      <c r="AX387" s="41"/>
      <c r="AY387" s="41"/>
      <c r="AZ387" s="41"/>
      <c r="BA387" s="41"/>
      <c r="BB387" s="41"/>
      <c r="BC387" s="41"/>
      <c r="BD387" s="41"/>
      <c r="BE387" s="41"/>
      <c r="BF387" s="41"/>
      <c r="BG387" s="41"/>
      <c r="BH387" s="41"/>
      <c r="BI387" s="41"/>
      <c r="BJ387" s="41"/>
      <c r="BK387" s="41"/>
      <c r="BL387" s="41"/>
      <c r="BM387" s="41"/>
      <c r="BN387" s="41"/>
      <c r="BO387" s="41"/>
      <c r="BP387" s="41"/>
      <c r="BQ387" s="41"/>
      <c r="BR387" s="41"/>
      <c r="BS387" s="41"/>
      <c r="BT387" s="41"/>
      <c r="BU387" s="41"/>
      <c r="BV387" s="41"/>
      <c r="BW387" s="41"/>
      <c r="BX387" s="41"/>
      <c r="BY387" s="41"/>
      <c r="BZ387" s="41"/>
      <c r="CA387" s="41"/>
      <c r="CB387" s="41"/>
      <c r="CC387" s="41"/>
      <c r="CD387" s="41"/>
      <c r="CE387" s="41"/>
      <c r="CF387" s="41"/>
      <c r="CG387" s="41"/>
      <c r="CH387" s="41"/>
      <c r="CI387" s="41"/>
      <c r="CJ387" s="41"/>
      <c r="CK387" s="41"/>
      <c r="CL387" s="41"/>
      <c r="CM387" s="41"/>
      <c r="CN387" s="41"/>
      <c r="CO387" s="41"/>
      <c r="CP387" s="41"/>
      <c r="CQ387" s="41"/>
      <c r="CR387" s="41"/>
      <c r="CS387" s="41"/>
      <c r="CT387" s="41"/>
      <c r="CU387" s="41"/>
      <c r="CV387" s="41"/>
      <c r="CW387" s="41"/>
    </row>
    <row r="388" spans="1:101" ht="16.5" x14ac:dyDescent="0.35">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c r="AJ388" s="41"/>
      <c r="AK388" s="41"/>
      <c r="AL388" s="41"/>
      <c r="AM388" s="41"/>
      <c r="AN388" s="41"/>
      <c r="AO388" s="41"/>
      <c r="AP388" s="41"/>
      <c r="AQ388" s="41"/>
      <c r="AR388" s="41"/>
      <c r="AS388" s="41"/>
      <c r="AT388" s="41"/>
      <c r="AU388" s="41"/>
      <c r="AV388" s="41"/>
      <c r="AW388" s="41"/>
      <c r="AX388" s="41"/>
      <c r="AY388" s="41"/>
      <c r="AZ388" s="41"/>
      <c r="BA388" s="41"/>
      <c r="BB388" s="41"/>
      <c r="BC388" s="41"/>
      <c r="BD388" s="41"/>
      <c r="BE388" s="41"/>
      <c r="BF388" s="41"/>
      <c r="BG388" s="41"/>
      <c r="BH388" s="41"/>
      <c r="BI388" s="41"/>
      <c r="BJ388" s="41"/>
      <c r="BK388" s="41"/>
      <c r="BL388" s="41"/>
      <c r="BM388" s="41"/>
      <c r="BN388" s="41"/>
      <c r="BO388" s="41"/>
      <c r="BP388" s="41"/>
      <c r="BQ388" s="41"/>
      <c r="BR388" s="41"/>
      <c r="BS388" s="41"/>
      <c r="BT388" s="41"/>
      <c r="BU388" s="41"/>
      <c r="BV388" s="41"/>
      <c r="BW388" s="41"/>
      <c r="BX388" s="41"/>
      <c r="BY388" s="41"/>
      <c r="BZ388" s="41"/>
      <c r="CA388" s="41"/>
      <c r="CB388" s="41"/>
      <c r="CC388" s="41"/>
      <c r="CD388" s="41"/>
      <c r="CE388" s="41"/>
      <c r="CF388" s="41"/>
      <c r="CG388" s="41"/>
      <c r="CH388" s="41"/>
      <c r="CI388" s="41"/>
      <c r="CJ388" s="41"/>
      <c r="CK388" s="41"/>
      <c r="CL388" s="41"/>
      <c r="CM388" s="41"/>
      <c r="CN388" s="41"/>
      <c r="CO388" s="41"/>
      <c r="CP388" s="41"/>
      <c r="CQ388" s="41"/>
      <c r="CR388" s="41"/>
      <c r="CS388" s="41"/>
      <c r="CT388" s="41"/>
      <c r="CU388" s="41"/>
      <c r="CV388" s="41"/>
      <c r="CW388" s="41"/>
    </row>
    <row r="389" spans="1:101" ht="16.5" x14ac:dyDescent="0.35">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41"/>
      <c r="BA389" s="41"/>
      <c r="BB389" s="41"/>
      <c r="BC389" s="41"/>
      <c r="BD389" s="41"/>
      <c r="BE389" s="41"/>
      <c r="BF389" s="41"/>
      <c r="BG389" s="41"/>
      <c r="BH389" s="41"/>
      <c r="BI389" s="41"/>
      <c r="BJ389" s="41"/>
      <c r="BK389" s="41"/>
      <c r="BL389" s="41"/>
      <c r="BM389" s="41"/>
      <c r="BN389" s="41"/>
      <c r="BO389" s="41"/>
      <c r="BP389" s="41"/>
      <c r="BQ389" s="41"/>
      <c r="BR389" s="41"/>
      <c r="BS389" s="41"/>
      <c r="BT389" s="41"/>
      <c r="BU389" s="41"/>
      <c r="BV389" s="41"/>
      <c r="BW389" s="41"/>
      <c r="BX389" s="41"/>
      <c r="BY389" s="41"/>
      <c r="BZ389" s="41"/>
      <c r="CA389" s="41"/>
      <c r="CB389" s="41"/>
      <c r="CC389" s="41"/>
      <c r="CD389" s="41"/>
      <c r="CE389" s="41"/>
      <c r="CF389" s="41"/>
      <c r="CG389" s="41"/>
      <c r="CH389" s="41"/>
      <c r="CI389" s="41"/>
      <c r="CJ389" s="41"/>
      <c r="CK389" s="41"/>
      <c r="CL389" s="41"/>
      <c r="CM389" s="41"/>
      <c r="CN389" s="41"/>
      <c r="CO389" s="41"/>
      <c r="CP389" s="41"/>
      <c r="CQ389" s="41"/>
      <c r="CR389" s="41"/>
      <c r="CS389" s="41"/>
      <c r="CT389" s="41"/>
      <c r="CU389" s="41"/>
      <c r="CV389" s="41"/>
      <c r="CW389" s="41"/>
    </row>
    <row r="390" spans="1:101" ht="16.5" x14ac:dyDescent="0.35">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41"/>
      <c r="BA390" s="41"/>
      <c r="BB390" s="41"/>
      <c r="BC390" s="41"/>
      <c r="BD390" s="41"/>
      <c r="BE390" s="41"/>
      <c r="BF390" s="41"/>
      <c r="BG390" s="41"/>
      <c r="BH390" s="41"/>
      <c r="BI390" s="41"/>
      <c r="BJ390" s="41"/>
      <c r="BK390" s="41"/>
      <c r="BL390" s="41"/>
      <c r="BM390" s="41"/>
      <c r="BN390" s="41"/>
      <c r="BO390" s="41"/>
      <c r="BP390" s="41"/>
      <c r="BQ390" s="41"/>
      <c r="BR390" s="41"/>
      <c r="BS390" s="41"/>
      <c r="BT390" s="41"/>
      <c r="BU390" s="41"/>
      <c r="BV390" s="41"/>
      <c r="BW390" s="41"/>
      <c r="BX390" s="41"/>
      <c r="BY390" s="41"/>
      <c r="BZ390" s="41"/>
      <c r="CA390" s="41"/>
      <c r="CB390" s="41"/>
      <c r="CC390" s="41"/>
      <c r="CD390" s="41"/>
      <c r="CE390" s="41"/>
      <c r="CF390" s="41"/>
      <c r="CG390" s="41"/>
      <c r="CH390" s="41"/>
      <c r="CI390" s="41"/>
      <c r="CJ390" s="41"/>
      <c r="CK390" s="41"/>
      <c r="CL390" s="41"/>
      <c r="CM390" s="41"/>
      <c r="CN390" s="41"/>
      <c r="CO390" s="41"/>
      <c r="CP390" s="41"/>
      <c r="CQ390" s="41"/>
      <c r="CR390" s="41"/>
      <c r="CS390" s="41"/>
      <c r="CT390" s="41"/>
      <c r="CU390" s="41"/>
      <c r="CV390" s="41"/>
      <c r="CW390" s="41"/>
    </row>
    <row r="391" spans="1:101" ht="16.5" x14ac:dyDescent="0.35">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c r="AJ391" s="41"/>
      <c r="AK391" s="41"/>
      <c r="AL391" s="41"/>
      <c r="AM391" s="41"/>
      <c r="AN391" s="41"/>
      <c r="AO391" s="41"/>
      <c r="AP391" s="41"/>
      <c r="AQ391" s="41"/>
      <c r="AR391" s="41"/>
      <c r="AS391" s="41"/>
      <c r="AT391" s="41"/>
      <c r="AU391" s="41"/>
      <c r="AV391" s="41"/>
      <c r="AW391" s="41"/>
      <c r="AX391" s="41"/>
      <c r="AY391" s="41"/>
      <c r="AZ391" s="41"/>
      <c r="BA391" s="41"/>
      <c r="BB391" s="41"/>
      <c r="BC391" s="41"/>
      <c r="BD391" s="41"/>
      <c r="BE391" s="41"/>
      <c r="BF391" s="41"/>
      <c r="BG391" s="41"/>
      <c r="BH391" s="41"/>
      <c r="BI391" s="41"/>
      <c r="BJ391" s="41"/>
      <c r="BK391" s="41"/>
      <c r="BL391" s="41"/>
      <c r="BM391" s="41"/>
      <c r="BN391" s="41"/>
      <c r="BO391" s="41"/>
      <c r="BP391" s="41"/>
      <c r="BQ391" s="41"/>
      <c r="BR391" s="41"/>
      <c r="BS391" s="41"/>
      <c r="BT391" s="41"/>
      <c r="BU391" s="41"/>
      <c r="BV391" s="41"/>
      <c r="BW391" s="41"/>
      <c r="BX391" s="41"/>
      <c r="BY391" s="41"/>
      <c r="BZ391" s="41"/>
      <c r="CA391" s="41"/>
      <c r="CB391" s="41"/>
      <c r="CC391" s="41"/>
      <c r="CD391" s="41"/>
      <c r="CE391" s="41"/>
      <c r="CF391" s="41"/>
      <c r="CG391" s="41"/>
      <c r="CH391" s="41"/>
      <c r="CI391" s="41"/>
      <c r="CJ391" s="41"/>
      <c r="CK391" s="41"/>
      <c r="CL391" s="41"/>
      <c r="CM391" s="41"/>
      <c r="CN391" s="41"/>
      <c r="CO391" s="41"/>
      <c r="CP391" s="41"/>
      <c r="CQ391" s="41"/>
      <c r="CR391" s="41"/>
      <c r="CS391" s="41"/>
      <c r="CT391" s="41"/>
      <c r="CU391" s="41"/>
      <c r="CV391" s="41"/>
      <c r="CW391" s="41"/>
    </row>
    <row r="392" spans="1:101" ht="16.5" x14ac:dyDescent="0.35">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c r="AJ392" s="41"/>
      <c r="AK392" s="41"/>
      <c r="AL392" s="41"/>
      <c r="AM392" s="41"/>
      <c r="AN392" s="41"/>
      <c r="AO392" s="41"/>
      <c r="AP392" s="41"/>
      <c r="AQ392" s="41"/>
      <c r="AR392" s="41"/>
      <c r="AS392" s="41"/>
      <c r="AT392" s="41"/>
      <c r="AU392" s="41"/>
      <c r="AV392" s="41"/>
      <c r="AW392" s="41"/>
      <c r="AX392" s="41"/>
      <c r="AY392" s="41"/>
      <c r="AZ392" s="41"/>
      <c r="BA392" s="41"/>
      <c r="BB392" s="41"/>
      <c r="BC392" s="41"/>
      <c r="BD392" s="41"/>
      <c r="BE392" s="41"/>
      <c r="BF392" s="41"/>
      <c r="BG392" s="41"/>
      <c r="BH392" s="41"/>
      <c r="BI392" s="41"/>
      <c r="BJ392" s="41"/>
      <c r="BK392" s="41"/>
      <c r="BL392" s="41"/>
      <c r="BM392" s="41"/>
      <c r="BN392" s="41"/>
      <c r="BO392" s="41"/>
      <c r="BP392" s="41"/>
      <c r="BQ392" s="41"/>
      <c r="BR392" s="41"/>
      <c r="BS392" s="41"/>
      <c r="BT392" s="41"/>
      <c r="BU392" s="41"/>
      <c r="BV392" s="41"/>
      <c r="BW392" s="41"/>
      <c r="BX392" s="41"/>
      <c r="BY392" s="41"/>
      <c r="BZ392" s="41"/>
      <c r="CA392" s="41"/>
      <c r="CB392" s="41"/>
      <c r="CC392" s="41"/>
      <c r="CD392" s="41"/>
      <c r="CE392" s="41"/>
      <c r="CF392" s="41"/>
      <c r="CG392" s="41"/>
      <c r="CH392" s="41"/>
      <c r="CI392" s="41"/>
      <c r="CJ392" s="41"/>
      <c r="CK392" s="41"/>
      <c r="CL392" s="41"/>
      <c r="CM392" s="41"/>
      <c r="CN392" s="41"/>
      <c r="CO392" s="41"/>
      <c r="CP392" s="41"/>
      <c r="CQ392" s="41"/>
      <c r="CR392" s="41"/>
      <c r="CS392" s="41"/>
      <c r="CT392" s="41"/>
      <c r="CU392" s="41"/>
      <c r="CV392" s="41"/>
      <c r="CW392" s="41"/>
    </row>
    <row r="393" spans="1:101" ht="16.5" x14ac:dyDescent="0.35">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c r="AJ393" s="41"/>
      <c r="AK393" s="41"/>
      <c r="AL393" s="41"/>
      <c r="AM393" s="41"/>
      <c r="AN393" s="41"/>
      <c r="AO393" s="41"/>
      <c r="AP393" s="41"/>
      <c r="AQ393" s="41"/>
      <c r="AR393" s="41"/>
      <c r="AS393" s="41"/>
      <c r="AT393" s="41"/>
      <c r="AU393" s="41"/>
      <c r="AV393" s="41"/>
      <c r="AW393" s="41"/>
      <c r="AX393" s="41"/>
      <c r="AY393" s="41"/>
      <c r="AZ393" s="41"/>
      <c r="BA393" s="41"/>
      <c r="BB393" s="41"/>
      <c r="BC393" s="41"/>
      <c r="BD393" s="41"/>
      <c r="BE393" s="41"/>
      <c r="BF393" s="41"/>
      <c r="BG393" s="41"/>
      <c r="BH393" s="41"/>
      <c r="BI393" s="41"/>
      <c r="BJ393" s="41"/>
      <c r="BK393" s="41"/>
      <c r="BL393" s="41"/>
      <c r="BM393" s="41"/>
      <c r="BN393" s="41"/>
      <c r="BO393" s="41"/>
      <c r="BP393" s="41"/>
      <c r="BQ393" s="41"/>
      <c r="BR393" s="41"/>
      <c r="BS393" s="41"/>
      <c r="BT393" s="41"/>
      <c r="BU393" s="41"/>
      <c r="BV393" s="41"/>
      <c r="BW393" s="41"/>
      <c r="BX393" s="41"/>
      <c r="BY393" s="41"/>
      <c r="BZ393" s="41"/>
      <c r="CA393" s="41"/>
      <c r="CB393" s="41"/>
      <c r="CC393" s="41"/>
      <c r="CD393" s="41"/>
      <c r="CE393" s="41"/>
      <c r="CF393" s="41"/>
      <c r="CG393" s="41"/>
      <c r="CH393" s="41"/>
      <c r="CI393" s="41"/>
      <c r="CJ393" s="41"/>
      <c r="CK393" s="41"/>
      <c r="CL393" s="41"/>
      <c r="CM393" s="41"/>
      <c r="CN393" s="41"/>
      <c r="CO393" s="41"/>
      <c r="CP393" s="41"/>
      <c r="CQ393" s="41"/>
      <c r="CR393" s="41"/>
      <c r="CS393" s="41"/>
      <c r="CT393" s="41"/>
      <c r="CU393" s="41"/>
      <c r="CV393" s="41"/>
      <c r="CW393" s="41"/>
    </row>
    <row r="394" spans="1:101" ht="16.5" x14ac:dyDescent="0.35">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c r="AJ394" s="41"/>
      <c r="AK394" s="41"/>
      <c r="AL394" s="41"/>
      <c r="AM394" s="41"/>
      <c r="AN394" s="41"/>
      <c r="AO394" s="41"/>
      <c r="AP394" s="41"/>
      <c r="AQ394" s="41"/>
      <c r="AR394" s="41"/>
      <c r="AS394" s="41"/>
      <c r="AT394" s="41"/>
      <c r="AU394" s="41"/>
      <c r="AV394" s="41"/>
      <c r="AW394" s="41"/>
      <c r="AX394" s="41"/>
      <c r="AY394" s="41"/>
      <c r="AZ394" s="41"/>
      <c r="BA394" s="41"/>
      <c r="BB394" s="41"/>
      <c r="BC394" s="41"/>
      <c r="BD394" s="41"/>
      <c r="BE394" s="41"/>
      <c r="BF394" s="41"/>
      <c r="BG394" s="41"/>
      <c r="BH394" s="41"/>
      <c r="BI394" s="41"/>
      <c r="BJ394" s="41"/>
      <c r="BK394" s="41"/>
      <c r="BL394" s="41"/>
      <c r="BM394" s="41"/>
      <c r="BN394" s="41"/>
      <c r="BO394" s="41"/>
      <c r="BP394" s="41"/>
      <c r="BQ394" s="41"/>
      <c r="BR394" s="41"/>
      <c r="BS394" s="41"/>
      <c r="BT394" s="41"/>
      <c r="BU394" s="41"/>
      <c r="BV394" s="41"/>
      <c r="BW394" s="41"/>
      <c r="BX394" s="41"/>
      <c r="BY394" s="41"/>
      <c r="BZ394" s="41"/>
      <c r="CA394" s="41"/>
      <c r="CB394" s="41"/>
      <c r="CC394" s="41"/>
      <c r="CD394" s="41"/>
      <c r="CE394" s="41"/>
      <c r="CF394" s="41"/>
      <c r="CG394" s="41"/>
      <c r="CH394" s="41"/>
      <c r="CI394" s="41"/>
      <c r="CJ394" s="41"/>
      <c r="CK394" s="41"/>
      <c r="CL394" s="41"/>
      <c r="CM394" s="41"/>
      <c r="CN394" s="41"/>
      <c r="CO394" s="41"/>
      <c r="CP394" s="41"/>
      <c r="CQ394" s="41"/>
      <c r="CR394" s="41"/>
      <c r="CS394" s="41"/>
      <c r="CT394" s="41"/>
      <c r="CU394" s="41"/>
      <c r="CV394" s="41"/>
      <c r="CW394" s="41"/>
    </row>
    <row r="395" spans="1:101" ht="16.5" x14ac:dyDescent="0.35">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c r="AJ395" s="41"/>
      <c r="AK395" s="41"/>
      <c r="AL395" s="41"/>
      <c r="AM395" s="41"/>
      <c r="AN395" s="41"/>
      <c r="AO395" s="41"/>
      <c r="AP395" s="41"/>
      <c r="AQ395" s="41"/>
      <c r="AR395" s="41"/>
      <c r="AS395" s="41"/>
      <c r="AT395" s="41"/>
      <c r="AU395" s="41"/>
      <c r="AV395" s="41"/>
      <c r="AW395" s="41"/>
      <c r="AX395" s="41"/>
      <c r="AY395" s="41"/>
      <c r="AZ395" s="41"/>
      <c r="BA395" s="41"/>
      <c r="BB395" s="41"/>
      <c r="BC395" s="41"/>
      <c r="BD395" s="41"/>
      <c r="BE395" s="41"/>
      <c r="BF395" s="41"/>
      <c r="BG395" s="41"/>
      <c r="BH395" s="41"/>
      <c r="BI395" s="41"/>
      <c r="BJ395" s="41"/>
      <c r="BK395" s="41"/>
      <c r="BL395" s="41"/>
      <c r="BM395" s="41"/>
      <c r="BN395" s="41"/>
      <c r="BO395" s="41"/>
      <c r="BP395" s="41"/>
      <c r="BQ395" s="41"/>
      <c r="BR395" s="41"/>
      <c r="BS395" s="41"/>
      <c r="BT395" s="41"/>
      <c r="BU395" s="41"/>
      <c r="BV395" s="41"/>
      <c r="BW395" s="41"/>
      <c r="BX395" s="41"/>
      <c r="BY395" s="41"/>
      <c r="BZ395" s="41"/>
      <c r="CA395" s="41"/>
      <c r="CB395" s="41"/>
      <c r="CC395" s="41"/>
      <c r="CD395" s="41"/>
      <c r="CE395" s="41"/>
      <c r="CF395" s="41"/>
      <c r="CG395" s="41"/>
      <c r="CH395" s="41"/>
      <c r="CI395" s="41"/>
      <c r="CJ395" s="41"/>
      <c r="CK395" s="41"/>
      <c r="CL395" s="41"/>
      <c r="CM395" s="41"/>
      <c r="CN395" s="41"/>
      <c r="CO395" s="41"/>
      <c r="CP395" s="41"/>
      <c r="CQ395" s="41"/>
      <c r="CR395" s="41"/>
      <c r="CS395" s="41"/>
      <c r="CT395" s="41"/>
      <c r="CU395" s="41"/>
      <c r="CV395" s="41"/>
      <c r="CW395" s="41"/>
    </row>
    <row r="396" spans="1:101" ht="16.5" x14ac:dyDescent="0.35">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c r="AJ396" s="41"/>
      <c r="AK396" s="41"/>
      <c r="AL396" s="41"/>
      <c r="AM396" s="41"/>
      <c r="AN396" s="41"/>
      <c r="AO396" s="41"/>
      <c r="AP396" s="41"/>
      <c r="AQ396" s="41"/>
      <c r="AR396" s="41"/>
      <c r="AS396" s="41"/>
      <c r="AT396" s="41"/>
      <c r="AU396" s="41"/>
      <c r="AV396" s="41"/>
      <c r="AW396" s="41"/>
      <c r="AX396" s="41"/>
      <c r="AY396" s="41"/>
      <c r="AZ396" s="41"/>
      <c r="BA396" s="41"/>
      <c r="BB396" s="41"/>
      <c r="BC396" s="41"/>
      <c r="BD396" s="41"/>
      <c r="BE396" s="41"/>
      <c r="BF396" s="41"/>
      <c r="BG396" s="41"/>
      <c r="BH396" s="41"/>
      <c r="BI396" s="41"/>
      <c r="BJ396" s="41"/>
      <c r="BK396" s="41"/>
      <c r="BL396" s="41"/>
      <c r="BM396" s="41"/>
      <c r="BN396" s="41"/>
      <c r="BO396" s="41"/>
      <c r="BP396" s="41"/>
      <c r="BQ396" s="41"/>
      <c r="BR396" s="41"/>
      <c r="BS396" s="41"/>
      <c r="BT396" s="41"/>
      <c r="BU396" s="41"/>
      <c r="BV396" s="41"/>
      <c r="BW396" s="41"/>
      <c r="BX396" s="41"/>
      <c r="BY396" s="41"/>
      <c r="BZ396" s="41"/>
      <c r="CA396" s="41"/>
      <c r="CB396" s="41"/>
      <c r="CC396" s="41"/>
      <c r="CD396" s="41"/>
      <c r="CE396" s="41"/>
      <c r="CF396" s="41"/>
      <c r="CG396" s="41"/>
      <c r="CH396" s="41"/>
      <c r="CI396" s="41"/>
      <c r="CJ396" s="41"/>
      <c r="CK396" s="41"/>
      <c r="CL396" s="41"/>
      <c r="CM396" s="41"/>
      <c r="CN396" s="41"/>
      <c r="CO396" s="41"/>
      <c r="CP396" s="41"/>
      <c r="CQ396" s="41"/>
      <c r="CR396" s="41"/>
      <c r="CS396" s="41"/>
      <c r="CT396" s="41"/>
      <c r="CU396" s="41"/>
      <c r="CV396" s="41"/>
      <c r="CW396" s="41"/>
    </row>
    <row r="397" spans="1:101" ht="16.5" x14ac:dyDescent="0.35">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c r="AJ397" s="41"/>
      <c r="AK397" s="41"/>
      <c r="AL397" s="41"/>
      <c r="AM397" s="41"/>
      <c r="AN397" s="41"/>
      <c r="AO397" s="41"/>
      <c r="AP397" s="41"/>
      <c r="AQ397" s="41"/>
      <c r="AR397" s="41"/>
      <c r="AS397" s="41"/>
      <c r="AT397" s="41"/>
      <c r="AU397" s="41"/>
      <c r="AV397" s="41"/>
      <c r="AW397" s="41"/>
      <c r="AX397" s="41"/>
      <c r="AY397" s="41"/>
      <c r="AZ397" s="41"/>
      <c r="BA397" s="41"/>
      <c r="BB397" s="41"/>
      <c r="BC397" s="41"/>
      <c r="BD397" s="41"/>
      <c r="BE397" s="41"/>
      <c r="BF397" s="41"/>
      <c r="BG397" s="41"/>
      <c r="BH397" s="41"/>
      <c r="BI397" s="41"/>
      <c r="BJ397" s="41"/>
      <c r="BK397" s="41"/>
      <c r="BL397" s="41"/>
      <c r="BM397" s="41"/>
      <c r="BN397" s="41"/>
      <c r="BO397" s="41"/>
      <c r="BP397" s="41"/>
      <c r="BQ397" s="41"/>
      <c r="BR397" s="41"/>
      <c r="BS397" s="41"/>
      <c r="BT397" s="41"/>
      <c r="BU397" s="41"/>
      <c r="BV397" s="41"/>
      <c r="BW397" s="41"/>
      <c r="BX397" s="41"/>
      <c r="BY397" s="41"/>
      <c r="BZ397" s="41"/>
      <c r="CA397" s="41"/>
      <c r="CB397" s="41"/>
      <c r="CC397" s="41"/>
      <c r="CD397" s="41"/>
      <c r="CE397" s="41"/>
      <c r="CF397" s="41"/>
      <c r="CG397" s="41"/>
      <c r="CH397" s="41"/>
      <c r="CI397" s="41"/>
      <c r="CJ397" s="41"/>
      <c r="CK397" s="41"/>
      <c r="CL397" s="41"/>
      <c r="CM397" s="41"/>
      <c r="CN397" s="41"/>
      <c r="CO397" s="41"/>
      <c r="CP397" s="41"/>
      <c r="CQ397" s="41"/>
      <c r="CR397" s="41"/>
      <c r="CS397" s="41"/>
      <c r="CT397" s="41"/>
      <c r="CU397" s="41"/>
      <c r="CV397" s="41"/>
      <c r="CW397" s="41"/>
    </row>
    <row r="398" spans="1:101" ht="16.5" x14ac:dyDescent="0.35">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c r="AJ398" s="41"/>
      <c r="AK398" s="41"/>
      <c r="AL398" s="41"/>
      <c r="AM398" s="41"/>
      <c r="AN398" s="41"/>
      <c r="AO398" s="41"/>
      <c r="AP398" s="41"/>
      <c r="AQ398" s="41"/>
      <c r="AR398" s="41"/>
      <c r="AS398" s="41"/>
      <c r="AT398" s="41"/>
      <c r="AU398" s="41"/>
      <c r="AV398" s="41"/>
      <c r="AW398" s="41"/>
      <c r="AX398" s="41"/>
      <c r="AY398" s="41"/>
      <c r="AZ398" s="41"/>
      <c r="BA398" s="41"/>
      <c r="BB398" s="41"/>
      <c r="BC398" s="41"/>
      <c r="BD398" s="41"/>
      <c r="BE398" s="41"/>
      <c r="BF398" s="41"/>
      <c r="BG398" s="41"/>
      <c r="BH398" s="41"/>
      <c r="BI398" s="41"/>
      <c r="BJ398" s="41"/>
      <c r="BK398" s="41"/>
      <c r="BL398" s="41"/>
      <c r="BM398" s="41"/>
      <c r="BN398" s="41"/>
      <c r="BO398" s="41"/>
      <c r="BP398" s="41"/>
      <c r="BQ398" s="41"/>
      <c r="BR398" s="41"/>
      <c r="BS398" s="41"/>
      <c r="BT398" s="41"/>
      <c r="BU398" s="41"/>
      <c r="BV398" s="41"/>
      <c r="BW398" s="41"/>
      <c r="BX398" s="41"/>
      <c r="BY398" s="41"/>
      <c r="BZ398" s="41"/>
      <c r="CA398" s="41"/>
      <c r="CB398" s="41"/>
      <c r="CC398" s="41"/>
      <c r="CD398" s="41"/>
      <c r="CE398" s="41"/>
      <c r="CF398" s="41"/>
      <c r="CG398" s="41"/>
      <c r="CH398" s="41"/>
      <c r="CI398" s="41"/>
      <c r="CJ398" s="41"/>
      <c r="CK398" s="41"/>
      <c r="CL398" s="41"/>
      <c r="CM398" s="41"/>
      <c r="CN398" s="41"/>
      <c r="CO398" s="41"/>
      <c r="CP398" s="41"/>
      <c r="CQ398" s="41"/>
      <c r="CR398" s="41"/>
      <c r="CS398" s="41"/>
      <c r="CT398" s="41"/>
      <c r="CU398" s="41"/>
      <c r="CV398" s="41"/>
      <c r="CW398" s="41"/>
    </row>
    <row r="399" spans="1:101" ht="16.5" x14ac:dyDescent="0.35">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c r="AJ399" s="41"/>
      <c r="AK399" s="41"/>
      <c r="AL399" s="41"/>
      <c r="AM399" s="41"/>
      <c r="AN399" s="41"/>
      <c r="AO399" s="41"/>
      <c r="AP399" s="41"/>
      <c r="AQ399" s="41"/>
      <c r="AR399" s="41"/>
      <c r="AS399" s="41"/>
      <c r="AT399" s="41"/>
      <c r="AU399" s="41"/>
      <c r="AV399" s="41"/>
      <c r="AW399" s="41"/>
      <c r="AX399" s="41"/>
      <c r="AY399" s="41"/>
      <c r="AZ399" s="41"/>
      <c r="BA399" s="41"/>
      <c r="BB399" s="41"/>
      <c r="BC399" s="41"/>
      <c r="BD399" s="41"/>
      <c r="BE399" s="41"/>
      <c r="BF399" s="41"/>
      <c r="BG399" s="41"/>
      <c r="BH399" s="41"/>
      <c r="BI399" s="41"/>
      <c r="BJ399" s="41"/>
      <c r="BK399" s="41"/>
      <c r="BL399" s="41"/>
      <c r="BM399" s="41"/>
      <c r="BN399" s="41"/>
      <c r="BO399" s="41"/>
      <c r="BP399" s="41"/>
      <c r="BQ399" s="41"/>
      <c r="BR399" s="41"/>
      <c r="BS399" s="41"/>
      <c r="BT399" s="41"/>
      <c r="BU399" s="41"/>
      <c r="BV399" s="41"/>
      <c r="BW399" s="41"/>
      <c r="BX399" s="41"/>
      <c r="BY399" s="41"/>
      <c r="BZ399" s="41"/>
      <c r="CA399" s="41"/>
      <c r="CB399" s="41"/>
      <c r="CC399" s="41"/>
      <c r="CD399" s="41"/>
      <c r="CE399" s="41"/>
      <c r="CF399" s="41"/>
      <c r="CG399" s="41"/>
      <c r="CH399" s="41"/>
      <c r="CI399" s="41"/>
      <c r="CJ399" s="41"/>
      <c r="CK399" s="41"/>
      <c r="CL399" s="41"/>
      <c r="CM399" s="41"/>
      <c r="CN399" s="41"/>
      <c r="CO399" s="41"/>
      <c r="CP399" s="41"/>
      <c r="CQ399" s="41"/>
      <c r="CR399" s="41"/>
      <c r="CS399" s="41"/>
      <c r="CT399" s="41"/>
      <c r="CU399" s="41"/>
      <c r="CV399" s="41"/>
      <c r="CW399" s="41"/>
    </row>
    <row r="400" spans="1:101" ht="16.5" x14ac:dyDescent="0.35">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c r="AJ400" s="41"/>
      <c r="AK400" s="41"/>
      <c r="AL400" s="41"/>
      <c r="AM400" s="41"/>
      <c r="AN400" s="41"/>
      <c r="AO400" s="41"/>
      <c r="AP400" s="41"/>
      <c r="AQ400" s="41"/>
      <c r="AR400" s="41"/>
      <c r="AS400" s="41"/>
      <c r="AT400" s="41"/>
      <c r="AU400" s="41"/>
      <c r="AV400" s="41"/>
      <c r="AW400" s="41"/>
      <c r="AX400" s="41"/>
      <c r="AY400" s="41"/>
      <c r="AZ400" s="41"/>
      <c r="BA400" s="41"/>
      <c r="BB400" s="41"/>
      <c r="BC400" s="41"/>
      <c r="BD400" s="41"/>
      <c r="BE400" s="41"/>
      <c r="BF400" s="41"/>
      <c r="BG400" s="41"/>
      <c r="BH400" s="41"/>
      <c r="BI400" s="41"/>
      <c r="BJ400" s="41"/>
      <c r="BK400" s="41"/>
      <c r="BL400" s="41"/>
      <c r="BM400" s="41"/>
      <c r="BN400" s="41"/>
      <c r="BO400" s="41"/>
      <c r="BP400" s="41"/>
      <c r="BQ400" s="41"/>
      <c r="BR400" s="41"/>
      <c r="BS400" s="41"/>
      <c r="BT400" s="41"/>
      <c r="BU400" s="41"/>
      <c r="BV400" s="41"/>
      <c r="BW400" s="41"/>
      <c r="BX400" s="41"/>
      <c r="BY400" s="41"/>
      <c r="BZ400" s="41"/>
      <c r="CA400" s="41"/>
      <c r="CB400" s="41"/>
      <c r="CC400" s="41"/>
      <c r="CD400" s="41"/>
      <c r="CE400" s="41"/>
      <c r="CF400" s="41"/>
      <c r="CG400" s="41"/>
      <c r="CH400" s="41"/>
      <c r="CI400" s="41"/>
      <c r="CJ400" s="41"/>
      <c r="CK400" s="41"/>
      <c r="CL400" s="41"/>
      <c r="CM400" s="41"/>
      <c r="CN400" s="41"/>
      <c r="CO400" s="41"/>
      <c r="CP400" s="41"/>
      <c r="CQ400" s="41"/>
      <c r="CR400" s="41"/>
      <c r="CS400" s="41"/>
      <c r="CT400" s="41"/>
      <c r="CU400" s="41"/>
      <c r="CV400" s="41"/>
      <c r="CW400" s="41"/>
    </row>
    <row r="401" spans="1:101" ht="16.5" x14ac:dyDescent="0.35">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41"/>
      <c r="AW401" s="41"/>
      <c r="AX401" s="41"/>
      <c r="AY401" s="41"/>
      <c r="AZ401" s="41"/>
      <c r="BA401" s="41"/>
      <c r="BB401" s="41"/>
      <c r="BC401" s="41"/>
      <c r="BD401" s="41"/>
      <c r="BE401" s="41"/>
      <c r="BF401" s="41"/>
      <c r="BG401" s="41"/>
      <c r="BH401" s="41"/>
      <c r="BI401" s="41"/>
      <c r="BJ401" s="41"/>
      <c r="BK401" s="41"/>
      <c r="BL401" s="41"/>
      <c r="BM401" s="41"/>
      <c r="BN401" s="41"/>
      <c r="BO401" s="41"/>
      <c r="BP401" s="41"/>
      <c r="BQ401" s="41"/>
      <c r="BR401" s="41"/>
      <c r="BS401" s="41"/>
      <c r="BT401" s="41"/>
      <c r="BU401" s="41"/>
      <c r="BV401" s="41"/>
      <c r="BW401" s="41"/>
      <c r="BX401" s="41"/>
      <c r="BY401" s="41"/>
      <c r="BZ401" s="41"/>
      <c r="CA401" s="41"/>
      <c r="CB401" s="41"/>
      <c r="CC401" s="41"/>
      <c r="CD401" s="41"/>
      <c r="CE401" s="41"/>
      <c r="CF401" s="41"/>
      <c r="CG401" s="41"/>
      <c r="CH401" s="41"/>
      <c r="CI401" s="41"/>
      <c r="CJ401" s="41"/>
      <c r="CK401" s="41"/>
      <c r="CL401" s="41"/>
      <c r="CM401" s="41"/>
      <c r="CN401" s="41"/>
      <c r="CO401" s="41"/>
      <c r="CP401" s="41"/>
      <c r="CQ401" s="41"/>
      <c r="CR401" s="41"/>
      <c r="CS401" s="41"/>
      <c r="CT401" s="41"/>
      <c r="CU401" s="41"/>
      <c r="CV401" s="41"/>
      <c r="CW401" s="41"/>
    </row>
    <row r="402" spans="1:101" ht="16.5" x14ac:dyDescent="0.35">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41"/>
      <c r="AW402" s="41"/>
      <c r="AX402" s="41"/>
      <c r="AY402" s="41"/>
      <c r="AZ402" s="41"/>
      <c r="BA402" s="41"/>
      <c r="BB402" s="41"/>
      <c r="BC402" s="41"/>
      <c r="BD402" s="41"/>
      <c r="BE402" s="41"/>
      <c r="BF402" s="41"/>
      <c r="BG402" s="41"/>
      <c r="BH402" s="41"/>
      <c r="BI402" s="41"/>
      <c r="BJ402" s="41"/>
      <c r="BK402" s="41"/>
      <c r="BL402" s="41"/>
      <c r="BM402" s="41"/>
      <c r="BN402" s="41"/>
      <c r="BO402" s="41"/>
      <c r="BP402" s="41"/>
      <c r="BQ402" s="41"/>
      <c r="BR402" s="41"/>
      <c r="BS402" s="41"/>
      <c r="BT402" s="41"/>
      <c r="BU402" s="41"/>
      <c r="BV402" s="41"/>
      <c r="BW402" s="41"/>
      <c r="BX402" s="41"/>
      <c r="BY402" s="41"/>
      <c r="BZ402" s="41"/>
      <c r="CA402" s="41"/>
      <c r="CB402" s="41"/>
      <c r="CC402" s="41"/>
      <c r="CD402" s="41"/>
      <c r="CE402" s="41"/>
      <c r="CF402" s="41"/>
      <c r="CG402" s="41"/>
      <c r="CH402" s="41"/>
      <c r="CI402" s="41"/>
      <c r="CJ402" s="41"/>
      <c r="CK402" s="41"/>
      <c r="CL402" s="41"/>
      <c r="CM402" s="41"/>
      <c r="CN402" s="41"/>
      <c r="CO402" s="41"/>
      <c r="CP402" s="41"/>
      <c r="CQ402" s="41"/>
      <c r="CR402" s="41"/>
      <c r="CS402" s="41"/>
      <c r="CT402" s="41"/>
      <c r="CU402" s="41"/>
      <c r="CV402" s="41"/>
      <c r="CW402" s="41"/>
    </row>
    <row r="403" spans="1:101" ht="16.5" x14ac:dyDescent="0.35">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41"/>
      <c r="AW403" s="41"/>
      <c r="AX403" s="41"/>
      <c r="AY403" s="41"/>
      <c r="AZ403" s="41"/>
      <c r="BA403" s="41"/>
      <c r="BB403" s="41"/>
      <c r="BC403" s="41"/>
      <c r="BD403" s="41"/>
      <c r="BE403" s="41"/>
      <c r="BF403" s="41"/>
      <c r="BG403" s="41"/>
      <c r="BH403" s="41"/>
      <c r="BI403" s="41"/>
      <c r="BJ403" s="41"/>
      <c r="BK403" s="41"/>
      <c r="BL403" s="41"/>
      <c r="BM403" s="41"/>
      <c r="BN403" s="41"/>
      <c r="BO403" s="41"/>
      <c r="BP403" s="41"/>
      <c r="BQ403" s="41"/>
      <c r="BR403" s="41"/>
      <c r="BS403" s="41"/>
      <c r="BT403" s="41"/>
      <c r="BU403" s="41"/>
      <c r="BV403" s="41"/>
      <c r="BW403" s="41"/>
      <c r="BX403" s="41"/>
      <c r="BY403" s="41"/>
      <c r="BZ403" s="41"/>
      <c r="CA403" s="41"/>
      <c r="CB403" s="41"/>
      <c r="CC403" s="41"/>
      <c r="CD403" s="41"/>
      <c r="CE403" s="41"/>
      <c r="CF403" s="41"/>
      <c r="CG403" s="41"/>
      <c r="CH403" s="41"/>
      <c r="CI403" s="41"/>
      <c r="CJ403" s="41"/>
      <c r="CK403" s="41"/>
      <c r="CL403" s="41"/>
      <c r="CM403" s="41"/>
      <c r="CN403" s="41"/>
      <c r="CO403" s="41"/>
      <c r="CP403" s="41"/>
      <c r="CQ403" s="41"/>
      <c r="CR403" s="41"/>
      <c r="CS403" s="41"/>
      <c r="CT403" s="41"/>
      <c r="CU403" s="41"/>
      <c r="CV403" s="41"/>
      <c r="CW403" s="41"/>
    </row>
    <row r="404" spans="1:101" ht="16.5" x14ac:dyDescent="0.35">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41"/>
      <c r="AW404" s="41"/>
      <c r="AX404" s="41"/>
      <c r="AY404" s="41"/>
      <c r="AZ404" s="41"/>
      <c r="BA404" s="41"/>
      <c r="BB404" s="41"/>
      <c r="BC404" s="41"/>
      <c r="BD404" s="41"/>
      <c r="BE404" s="41"/>
      <c r="BF404" s="41"/>
      <c r="BG404" s="41"/>
      <c r="BH404" s="41"/>
      <c r="BI404" s="41"/>
      <c r="BJ404" s="41"/>
      <c r="BK404" s="41"/>
      <c r="BL404" s="41"/>
      <c r="BM404" s="41"/>
      <c r="BN404" s="41"/>
      <c r="BO404" s="41"/>
      <c r="BP404" s="41"/>
      <c r="BQ404" s="41"/>
      <c r="BR404" s="41"/>
      <c r="BS404" s="41"/>
      <c r="BT404" s="41"/>
      <c r="BU404" s="41"/>
      <c r="BV404" s="41"/>
      <c r="BW404" s="41"/>
      <c r="BX404" s="41"/>
      <c r="BY404" s="41"/>
      <c r="BZ404" s="41"/>
      <c r="CA404" s="41"/>
      <c r="CB404" s="41"/>
      <c r="CC404" s="41"/>
      <c r="CD404" s="41"/>
      <c r="CE404" s="41"/>
      <c r="CF404" s="41"/>
      <c r="CG404" s="41"/>
      <c r="CH404" s="41"/>
      <c r="CI404" s="41"/>
      <c r="CJ404" s="41"/>
      <c r="CK404" s="41"/>
      <c r="CL404" s="41"/>
      <c r="CM404" s="41"/>
      <c r="CN404" s="41"/>
      <c r="CO404" s="41"/>
      <c r="CP404" s="41"/>
      <c r="CQ404" s="41"/>
      <c r="CR404" s="41"/>
      <c r="CS404" s="41"/>
      <c r="CT404" s="41"/>
      <c r="CU404" s="41"/>
      <c r="CV404" s="41"/>
      <c r="CW404" s="41"/>
    </row>
    <row r="405" spans="1:101" ht="16.5" x14ac:dyDescent="0.35">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c r="AP405" s="41"/>
      <c r="AQ405" s="41"/>
      <c r="AR405" s="41"/>
      <c r="AS405" s="41"/>
      <c r="AT405" s="41"/>
      <c r="AU405" s="41"/>
      <c r="AV405" s="41"/>
      <c r="AW405" s="41"/>
      <c r="AX405" s="41"/>
      <c r="AY405" s="41"/>
      <c r="AZ405" s="41"/>
      <c r="BA405" s="41"/>
      <c r="BB405" s="41"/>
      <c r="BC405" s="41"/>
      <c r="BD405" s="41"/>
      <c r="BE405" s="41"/>
      <c r="BF405" s="41"/>
      <c r="BG405" s="41"/>
      <c r="BH405" s="41"/>
      <c r="BI405" s="41"/>
      <c r="BJ405" s="41"/>
      <c r="BK405" s="41"/>
      <c r="BL405" s="41"/>
      <c r="BM405" s="41"/>
      <c r="BN405" s="41"/>
      <c r="BO405" s="41"/>
      <c r="BP405" s="41"/>
      <c r="BQ405" s="41"/>
      <c r="BR405" s="41"/>
      <c r="BS405" s="41"/>
      <c r="BT405" s="41"/>
      <c r="BU405" s="41"/>
      <c r="BV405" s="41"/>
      <c r="BW405" s="41"/>
      <c r="BX405" s="41"/>
      <c r="BY405" s="41"/>
      <c r="BZ405" s="41"/>
      <c r="CA405" s="41"/>
      <c r="CB405" s="41"/>
      <c r="CC405" s="41"/>
      <c r="CD405" s="41"/>
      <c r="CE405" s="41"/>
      <c r="CF405" s="41"/>
      <c r="CG405" s="41"/>
      <c r="CH405" s="41"/>
      <c r="CI405" s="41"/>
      <c r="CJ405" s="41"/>
      <c r="CK405" s="41"/>
      <c r="CL405" s="41"/>
      <c r="CM405" s="41"/>
      <c r="CN405" s="41"/>
      <c r="CO405" s="41"/>
      <c r="CP405" s="41"/>
      <c r="CQ405" s="41"/>
      <c r="CR405" s="41"/>
      <c r="CS405" s="41"/>
      <c r="CT405" s="41"/>
      <c r="CU405" s="41"/>
      <c r="CV405" s="41"/>
      <c r="CW405" s="41"/>
    </row>
    <row r="406" spans="1:101" ht="16.5" x14ac:dyDescent="0.35">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c r="AP406" s="41"/>
      <c r="AQ406" s="41"/>
      <c r="AR406" s="41"/>
      <c r="AS406" s="41"/>
      <c r="AT406" s="41"/>
      <c r="AU406" s="41"/>
      <c r="AV406" s="41"/>
      <c r="AW406" s="41"/>
      <c r="AX406" s="41"/>
      <c r="AY406" s="41"/>
      <c r="AZ406" s="41"/>
      <c r="BA406" s="41"/>
      <c r="BB406" s="41"/>
      <c r="BC406" s="41"/>
      <c r="BD406" s="41"/>
      <c r="BE406" s="41"/>
      <c r="BF406" s="41"/>
      <c r="BG406" s="41"/>
      <c r="BH406" s="41"/>
      <c r="BI406" s="41"/>
      <c r="BJ406" s="41"/>
      <c r="BK406" s="41"/>
      <c r="BL406" s="41"/>
      <c r="BM406" s="41"/>
      <c r="BN406" s="41"/>
      <c r="BO406" s="41"/>
      <c r="BP406" s="41"/>
      <c r="BQ406" s="41"/>
      <c r="BR406" s="41"/>
      <c r="BS406" s="41"/>
      <c r="BT406" s="41"/>
      <c r="BU406" s="41"/>
      <c r="BV406" s="41"/>
      <c r="BW406" s="41"/>
      <c r="BX406" s="41"/>
      <c r="BY406" s="41"/>
      <c r="BZ406" s="41"/>
      <c r="CA406" s="41"/>
      <c r="CB406" s="41"/>
      <c r="CC406" s="41"/>
      <c r="CD406" s="41"/>
      <c r="CE406" s="41"/>
      <c r="CF406" s="41"/>
      <c r="CG406" s="41"/>
      <c r="CH406" s="41"/>
      <c r="CI406" s="41"/>
      <c r="CJ406" s="41"/>
      <c r="CK406" s="41"/>
      <c r="CL406" s="41"/>
      <c r="CM406" s="41"/>
      <c r="CN406" s="41"/>
      <c r="CO406" s="41"/>
      <c r="CP406" s="41"/>
      <c r="CQ406" s="41"/>
      <c r="CR406" s="41"/>
      <c r="CS406" s="41"/>
      <c r="CT406" s="41"/>
      <c r="CU406" s="41"/>
      <c r="CV406" s="41"/>
      <c r="CW406" s="41"/>
    </row>
    <row r="407" spans="1:101" ht="16.5" x14ac:dyDescent="0.35">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c r="AJ407" s="41"/>
      <c r="AK407" s="41"/>
      <c r="AL407" s="41"/>
      <c r="AM407" s="41"/>
      <c r="AN407" s="41"/>
      <c r="AO407" s="41"/>
      <c r="AP407" s="41"/>
      <c r="AQ407" s="41"/>
      <c r="AR407" s="41"/>
      <c r="AS407" s="41"/>
      <c r="AT407" s="41"/>
      <c r="AU407" s="41"/>
      <c r="AV407" s="41"/>
      <c r="AW407" s="41"/>
      <c r="AX407" s="41"/>
      <c r="AY407" s="41"/>
      <c r="AZ407" s="41"/>
      <c r="BA407" s="41"/>
      <c r="BB407" s="41"/>
      <c r="BC407" s="41"/>
      <c r="BD407" s="41"/>
      <c r="BE407" s="41"/>
      <c r="BF407" s="41"/>
      <c r="BG407" s="41"/>
      <c r="BH407" s="41"/>
      <c r="BI407" s="41"/>
      <c r="BJ407" s="41"/>
      <c r="BK407" s="41"/>
      <c r="BL407" s="41"/>
      <c r="BM407" s="41"/>
      <c r="BN407" s="41"/>
      <c r="BO407" s="41"/>
      <c r="BP407" s="41"/>
      <c r="BQ407" s="41"/>
      <c r="BR407" s="41"/>
      <c r="BS407" s="41"/>
      <c r="BT407" s="41"/>
      <c r="BU407" s="41"/>
      <c r="BV407" s="41"/>
      <c r="BW407" s="41"/>
      <c r="BX407" s="41"/>
      <c r="BY407" s="41"/>
      <c r="BZ407" s="41"/>
      <c r="CA407" s="41"/>
      <c r="CB407" s="41"/>
      <c r="CC407" s="41"/>
      <c r="CD407" s="41"/>
      <c r="CE407" s="41"/>
      <c r="CF407" s="41"/>
      <c r="CG407" s="41"/>
      <c r="CH407" s="41"/>
      <c r="CI407" s="41"/>
      <c r="CJ407" s="41"/>
      <c r="CK407" s="41"/>
      <c r="CL407" s="41"/>
      <c r="CM407" s="41"/>
      <c r="CN407" s="41"/>
      <c r="CO407" s="41"/>
      <c r="CP407" s="41"/>
      <c r="CQ407" s="41"/>
      <c r="CR407" s="41"/>
      <c r="CS407" s="41"/>
      <c r="CT407" s="41"/>
      <c r="CU407" s="41"/>
      <c r="CV407" s="41"/>
      <c r="CW407" s="41"/>
    </row>
    <row r="408" spans="1:101" ht="16.5" x14ac:dyDescent="0.35">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c r="AJ408" s="41"/>
      <c r="AK408" s="41"/>
      <c r="AL408" s="41"/>
      <c r="AM408" s="41"/>
      <c r="AN408" s="41"/>
      <c r="AO408" s="41"/>
      <c r="AP408" s="41"/>
      <c r="AQ408" s="41"/>
      <c r="AR408" s="41"/>
      <c r="AS408" s="41"/>
      <c r="AT408" s="41"/>
      <c r="AU408" s="41"/>
      <c r="AV408" s="41"/>
      <c r="AW408" s="41"/>
      <c r="AX408" s="41"/>
      <c r="AY408" s="41"/>
      <c r="AZ408" s="41"/>
      <c r="BA408" s="41"/>
      <c r="BB408" s="41"/>
      <c r="BC408" s="41"/>
      <c r="BD408" s="41"/>
      <c r="BE408" s="41"/>
      <c r="BF408" s="41"/>
      <c r="BG408" s="41"/>
      <c r="BH408" s="41"/>
      <c r="BI408" s="41"/>
      <c r="BJ408" s="41"/>
      <c r="BK408" s="41"/>
      <c r="BL408" s="41"/>
      <c r="BM408" s="41"/>
      <c r="BN408" s="41"/>
      <c r="BO408" s="41"/>
      <c r="BP408" s="41"/>
      <c r="BQ408" s="41"/>
      <c r="BR408" s="41"/>
      <c r="BS408" s="41"/>
      <c r="BT408" s="41"/>
      <c r="BU408" s="41"/>
      <c r="BV408" s="41"/>
      <c r="BW408" s="41"/>
      <c r="BX408" s="41"/>
      <c r="BY408" s="41"/>
      <c r="BZ408" s="41"/>
      <c r="CA408" s="41"/>
      <c r="CB408" s="41"/>
      <c r="CC408" s="41"/>
      <c r="CD408" s="41"/>
      <c r="CE408" s="41"/>
      <c r="CF408" s="41"/>
      <c r="CG408" s="41"/>
      <c r="CH408" s="41"/>
      <c r="CI408" s="41"/>
      <c r="CJ408" s="41"/>
      <c r="CK408" s="41"/>
      <c r="CL408" s="41"/>
      <c r="CM408" s="41"/>
      <c r="CN408" s="41"/>
      <c r="CO408" s="41"/>
      <c r="CP408" s="41"/>
      <c r="CQ408" s="41"/>
      <c r="CR408" s="41"/>
      <c r="CS408" s="41"/>
      <c r="CT408" s="41"/>
      <c r="CU408" s="41"/>
      <c r="CV408" s="41"/>
      <c r="CW408" s="41"/>
    </row>
    <row r="409" spans="1:101" ht="16.5" x14ac:dyDescent="0.35">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c r="AJ409" s="41"/>
      <c r="AK409" s="41"/>
      <c r="AL409" s="41"/>
      <c r="AM409" s="41"/>
      <c r="AN409" s="41"/>
      <c r="AO409" s="41"/>
      <c r="AP409" s="41"/>
      <c r="AQ409" s="41"/>
      <c r="AR409" s="41"/>
      <c r="AS409" s="41"/>
      <c r="AT409" s="41"/>
      <c r="AU409" s="41"/>
      <c r="AV409" s="41"/>
      <c r="AW409" s="41"/>
      <c r="AX409" s="41"/>
      <c r="AY409" s="41"/>
      <c r="AZ409" s="41"/>
      <c r="BA409" s="41"/>
      <c r="BB409" s="41"/>
      <c r="BC409" s="41"/>
      <c r="BD409" s="41"/>
      <c r="BE409" s="41"/>
      <c r="BF409" s="41"/>
      <c r="BG409" s="41"/>
      <c r="BH409" s="41"/>
      <c r="BI409" s="41"/>
      <c r="BJ409" s="41"/>
      <c r="BK409" s="41"/>
      <c r="BL409" s="41"/>
      <c r="BM409" s="41"/>
      <c r="BN409" s="41"/>
      <c r="BO409" s="41"/>
      <c r="BP409" s="41"/>
      <c r="BQ409" s="41"/>
      <c r="BR409" s="41"/>
      <c r="BS409" s="41"/>
      <c r="BT409" s="41"/>
      <c r="BU409" s="41"/>
      <c r="BV409" s="41"/>
      <c r="BW409" s="41"/>
      <c r="BX409" s="41"/>
      <c r="BY409" s="41"/>
      <c r="BZ409" s="41"/>
      <c r="CA409" s="41"/>
      <c r="CB409" s="41"/>
      <c r="CC409" s="41"/>
      <c r="CD409" s="41"/>
      <c r="CE409" s="41"/>
      <c r="CF409" s="41"/>
      <c r="CG409" s="41"/>
      <c r="CH409" s="41"/>
      <c r="CI409" s="41"/>
      <c r="CJ409" s="41"/>
      <c r="CK409" s="41"/>
      <c r="CL409" s="41"/>
      <c r="CM409" s="41"/>
      <c r="CN409" s="41"/>
      <c r="CO409" s="41"/>
      <c r="CP409" s="41"/>
      <c r="CQ409" s="41"/>
      <c r="CR409" s="41"/>
      <c r="CS409" s="41"/>
      <c r="CT409" s="41"/>
      <c r="CU409" s="41"/>
      <c r="CV409" s="41"/>
      <c r="CW409" s="41"/>
    </row>
    <row r="410" spans="1:101" ht="16.5" x14ac:dyDescent="0.35">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c r="AJ410" s="41"/>
      <c r="AK410" s="41"/>
      <c r="AL410" s="41"/>
      <c r="AM410" s="41"/>
      <c r="AN410" s="41"/>
      <c r="AO410" s="41"/>
      <c r="AP410" s="41"/>
      <c r="AQ410" s="41"/>
      <c r="AR410" s="41"/>
      <c r="AS410" s="41"/>
      <c r="AT410" s="41"/>
      <c r="AU410" s="41"/>
      <c r="AV410" s="41"/>
      <c r="AW410" s="41"/>
      <c r="AX410" s="41"/>
      <c r="AY410" s="41"/>
      <c r="AZ410" s="41"/>
      <c r="BA410" s="41"/>
      <c r="BB410" s="41"/>
      <c r="BC410" s="41"/>
      <c r="BD410" s="41"/>
      <c r="BE410" s="41"/>
      <c r="BF410" s="41"/>
      <c r="BG410" s="41"/>
      <c r="BH410" s="41"/>
      <c r="BI410" s="41"/>
      <c r="BJ410" s="41"/>
      <c r="BK410" s="41"/>
      <c r="BL410" s="41"/>
      <c r="BM410" s="41"/>
      <c r="BN410" s="41"/>
      <c r="BO410" s="41"/>
      <c r="BP410" s="41"/>
      <c r="BQ410" s="41"/>
      <c r="BR410" s="41"/>
      <c r="BS410" s="41"/>
      <c r="BT410" s="41"/>
      <c r="BU410" s="41"/>
      <c r="BV410" s="41"/>
      <c r="BW410" s="41"/>
      <c r="BX410" s="41"/>
      <c r="BY410" s="41"/>
      <c r="BZ410" s="41"/>
      <c r="CA410" s="41"/>
      <c r="CB410" s="41"/>
      <c r="CC410" s="41"/>
      <c r="CD410" s="41"/>
      <c r="CE410" s="41"/>
      <c r="CF410" s="41"/>
      <c r="CG410" s="41"/>
      <c r="CH410" s="41"/>
      <c r="CI410" s="41"/>
      <c r="CJ410" s="41"/>
      <c r="CK410" s="41"/>
      <c r="CL410" s="41"/>
      <c r="CM410" s="41"/>
      <c r="CN410" s="41"/>
      <c r="CO410" s="41"/>
      <c r="CP410" s="41"/>
      <c r="CQ410" s="41"/>
      <c r="CR410" s="41"/>
      <c r="CS410" s="41"/>
      <c r="CT410" s="41"/>
      <c r="CU410" s="41"/>
      <c r="CV410" s="41"/>
      <c r="CW410" s="41"/>
    </row>
    <row r="411" spans="1:101" ht="16.5" x14ac:dyDescent="0.35">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c r="AJ411" s="41"/>
      <c r="AK411" s="41"/>
      <c r="AL411" s="41"/>
      <c r="AM411" s="41"/>
      <c r="AN411" s="41"/>
      <c r="AO411" s="41"/>
      <c r="AP411" s="41"/>
      <c r="AQ411" s="41"/>
      <c r="AR411" s="41"/>
      <c r="AS411" s="41"/>
      <c r="AT411" s="41"/>
      <c r="AU411" s="41"/>
      <c r="AV411" s="41"/>
      <c r="AW411" s="41"/>
      <c r="AX411" s="41"/>
      <c r="AY411" s="41"/>
      <c r="AZ411" s="41"/>
      <c r="BA411" s="41"/>
      <c r="BB411" s="41"/>
      <c r="BC411" s="41"/>
      <c r="BD411" s="41"/>
      <c r="BE411" s="41"/>
      <c r="BF411" s="41"/>
      <c r="BG411" s="41"/>
      <c r="BH411" s="41"/>
      <c r="BI411" s="41"/>
      <c r="BJ411" s="41"/>
      <c r="BK411" s="41"/>
      <c r="BL411" s="41"/>
      <c r="BM411" s="41"/>
      <c r="BN411" s="41"/>
      <c r="BO411" s="41"/>
      <c r="BP411" s="41"/>
      <c r="BQ411" s="41"/>
      <c r="BR411" s="41"/>
      <c r="BS411" s="41"/>
      <c r="BT411" s="41"/>
      <c r="BU411" s="41"/>
      <c r="BV411" s="41"/>
      <c r="BW411" s="41"/>
      <c r="BX411" s="41"/>
      <c r="BY411" s="41"/>
      <c r="BZ411" s="41"/>
      <c r="CA411" s="41"/>
      <c r="CB411" s="41"/>
      <c r="CC411" s="41"/>
      <c r="CD411" s="41"/>
      <c r="CE411" s="41"/>
      <c r="CF411" s="41"/>
      <c r="CG411" s="41"/>
      <c r="CH411" s="41"/>
      <c r="CI411" s="41"/>
      <c r="CJ411" s="41"/>
      <c r="CK411" s="41"/>
      <c r="CL411" s="41"/>
      <c r="CM411" s="41"/>
      <c r="CN411" s="41"/>
      <c r="CO411" s="41"/>
      <c r="CP411" s="41"/>
      <c r="CQ411" s="41"/>
      <c r="CR411" s="41"/>
      <c r="CS411" s="41"/>
      <c r="CT411" s="41"/>
      <c r="CU411" s="41"/>
      <c r="CV411" s="41"/>
      <c r="CW411" s="41"/>
    </row>
    <row r="412" spans="1:101" ht="16.5" x14ac:dyDescent="0.35">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c r="AP412" s="41"/>
      <c r="AQ412" s="41"/>
      <c r="AR412" s="41"/>
      <c r="AS412" s="41"/>
      <c r="AT412" s="41"/>
      <c r="AU412" s="41"/>
      <c r="AV412" s="41"/>
      <c r="AW412" s="41"/>
      <c r="AX412" s="41"/>
      <c r="AY412" s="41"/>
      <c r="AZ412" s="41"/>
      <c r="BA412" s="41"/>
      <c r="BB412" s="41"/>
      <c r="BC412" s="41"/>
      <c r="BD412" s="41"/>
      <c r="BE412" s="41"/>
      <c r="BF412" s="41"/>
      <c r="BG412" s="41"/>
      <c r="BH412" s="41"/>
      <c r="BI412" s="41"/>
      <c r="BJ412" s="41"/>
      <c r="BK412" s="41"/>
      <c r="BL412" s="41"/>
      <c r="BM412" s="41"/>
      <c r="BN412" s="41"/>
      <c r="BO412" s="41"/>
      <c r="BP412" s="41"/>
      <c r="BQ412" s="41"/>
      <c r="BR412" s="41"/>
      <c r="BS412" s="41"/>
      <c r="BT412" s="41"/>
      <c r="BU412" s="41"/>
      <c r="BV412" s="41"/>
      <c r="BW412" s="41"/>
      <c r="BX412" s="41"/>
      <c r="BY412" s="41"/>
      <c r="BZ412" s="41"/>
      <c r="CA412" s="41"/>
      <c r="CB412" s="41"/>
      <c r="CC412" s="41"/>
      <c r="CD412" s="41"/>
      <c r="CE412" s="41"/>
      <c r="CF412" s="41"/>
      <c r="CG412" s="41"/>
      <c r="CH412" s="41"/>
      <c r="CI412" s="41"/>
      <c r="CJ412" s="41"/>
      <c r="CK412" s="41"/>
      <c r="CL412" s="41"/>
      <c r="CM412" s="41"/>
      <c r="CN412" s="41"/>
      <c r="CO412" s="41"/>
      <c r="CP412" s="41"/>
      <c r="CQ412" s="41"/>
      <c r="CR412" s="41"/>
      <c r="CS412" s="41"/>
      <c r="CT412" s="41"/>
      <c r="CU412" s="41"/>
      <c r="CV412" s="41"/>
      <c r="CW412" s="41"/>
    </row>
    <row r="413" spans="1:101" ht="16.5" x14ac:dyDescent="0.35">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c r="AJ413" s="41"/>
      <c r="AK413" s="41"/>
      <c r="AL413" s="41"/>
      <c r="AM413" s="41"/>
      <c r="AN413" s="41"/>
      <c r="AO413" s="41"/>
      <c r="AP413" s="41"/>
      <c r="AQ413" s="41"/>
      <c r="AR413" s="41"/>
      <c r="AS413" s="41"/>
      <c r="AT413" s="41"/>
      <c r="AU413" s="41"/>
      <c r="AV413" s="41"/>
      <c r="AW413" s="41"/>
      <c r="AX413" s="41"/>
      <c r="AY413" s="41"/>
      <c r="AZ413" s="41"/>
      <c r="BA413" s="41"/>
      <c r="BB413" s="41"/>
      <c r="BC413" s="41"/>
      <c r="BD413" s="41"/>
      <c r="BE413" s="41"/>
      <c r="BF413" s="41"/>
      <c r="BG413" s="41"/>
      <c r="BH413" s="41"/>
      <c r="BI413" s="41"/>
      <c r="BJ413" s="41"/>
      <c r="BK413" s="41"/>
      <c r="BL413" s="41"/>
      <c r="BM413" s="41"/>
      <c r="BN413" s="41"/>
      <c r="BO413" s="41"/>
      <c r="BP413" s="41"/>
      <c r="BQ413" s="41"/>
      <c r="BR413" s="41"/>
      <c r="BS413" s="41"/>
      <c r="BT413" s="41"/>
      <c r="BU413" s="41"/>
      <c r="BV413" s="41"/>
      <c r="BW413" s="41"/>
      <c r="BX413" s="41"/>
      <c r="BY413" s="41"/>
      <c r="BZ413" s="41"/>
      <c r="CA413" s="41"/>
      <c r="CB413" s="41"/>
      <c r="CC413" s="41"/>
      <c r="CD413" s="41"/>
      <c r="CE413" s="41"/>
      <c r="CF413" s="41"/>
      <c r="CG413" s="41"/>
      <c r="CH413" s="41"/>
      <c r="CI413" s="41"/>
      <c r="CJ413" s="41"/>
      <c r="CK413" s="41"/>
      <c r="CL413" s="41"/>
      <c r="CM413" s="41"/>
      <c r="CN413" s="41"/>
      <c r="CO413" s="41"/>
      <c r="CP413" s="41"/>
      <c r="CQ413" s="41"/>
      <c r="CR413" s="41"/>
      <c r="CS413" s="41"/>
      <c r="CT413" s="41"/>
      <c r="CU413" s="41"/>
      <c r="CV413" s="41"/>
      <c r="CW413" s="41"/>
    </row>
    <row r="414" spans="1:101" ht="16.5" x14ac:dyDescent="0.35">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c r="AJ414" s="41"/>
      <c r="AK414" s="41"/>
      <c r="AL414" s="41"/>
      <c r="AM414" s="41"/>
      <c r="AN414" s="41"/>
      <c r="AO414" s="41"/>
      <c r="AP414" s="41"/>
      <c r="AQ414" s="41"/>
      <c r="AR414" s="41"/>
      <c r="AS414" s="41"/>
      <c r="AT414" s="41"/>
      <c r="AU414" s="41"/>
      <c r="AV414" s="41"/>
      <c r="AW414" s="41"/>
      <c r="AX414" s="41"/>
      <c r="AY414" s="41"/>
      <c r="AZ414" s="41"/>
      <c r="BA414" s="41"/>
      <c r="BB414" s="41"/>
      <c r="BC414" s="41"/>
      <c r="BD414" s="41"/>
      <c r="BE414" s="41"/>
      <c r="BF414" s="41"/>
      <c r="BG414" s="41"/>
      <c r="BH414" s="41"/>
      <c r="BI414" s="41"/>
      <c r="BJ414" s="41"/>
      <c r="BK414" s="41"/>
      <c r="BL414" s="41"/>
      <c r="BM414" s="41"/>
      <c r="BN414" s="41"/>
      <c r="BO414" s="41"/>
      <c r="BP414" s="41"/>
      <c r="BQ414" s="41"/>
      <c r="BR414" s="41"/>
      <c r="BS414" s="41"/>
      <c r="BT414" s="41"/>
      <c r="BU414" s="41"/>
      <c r="BV414" s="41"/>
      <c r="BW414" s="41"/>
      <c r="BX414" s="41"/>
      <c r="BY414" s="41"/>
      <c r="BZ414" s="41"/>
      <c r="CA414" s="41"/>
      <c r="CB414" s="41"/>
      <c r="CC414" s="41"/>
      <c r="CD414" s="41"/>
      <c r="CE414" s="41"/>
      <c r="CF414" s="41"/>
      <c r="CG414" s="41"/>
      <c r="CH414" s="41"/>
      <c r="CI414" s="41"/>
      <c r="CJ414" s="41"/>
      <c r="CK414" s="41"/>
      <c r="CL414" s="41"/>
      <c r="CM414" s="41"/>
      <c r="CN414" s="41"/>
      <c r="CO414" s="41"/>
      <c r="CP414" s="41"/>
      <c r="CQ414" s="41"/>
      <c r="CR414" s="41"/>
      <c r="CS414" s="41"/>
      <c r="CT414" s="41"/>
      <c r="CU414" s="41"/>
      <c r="CV414" s="41"/>
      <c r="CW414" s="41"/>
    </row>
    <row r="415" spans="1:101" ht="16.5" x14ac:dyDescent="0.35">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c r="AJ415" s="41"/>
      <c r="AK415" s="41"/>
      <c r="AL415" s="41"/>
      <c r="AM415" s="41"/>
      <c r="AN415" s="41"/>
      <c r="AO415" s="41"/>
      <c r="AP415" s="41"/>
      <c r="AQ415" s="41"/>
      <c r="AR415" s="41"/>
      <c r="AS415" s="41"/>
      <c r="AT415" s="41"/>
      <c r="AU415" s="41"/>
      <c r="AV415" s="41"/>
      <c r="AW415" s="41"/>
      <c r="AX415" s="41"/>
      <c r="AY415" s="41"/>
      <c r="AZ415" s="41"/>
      <c r="BA415" s="41"/>
      <c r="BB415" s="41"/>
      <c r="BC415" s="41"/>
      <c r="BD415" s="41"/>
      <c r="BE415" s="41"/>
      <c r="BF415" s="41"/>
      <c r="BG415" s="41"/>
      <c r="BH415" s="41"/>
      <c r="BI415" s="41"/>
      <c r="BJ415" s="41"/>
      <c r="BK415" s="41"/>
      <c r="BL415" s="41"/>
      <c r="BM415" s="41"/>
      <c r="BN415" s="41"/>
      <c r="BO415" s="41"/>
      <c r="BP415" s="41"/>
      <c r="BQ415" s="41"/>
      <c r="BR415" s="41"/>
      <c r="BS415" s="41"/>
      <c r="BT415" s="41"/>
      <c r="BU415" s="41"/>
      <c r="BV415" s="41"/>
      <c r="BW415" s="41"/>
      <c r="BX415" s="41"/>
      <c r="BY415" s="41"/>
      <c r="BZ415" s="41"/>
      <c r="CA415" s="41"/>
      <c r="CB415" s="41"/>
      <c r="CC415" s="41"/>
      <c r="CD415" s="41"/>
      <c r="CE415" s="41"/>
      <c r="CF415" s="41"/>
      <c r="CG415" s="41"/>
      <c r="CH415" s="41"/>
      <c r="CI415" s="41"/>
      <c r="CJ415" s="41"/>
      <c r="CK415" s="41"/>
      <c r="CL415" s="41"/>
      <c r="CM415" s="41"/>
      <c r="CN415" s="41"/>
      <c r="CO415" s="41"/>
      <c r="CP415" s="41"/>
      <c r="CQ415" s="41"/>
      <c r="CR415" s="41"/>
      <c r="CS415" s="41"/>
      <c r="CT415" s="41"/>
      <c r="CU415" s="41"/>
      <c r="CV415" s="41"/>
      <c r="CW415" s="41"/>
    </row>
    <row r="416" spans="1:101" ht="16.5" x14ac:dyDescent="0.35">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c r="AJ416" s="41"/>
      <c r="AK416" s="41"/>
      <c r="AL416" s="41"/>
      <c r="AM416" s="41"/>
      <c r="AN416" s="41"/>
      <c r="AO416" s="41"/>
      <c r="AP416" s="41"/>
      <c r="AQ416" s="41"/>
      <c r="AR416" s="41"/>
      <c r="AS416" s="41"/>
      <c r="AT416" s="41"/>
      <c r="AU416" s="41"/>
      <c r="AV416" s="41"/>
      <c r="AW416" s="41"/>
      <c r="AX416" s="41"/>
      <c r="AY416" s="41"/>
      <c r="AZ416" s="41"/>
      <c r="BA416" s="41"/>
      <c r="BB416" s="41"/>
      <c r="BC416" s="41"/>
      <c r="BD416" s="41"/>
      <c r="BE416" s="41"/>
      <c r="BF416" s="41"/>
      <c r="BG416" s="41"/>
      <c r="BH416" s="41"/>
      <c r="BI416" s="41"/>
      <c r="BJ416" s="41"/>
      <c r="BK416" s="41"/>
      <c r="BL416" s="41"/>
      <c r="BM416" s="41"/>
      <c r="BN416" s="41"/>
      <c r="BO416" s="41"/>
      <c r="BP416" s="41"/>
      <c r="BQ416" s="41"/>
      <c r="BR416" s="41"/>
      <c r="BS416" s="41"/>
      <c r="BT416" s="41"/>
      <c r="BU416" s="41"/>
      <c r="BV416" s="41"/>
      <c r="BW416" s="41"/>
      <c r="BX416" s="41"/>
      <c r="BY416" s="41"/>
      <c r="BZ416" s="41"/>
      <c r="CA416" s="41"/>
      <c r="CB416" s="41"/>
      <c r="CC416" s="41"/>
      <c r="CD416" s="41"/>
      <c r="CE416" s="41"/>
      <c r="CF416" s="41"/>
      <c r="CG416" s="41"/>
      <c r="CH416" s="41"/>
      <c r="CI416" s="41"/>
      <c r="CJ416" s="41"/>
      <c r="CK416" s="41"/>
      <c r="CL416" s="41"/>
      <c r="CM416" s="41"/>
      <c r="CN416" s="41"/>
      <c r="CO416" s="41"/>
      <c r="CP416" s="41"/>
      <c r="CQ416" s="41"/>
      <c r="CR416" s="41"/>
      <c r="CS416" s="41"/>
      <c r="CT416" s="41"/>
      <c r="CU416" s="41"/>
      <c r="CV416" s="41"/>
      <c r="CW416" s="41"/>
    </row>
    <row r="417" spans="1:101" ht="16.5" x14ac:dyDescent="0.35">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1"/>
      <c r="AK417" s="41"/>
      <c r="AL417" s="41"/>
      <c r="AM417" s="41"/>
      <c r="AN417" s="41"/>
      <c r="AO417" s="41"/>
      <c r="AP417" s="41"/>
      <c r="AQ417" s="41"/>
      <c r="AR417" s="41"/>
      <c r="AS417" s="41"/>
      <c r="AT417" s="41"/>
      <c r="AU417" s="41"/>
      <c r="AV417" s="41"/>
      <c r="AW417" s="41"/>
      <c r="AX417" s="41"/>
      <c r="AY417" s="41"/>
      <c r="AZ417" s="41"/>
      <c r="BA417" s="41"/>
      <c r="BB417" s="41"/>
      <c r="BC417" s="41"/>
      <c r="BD417" s="41"/>
      <c r="BE417" s="41"/>
      <c r="BF417" s="41"/>
      <c r="BG417" s="41"/>
      <c r="BH417" s="41"/>
      <c r="BI417" s="41"/>
      <c r="BJ417" s="41"/>
      <c r="BK417" s="41"/>
      <c r="BL417" s="41"/>
      <c r="BM417" s="41"/>
      <c r="BN417" s="41"/>
      <c r="BO417" s="41"/>
      <c r="BP417" s="41"/>
      <c r="BQ417" s="41"/>
      <c r="BR417" s="41"/>
      <c r="BS417" s="41"/>
      <c r="BT417" s="41"/>
      <c r="BU417" s="41"/>
      <c r="BV417" s="41"/>
      <c r="BW417" s="41"/>
      <c r="BX417" s="41"/>
      <c r="BY417" s="41"/>
      <c r="BZ417" s="41"/>
      <c r="CA417" s="41"/>
      <c r="CB417" s="41"/>
      <c r="CC417" s="41"/>
      <c r="CD417" s="41"/>
      <c r="CE417" s="41"/>
      <c r="CF417" s="41"/>
      <c r="CG417" s="41"/>
      <c r="CH417" s="41"/>
      <c r="CI417" s="41"/>
      <c r="CJ417" s="41"/>
      <c r="CK417" s="41"/>
      <c r="CL417" s="41"/>
      <c r="CM417" s="41"/>
      <c r="CN417" s="41"/>
      <c r="CO417" s="41"/>
      <c r="CP417" s="41"/>
      <c r="CQ417" s="41"/>
      <c r="CR417" s="41"/>
      <c r="CS417" s="41"/>
      <c r="CT417" s="41"/>
      <c r="CU417" s="41"/>
      <c r="CV417" s="41"/>
      <c r="CW417" s="41"/>
    </row>
    <row r="418" spans="1:101" ht="16.5" x14ac:dyDescent="0.35">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c r="AJ418" s="41"/>
      <c r="AK418" s="41"/>
      <c r="AL418" s="41"/>
      <c r="AM418" s="41"/>
      <c r="AN418" s="41"/>
      <c r="AO418" s="41"/>
      <c r="AP418" s="41"/>
      <c r="AQ418" s="41"/>
      <c r="AR418" s="41"/>
      <c r="AS418" s="41"/>
      <c r="AT418" s="41"/>
      <c r="AU418" s="41"/>
      <c r="AV418" s="41"/>
      <c r="AW418" s="41"/>
      <c r="AX418" s="41"/>
      <c r="AY418" s="41"/>
      <c r="AZ418" s="41"/>
      <c r="BA418" s="41"/>
      <c r="BB418" s="41"/>
      <c r="BC418" s="41"/>
      <c r="BD418" s="41"/>
      <c r="BE418" s="41"/>
      <c r="BF418" s="41"/>
      <c r="BG418" s="41"/>
      <c r="BH418" s="41"/>
      <c r="BI418" s="41"/>
      <c r="BJ418" s="41"/>
      <c r="BK418" s="41"/>
      <c r="BL418" s="41"/>
      <c r="BM418" s="41"/>
      <c r="BN418" s="41"/>
      <c r="BO418" s="41"/>
      <c r="BP418" s="41"/>
      <c r="BQ418" s="41"/>
      <c r="BR418" s="41"/>
      <c r="BS418" s="41"/>
      <c r="BT418" s="41"/>
      <c r="BU418" s="41"/>
      <c r="BV418" s="41"/>
      <c r="BW418" s="41"/>
      <c r="BX418" s="41"/>
      <c r="BY418" s="41"/>
      <c r="BZ418" s="41"/>
      <c r="CA418" s="41"/>
      <c r="CB418" s="41"/>
      <c r="CC418" s="41"/>
      <c r="CD418" s="41"/>
      <c r="CE418" s="41"/>
      <c r="CF418" s="41"/>
      <c r="CG418" s="41"/>
      <c r="CH418" s="41"/>
      <c r="CI418" s="41"/>
      <c r="CJ418" s="41"/>
      <c r="CK418" s="41"/>
      <c r="CL418" s="41"/>
      <c r="CM418" s="41"/>
      <c r="CN418" s="41"/>
      <c r="CO418" s="41"/>
      <c r="CP418" s="41"/>
      <c r="CQ418" s="41"/>
      <c r="CR418" s="41"/>
      <c r="CS418" s="41"/>
      <c r="CT418" s="41"/>
      <c r="CU418" s="41"/>
      <c r="CV418" s="41"/>
      <c r="CW418" s="41"/>
    </row>
    <row r="419" spans="1:101" ht="16.5" x14ac:dyDescent="0.35">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c r="AJ419" s="41"/>
      <c r="AK419" s="41"/>
      <c r="AL419" s="41"/>
      <c r="AM419" s="41"/>
      <c r="AN419" s="41"/>
      <c r="AO419" s="41"/>
      <c r="AP419" s="41"/>
      <c r="AQ419" s="41"/>
      <c r="AR419" s="41"/>
      <c r="AS419" s="41"/>
      <c r="AT419" s="41"/>
      <c r="AU419" s="41"/>
      <c r="AV419" s="41"/>
      <c r="AW419" s="41"/>
      <c r="AX419" s="41"/>
      <c r="AY419" s="41"/>
      <c r="AZ419" s="41"/>
      <c r="BA419" s="41"/>
      <c r="BB419" s="41"/>
      <c r="BC419" s="41"/>
      <c r="BD419" s="41"/>
      <c r="BE419" s="41"/>
      <c r="BF419" s="41"/>
      <c r="BG419" s="41"/>
      <c r="BH419" s="41"/>
      <c r="BI419" s="41"/>
      <c r="BJ419" s="41"/>
      <c r="BK419" s="41"/>
      <c r="BL419" s="41"/>
      <c r="BM419" s="41"/>
      <c r="BN419" s="41"/>
      <c r="BO419" s="41"/>
      <c r="BP419" s="41"/>
      <c r="BQ419" s="41"/>
      <c r="BR419" s="41"/>
      <c r="BS419" s="41"/>
      <c r="BT419" s="41"/>
      <c r="BU419" s="41"/>
      <c r="BV419" s="41"/>
      <c r="BW419" s="41"/>
      <c r="BX419" s="41"/>
      <c r="BY419" s="41"/>
      <c r="BZ419" s="41"/>
      <c r="CA419" s="41"/>
      <c r="CB419" s="41"/>
      <c r="CC419" s="41"/>
      <c r="CD419" s="41"/>
      <c r="CE419" s="41"/>
      <c r="CF419" s="41"/>
      <c r="CG419" s="41"/>
      <c r="CH419" s="41"/>
      <c r="CI419" s="41"/>
      <c r="CJ419" s="41"/>
      <c r="CK419" s="41"/>
      <c r="CL419" s="41"/>
      <c r="CM419" s="41"/>
      <c r="CN419" s="41"/>
      <c r="CO419" s="41"/>
      <c r="CP419" s="41"/>
      <c r="CQ419" s="41"/>
      <c r="CR419" s="41"/>
      <c r="CS419" s="41"/>
      <c r="CT419" s="41"/>
      <c r="CU419" s="41"/>
      <c r="CV419" s="41"/>
      <c r="CW419" s="41"/>
    </row>
    <row r="420" spans="1:101" ht="16.5" x14ac:dyDescent="0.35">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c r="AJ420" s="41"/>
      <c r="AK420" s="41"/>
      <c r="AL420" s="41"/>
      <c r="AM420" s="41"/>
      <c r="AN420" s="41"/>
      <c r="AO420" s="41"/>
      <c r="AP420" s="41"/>
      <c r="AQ420" s="41"/>
      <c r="AR420" s="41"/>
      <c r="AS420" s="41"/>
      <c r="AT420" s="41"/>
      <c r="AU420" s="41"/>
      <c r="AV420" s="41"/>
      <c r="AW420" s="41"/>
      <c r="AX420" s="41"/>
      <c r="AY420" s="41"/>
      <c r="AZ420" s="41"/>
      <c r="BA420" s="41"/>
      <c r="BB420" s="41"/>
      <c r="BC420" s="41"/>
      <c r="BD420" s="41"/>
      <c r="BE420" s="41"/>
      <c r="BF420" s="41"/>
      <c r="BG420" s="41"/>
      <c r="BH420" s="41"/>
      <c r="BI420" s="41"/>
      <c r="BJ420" s="41"/>
      <c r="BK420" s="41"/>
      <c r="BL420" s="41"/>
      <c r="BM420" s="41"/>
      <c r="BN420" s="41"/>
      <c r="BO420" s="41"/>
      <c r="BP420" s="41"/>
      <c r="BQ420" s="41"/>
      <c r="BR420" s="41"/>
      <c r="BS420" s="41"/>
      <c r="BT420" s="41"/>
      <c r="BU420" s="41"/>
      <c r="BV420" s="41"/>
      <c r="BW420" s="41"/>
      <c r="BX420" s="41"/>
      <c r="BY420" s="41"/>
      <c r="BZ420" s="41"/>
      <c r="CA420" s="41"/>
      <c r="CB420" s="41"/>
      <c r="CC420" s="41"/>
      <c r="CD420" s="41"/>
      <c r="CE420" s="41"/>
      <c r="CF420" s="41"/>
      <c r="CG420" s="41"/>
      <c r="CH420" s="41"/>
      <c r="CI420" s="41"/>
      <c r="CJ420" s="41"/>
      <c r="CK420" s="41"/>
      <c r="CL420" s="41"/>
      <c r="CM420" s="41"/>
      <c r="CN420" s="41"/>
      <c r="CO420" s="41"/>
      <c r="CP420" s="41"/>
      <c r="CQ420" s="41"/>
      <c r="CR420" s="41"/>
      <c r="CS420" s="41"/>
      <c r="CT420" s="41"/>
      <c r="CU420" s="41"/>
      <c r="CV420" s="41"/>
      <c r="CW420" s="41"/>
    </row>
    <row r="421" spans="1:101" ht="16.5" x14ac:dyDescent="0.35">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c r="AJ421" s="41"/>
      <c r="AK421" s="41"/>
      <c r="AL421" s="41"/>
      <c r="AM421" s="41"/>
      <c r="AN421" s="41"/>
      <c r="AO421" s="41"/>
      <c r="AP421" s="41"/>
      <c r="AQ421" s="41"/>
      <c r="AR421" s="41"/>
      <c r="AS421" s="41"/>
      <c r="AT421" s="41"/>
      <c r="AU421" s="41"/>
      <c r="AV421" s="41"/>
      <c r="AW421" s="41"/>
      <c r="AX421" s="41"/>
      <c r="AY421" s="41"/>
      <c r="AZ421" s="41"/>
      <c r="BA421" s="41"/>
      <c r="BB421" s="41"/>
      <c r="BC421" s="41"/>
      <c r="BD421" s="41"/>
      <c r="BE421" s="41"/>
      <c r="BF421" s="41"/>
      <c r="BG421" s="41"/>
      <c r="BH421" s="41"/>
      <c r="BI421" s="41"/>
      <c r="BJ421" s="41"/>
      <c r="BK421" s="41"/>
      <c r="BL421" s="41"/>
      <c r="BM421" s="41"/>
      <c r="BN421" s="41"/>
      <c r="BO421" s="41"/>
      <c r="BP421" s="41"/>
      <c r="BQ421" s="41"/>
      <c r="BR421" s="41"/>
      <c r="BS421" s="41"/>
      <c r="BT421" s="41"/>
      <c r="BU421" s="41"/>
      <c r="BV421" s="41"/>
      <c r="BW421" s="41"/>
      <c r="BX421" s="41"/>
      <c r="BY421" s="41"/>
      <c r="BZ421" s="41"/>
      <c r="CA421" s="41"/>
      <c r="CB421" s="41"/>
      <c r="CC421" s="41"/>
      <c r="CD421" s="41"/>
      <c r="CE421" s="41"/>
      <c r="CF421" s="41"/>
      <c r="CG421" s="41"/>
      <c r="CH421" s="41"/>
      <c r="CI421" s="41"/>
      <c r="CJ421" s="41"/>
      <c r="CK421" s="41"/>
      <c r="CL421" s="41"/>
      <c r="CM421" s="41"/>
      <c r="CN421" s="41"/>
      <c r="CO421" s="41"/>
      <c r="CP421" s="41"/>
      <c r="CQ421" s="41"/>
      <c r="CR421" s="41"/>
      <c r="CS421" s="41"/>
      <c r="CT421" s="41"/>
      <c r="CU421" s="41"/>
      <c r="CV421" s="41"/>
      <c r="CW421" s="41"/>
    </row>
    <row r="422" spans="1:101" ht="16.5" x14ac:dyDescent="0.35">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c r="AJ422" s="41"/>
      <c r="AK422" s="41"/>
      <c r="AL422" s="41"/>
      <c r="AM422" s="41"/>
      <c r="AN422" s="41"/>
      <c r="AO422" s="41"/>
      <c r="AP422" s="41"/>
      <c r="AQ422" s="41"/>
      <c r="AR422" s="41"/>
      <c r="AS422" s="41"/>
      <c r="AT422" s="41"/>
      <c r="AU422" s="41"/>
      <c r="AV422" s="41"/>
      <c r="AW422" s="41"/>
      <c r="AX422" s="41"/>
      <c r="AY422" s="41"/>
      <c r="AZ422" s="41"/>
      <c r="BA422" s="41"/>
      <c r="BB422" s="41"/>
      <c r="BC422" s="41"/>
      <c r="BD422" s="41"/>
      <c r="BE422" s="41"/>
      <c r="BF422" s="41"/>
      <c r="BG422" s="41"/>
      <c r="BH422" s="41"/>
      <c r="BI422" s="41"/>
      <c r="BJ422" s="41"/>
      <c r="BK422" s="41"/>
      <c r="BL422" s="41"/>
      <c r="BM422" s="41"/>
      <c r="BN422" s="41"/>
      <c r="BO422" s="41"/>
      <c r="BP422" s="41"/>
      <c r="BQ422" s="41"/>
      <c r="BR422" s="41"/>
      <c r="BS422" s="41"/>
      <c r="BT422" s="41"/>
      <c r="BU422" s="41"/>
      <c r="BV422" s="41"/>
      <c r="BW422" s="41"/>
      <c r="BX422" s="41"/>
      <c r="BY422" s="41"/>
      <c r="BZ422" s="41"/>
      <c r="CA422" s="41"/>
      <c r="CB422" s="41"/>
      <c r="CC422" s="41"/>
      <c r="CD422" s="41"/>
      <c r="CE422" s="41"/>
      <c r="CF422" s="41"/>
      <c r="CG422" s="41"/>
      <c r="CH422" s="41"/>
      <c r="CI422" s="41"/>
      <c r="CJ422" s="41"/>
      <c r="CK422" s="41"/>
      <c r="CL422" s="41"/>
      <c r="CM422" s="41"/>
      <c r="CN422" s="41"/>
      <c r="CO422" s="41"/>
      <c r="CP422" s="41"/>
      <c r="CQ422" s="41"/>
      <c r="CR422" s="41"/>
      <c r="CS422" s="41"/>
      <c r="CT422" s="41"/>
      <c r="CU422" s="41"/>
      <c r="CV422" s="41"/>
      <c r="CW422" s="41"/>
    </row>
    <row r="423" spans="1:101" ht="16.5" x14ac:dyDescent="0.35">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41"/>
      <c r="BA423" s="41"/>
      <c r="BB423" s="41"/>
      <c r="BC423" s="41"/>
      <c r="BD423" s="41"/>
      <c r="BE423" s="41"/>
      <c r="BF423" s="41"/>
      <c r="BG423" s="41"/>
      <c r="BH423" s="41"/>
      <c r="BI423" s="41"/>
      <c r="BJ423" s="41"/>
      <c r="BK423" s="41"/>
      <c r="BL423" s="41"/>
      <c r="BM423" s="41"/>
      <c r="BN423" s="41"/>
      <c r="BO423" s="41"/>
      <c r="BP423" s="41"/>
      <c r="BQ423" s="41"/>
      <c r="BR423" s="41"/>
      <c r="BS423" s="41"/>
      <c r="BT423" s="41"/>
      <c r="BU423" s="41"/>
      <c r="BV423" s="41"/>
      <c r="BW423" s="41"/>
      <c r="BX423" s="41"/>
      <c r="BY423" s="41"/>
      <c r="BZ423" s="41"/>
      <c r="CA423" s="41"/>
      <c r="CB423" s="41"/>
      <c r="CC423" s="41"/>
      <c r="CD423" s="41"/>
      <c r="CE423" s="41"/>
      <c r="CF423" s="41"/>
      <c r="CG423" s="41"/>
      <c r="CH423" s="41"/>
      <c r="CI423" s="41"/>
      <c r="CJ423" s="41"/>
      <c r="CK423" s="41"/>
      <c r="CL423" s="41"/>
      <c r="CM423" s="41"/>
      <c r="CN423" s="41"/>
      <c r="CO423" s="41"/>
      <c r="CP423" s="41"/>
      <c r="CQ423" s="41"/>
      <c r="CR423" s="41"/>
      <c r="CS423" s="41"/>
      <c r="CT423" s="41"/>
      <c r="CU423" s="41"/>
      <c r="CV423" s="41"/>
      <c r="CW423" s="41"/>
    </row>
    <row r="424" spans="1:101" ht="16.5" x14ac:dyDescent="0.35">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c r="AJ424" s="41"/>
      <c r="AK424" s="41"/>
      <c r="AL424" s="41"/>
      <c r="AM424" s="41"/>
      <c r="AN424" s="41"/>
      <c r="AO424" s="41"/>
      <c r="AP424" s="41"/>
      <c r="AQ424" s="41"/>
      <c r="AR424" s="41"/>
      <c r="AS424" s="41"/>
      <c r="AT424" s="41"/>
      <c r="AU424" s="41"/>
      <c r="AV424" s="41"/>
      <c r="AW424" s="41"/>
      <c r="AX424" s="41"/>
      <c r="AY424" s="41"/>
      <c r="AZ424" s="41"/>
      <c r="BA424" s="41"/>
      <c r="BB424" s="41"/>
      <c r="BC424" s="41"/>
      <c r="BD424" s="41"/>
      <c r="BE424" s="41"/>
      <c r="BF424" s="41"/>
      <c r="BG424" s="41"/>
      <c r="BH424" s="41"/>
      <c r="BI424" s="41"/>
      <c r="BJ424" s="41"/>
      <c r="BK424" s="41"/>
      <c r="BL424" s="41"/>
      <c r="BM424" s="41"/>
      <c r="BN424" s="41"/>
      <c r="BO424" s="41"/>
      <c r="BP424" s="41"/>
      <c r="BQ424" s="41"/>
      <c r="BR424" s="41"/>
      <c r="BS424" s="41"/>
      <c r="BT424" s="41"/>
      <c r="BU424" s="41"/>
      <c r="BV424" s="41"/>
      <c r="BW424" s="41"/>
      <c r="BX424" s="41"/>
      <c r="BY424" s="41"/>
      <c r="BZ424" s="41"/>
      <c r="CA424" s="41"/>
      <c r="CB424" s="41"/>
      <c r="CC424" s="41"/>
      <c r="CD424" s="41"/>
      <c r="CE424" s="41"/>
      <c r="CF424" s="41"/>
      <c r="CG424" s="41"/>
      <c r="CH424" s="41"/>
      <c r="CI424" s="41"/>
      <c r="CJ424" s="41"/>
      <c r="CK424" s="41"/>
      <c r="CL424" s="41"/>
      <c r="CM424" s="41"/>
      <c r="CN424" s="41"/>
      <c r="CO424" s="41"/>
      <c r="CP424" s="41"/>
      <c r="CQ424" s="41"/>
      <c r="CR424" s="41"/>
      <c r="CS424" s="41"/>
      <c r="CT424" s="41"/>
      <c r="CU424" s="41"/>
      <c r="CV424" s="41"/>
      <c r="CW424" s="41"/>
    </row>
    <row r="425" spans="1:101" ht="16.5" x14ac:dyDescent="0.35">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c r="AP425" s="41"/>
      <c r="AQ425" s="41"/>
      <c r="AR425" s="41"/>
      <c r="AS425" s="41"/>
      <c r="AT425" s="41"/>
      <c r="AU425" s="41"/>
      <c r="AV425" s="41"/>
      <c r="AW425" s="41"/>
      <c r="AX425" s="41"/>
      <c r="AY425" s="41"/>
      <c r="AZ425" s="41"/>
      <c r="BA425" s="41"/>
      <c r="BB425" s="41"/>
      <c r="BC425" s="41"/>
      <c r="BD425" s="41"/>
      <c r="BE425" s="41"/>
      <c r="BF425" s="41"/>
      <c r="BG425" s="41"/>
      <c r="BH425" s="41"/>
      <c r="BI425" s="41"/>
      <c r="BJ425" s="41"/>
      <c r="BK425" s="41"/>
      <c r="BL425" s="41"/>
      <c r="BM425" s="41"/>
      <c r="BN425" s="41"/>
      <c r="BO425" s="41"/>
      <c r="BP425" s="41"/>
      <c r="BQ425" s="41"/>
      <c r="BR425" s="41"/>
      <c r="BS425" s="41"/>
      <c r="BT425" s="41"/>
      <c r="BU425" s="41"/>
      <c r="BV425" s="41"/>
      <c r="BW425" s="41"/>
      <c r="BX425" s="41"/>
      <c r="BY425" s="41"/>
      <c r="BZ425" s="41"/>
      <c r="CA425" s="41"/>
      <c r="CB425" s="41"/>
      <c r="CC425" s="41"/>
      <c r="CD425" s="41"/>
      <c r="CE425" s="41"/>
      <c r="CF425" s="41"/>
      <c r="CG425" s="41"/>
      <c r="CH425" s="41"/>
      <c r="CI425" s="41"/>
      <c r="CJ425" s="41"/>
      <c r="CK425" s="41"/>
      <c r="CL425" s="41"/>
      <c r="CM425" s="41"/>
      <c r="CN425" s="41"/>
      <c r="CO425" s="41"/>
      <c r="CP425" s="41"/>
      <c r="CQ425" s="41"/>
      <c r="CR425" s="41"/>
      <c r="CS425" s="41"/>
      <c r="CT425" s="41"/>
      <c r="CU425" s="41"/>
      <c r="CV425" s="41"/>
      <c r="CW425" s="41"/>
    </row>
    <row r="426" spans="1:101" ht="16.5" x14ac:dyDescent="0.35">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c r="AP426" s="41"/>
      <c r="AQ426" s="41"/>
      <c r="AR426" s="41"/>
      <c r="AS426" s="41"/>
      <c r="AT426" s="41"/>
      <c r="AU426" s="41"/>
      <c r="AV426" s="41"/>
      <c r="AW426" s="41"/>
      <c r="AX426" s="41"/>
      <c r="AY426" s="41"/>
      <c r="AZ426" s="41"/>
      <c r="BA426" s="41"/>
      <c r="BB426" s="41"/>
      <c r="BC426" s="41"/>
      <c r="BD426" s="41"/>
      <c r="BE426" s="41"/>
      <c r="BF426" s="41"/>
      <c r="BG426" s="41"/>
      <c r="BH426" s="41"/>
      <c r="BI426" s="41"/>
      <c r="BJ426" s="41"/>
      <c r="BK426" s="41"/>
      <c r="BL426" s="41"/>
      <c r="BM426" s="41"/>
      <c r="BN426" s="41"/>
      <c r="BO426" s="41"/>
      <c r="BP426" s="41"/>
      <c r="BQ426" s="41"/>
      <c r="BR426" s="41"/>
      <c r="BS426" s="41"/>
      <c r="BT426" s="41"/>
      <c r="BU426" s="41"/>
      <c r="BV426" s="41"/>
      <c r="BW426" s="41"/>
      <c r="BX426" s="41"/>
      <c r="BY426" s="41"/>
      <c r="BZ426" s="41"/>
      <c r="CA426" s="41"/>
      <c r="CB426" s="41"/>
      <c r="CC426" s="41"/>
      <c r="CD426" s="41"/>
      <c r="CE426" s="41"/>
      <c r="CF426" s="41"/>
      <c r="CG426" s="41"/>
      <c r="CH426" s="41"/>
      <c r="CI426" s="41"/>
      <c r="CJ426" s="41"/>
      <c r="CK426" s="41"/>
      <c r="CL426" s="41"/>
      <c r="CM426" s="41"/>
      <c r="CN426" s="41"/>
      <c r="CO426" s="41"/>
      <c r="CP426" s="41"/>
      <c r="CQ426" s="41"/>
      <c r="CR426" s="41"/>
      <c r="CS426" s="41"/>
      <c r="CT426" s="41"/>
      <c r="CU426" s="41"/>
      <c r="CV426" s="41"/>
      <c r="CW426" s="41"/>
    </row>
    <row r="427" spans="1:101" ht="16.5" x14ac:dyDescent="0.35">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c r="AJ427" s="41"/>
      <c r="AK427" s="41"/>
      <c r="AL427" s="41"/>
      <c r="AM427" s="41"/>
      <c r="AN427" s="41"/>
      <c r="AO427" s="41"/>
      <c r="AP427" s="41"/>
      <c r="AQ427" s="41"/>
      <c r="AR427" s="41"/>
      <c r="AS427" s="41"/>
      <c r="AT427" s="41"/>
      <c r="AU427" s="41"/>
      <c r="AV427" s="41"/>
      <c r="AW427" s="41"/>
      <c r="AX427" s="41"/>
      <c r="AY427" s="41"/>
      <c r="AZ427" s="41"/>
      <c r="BA427" s="41"/>
      <c r="BB427" s="41"/>
      <c r="BC427" s="41"/>
      <c r="BD427" s="41"/>
      <c r="BE427" s="41"/>
      <c r="BF427" s="41"/>
      <c r="BG427" s="41"/>
      <c r="BH427" s="41"/>
      <c r="BI427" s="41"/>
      <c r="BJ427" s="41"/>
      <c r="BK427" s="41"/>
      <c r="BL427" s="41"/>
      <c r="BM427" s="41"/>
      <c r="BN427" s="41"/>
      <c r="BO427" s="41"/>
      <c r="BP427" s="41"/>
      <c r="BQ427" s="41"/>
      <c r="BR427" s="41"/>
      <c r="BS427" s="41"/>
      <c r="BT427" s="41"/>
      <c r="BU427" s="41"/>
      <c r="BV427" s="41"/>
      <c r="BW427" s="41"/>
      <c r="BX427" s="41"/>
      <c r="BY427" s="41"/>
      <c r="BZ427" s="41"/>
      <c r="CA427" s="41"/>
      <c r="CB427" s="41"/>
      <c r="CC427" s="41"/>
      <c r="CD427" s="41"/>
      <c r="CE427" s="41"/>
      <c r="CF427" s="41"/>
      <c r="CG427" s="41"/>
      <c r="CH427" s="41"/>
      <c r="CI427" s="41"/>
      <c r="CJ427" s="41"/>
      <c r="CK427" s="41"/>
      <c r="CL427" s="41"/>
      <c r="CM427" s="41"/>
      <c r="CN427" s="41"/>
      <c r="CO427" s="41"/>
      <c r="CP427" s="41"/>
      <c r="CQ427" s="41"/>
      <c r="CR427" s="41"/>
      <c r="CS427" s="41"/>
      <c r="CT427" s="41"/>
      <c r="CU427" s="41"/>
      <c r="CV427" s="41"/>
      <c r="CW427" s="41"/>
    </row>
    <row r="428" spans="1:101" ht="16.5" x14ac:dyDescent="0.35">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c r="AJ428" s="41"/>
      <c r="AK428" s="41"/>
      <c r="AL428" s="41"/>
      <c r="AM428" s="41"/>
      <c r="AN428" s="41"/>
      <c r="AO428" s="41"/>
      <c r="AP428" s="41"/>
      <c r="AQ428" s="41"/>
      <c r="AR428" s="41"/>
      <c r="AS428" s="41"/>
      <c r="AT428" s="41"/>
      <c r="AU428" s="41"/>
      <c r="AV428" s="41"/>
      <c r="AW428" s="41"/>
      <c r="AX428" s="41"/>
      <c r="AY428" s="41"/>
      <c r="AZ428" s="41"/>
      <c r="BA428" s="41"/>
      <c r="BB428" s="41"/>
      <c r="BC428" s="41"/>
      <c r="BD428" s="41"/>
      <c r="BE428" s="41"/>
      <c r="BF428" s="41"/>
      <c r="BG428" s="41"/>
      <c r="BH428" s="41"/>
      <c r="BI428" s="41"/>
      <c r="BJ428" s="41"/>
      <c r="BK428" s="41"/>
      <c r="BL428" s="41"/>
      <c r="BM428" s="41"/>
      <c r="BN428" s="41"/>
      <c r="BO428" s="41"/>
      <c r="BP428" s="41"/>
      <c r="BQ428" s="41"/>
      <c r="BR428" s="41"/>
      <c r="BS428" s="41"/>
      <c r="BT428" s="41"/>
      <c r="BU428" s="41"/>
      <c r="BV428" s="41"/>
      <c r="BW428" s="41"/>
      <c r="BX428" s="41"/>
      <c r="BY428" s="41"/>
      <c r="BZ428" s="41"/>
      <c r="CA428" s="41"/>
      <c r="CB428" s="41"/>
      <c r="CC428" s="41"/>
      <c r="CD428" s="41"/>
      <c r="CE428" s="41"/>
      <c r="CF428" s="41"/>
      <c r="CG428" s="41"/>
      <c r="CH428" s="41"/>
      <c r="CI428" s="41"/>
      <c r="CJ428" s="41"/>
      <c r="CK428" s="41"/>
      <c r="CL428" s="41"/>
      <c r="CM428" s="41"/>
      <c r="CN428" s="41"/>
      <c r="CO428" s="41"/>
      <c r="CP428" s="41"/>
      <c r="CQ428" s="41"/>
      <c r="CR428" s="41"/>
      <c r="CS428" s="41"/>
      <c r="CT428" s="41"/>
      <c r="CU428" s="41"/>
      <c r="CV428" s="41"/>
      <c r="CW428" s="41"/>
    </row>
    <row r="429" spans="1:101" ht="16.5" x14ac:dyDescent="0.35">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41"/>
      <c r="AZ429" s="41"/>
      <c r="BA429" s="41"/>
      <c r="BB429" s="41"/>
      <c r="BC429" s="41"/>
      <c r="BD429" s="41"/>
      <c r="BE429" s="41"/>
      <c r="BF429" s="41"/>
      <c r="BG429" s="41"/>
      <c r="BH429" s="41"/>
      <c r="BI429" s="41"/>
      <c r="BJ429" s="41"/>
      <c r="BK429" s="41"/>
      <c r="BL429" s="41"/>
      <c r="BM429" s="41"/>
      <c r="BN429" s="41"/>
      <c r="BO429" s="41"/>
      <c r="BP429" s="41"/>
      <c r="BQ429" s="41"/>
      <c r="BR429" s="41"/>
      <c r="BS429" s="41"/>
      <c r="BT429" s="41"/>
      <c r="BU429" s="41"/>
      <c r="BV429" s="41"/>
      <c r="BW429" s="41"/>
      <c r="BX429" s="41"/>
      <c r="BY429" s="41"/>
      <c r="BZ429" s="41"/>
      <c r="CA429" s="41"/>
      <c r="CB429" s="41"/>
      <c r="CC429" s="41"/>
      <c r="CD429" s="41"/>
      <c r="CE429" s="41"/>
      <c r="CF429" s="41"/>
      <c r="CG429" s="41"/>
      <c r="CH429" s="41"/>
      <c r="CI429" s="41"/>
      <c r="CJ429" s="41"/>
      <c r="CK429" s="41"/>
      <c r="CL429" s="41"/>
      <c r="CM429" s="41"/>
      <c r="CN429" s="41"/>
      <c r="CO429" s="41"/>
      <c r="CP429" s="41"/>
      <c r="CQ429" s="41"/>
      <c r="CR429" s="41"/>
      <c r="CS429" s="41"/>
      <c r="CT429" s="41"/>
      <c r="CU429" s="41"/>
      <c r="CV429" s="41"/>
      <c r="CW429" s="41"/>
    </row>
    <row r="430" spans="1:101" ht="16.5" x14ac:dyDescent="0.35">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c r="AJ430" s="41"/>
      <c r="AK430" s="41"/>
      <c r="AL430" s="41"/>
      <c r="AM430" s="41"/>
      <c r="AN430" s="41"/>
      <c r="AO430" s="41"/>
      <c r="AP430" s="41"/>
      <c r="AQ430" s="41"/>
      <c r="AR430" s="41"/>
      <c r="AS430" s="41"/>
      <c r="AT430" s="41"/>
      <c r="AU430" s="41"/>
      <c r="AV430" s="41"/>
      <c r="AW430" s="41"/>
      <c r="AX430" s="41"/>
      <c r="AY430" s="41"/>
      <c r="AZ430" s="41"/>
      <c r="BA430" s="41"/>
      <c r="BB430" s="41"/>
      <c r="BC430" s="41"/>
      <c r="BD430" s="41"/>
      <c r="BE430" s="41"/>
      <c r="BF430" s="41"/>
      <c r="BG430" s="41"/>
      <c r="BH430" s="41"/>
      <c r="BI430" s="41"/>
      <c r="BJ430" s="41"/>
      <c r="BK430" s="41"/>
      <c r="BL430" s="41"/>
      <c r="BM430" s="41"/>
      <c r="BN430" s="41"/>
      <c r="BO430" s="41"/>
      <c r="BP430" s="41"/>
      <c r="BQ430" s="41"/>
      <c r="BR430" s="41"/>
      <c r="BS430" s="41"/>
      <c r="BT430" s="41"/>
      <c r="BU430" s="41"/>
      <c r="BV430" s="41"/>
      <c r="BW430" s="41"/>
      <c r="BX430" s="41"/>
      <c r="BY430" s="41"/>
      <c r="BZ430" s="41"/>
      <c r="CA430" s="41"/>
      <c r="CB430" s="41"/>
      <c r="CC430" s="41"/>
      <c r="CD430" s="41"/>
      <c r="CE430" s="41"/>
      <c r="CF430" s="41"/>
      <c r="CG430" s="41"/>
      <c r="CH430" s="41"/>
      <c r="CI430" s="41"/>
      <c r="CJ430" s="41"/>
      <c r="CK430" s="41"/>
      <c r="CL430" s="41"/>
      <c r="CM430" s="41"/>
      <c r="CN430" s="41"/>
      <c r="CO430" s="41"/>
      <c r="CP430" s="41"/>
      <c r="CQ430" s="41"/>
      <c r="CR430" s="41"/>
      <c r="CS430" s="41"/>
      <c r="CT430" s="41"/>
      <c r="CU430" s="41"/>
      <c r="CV430" s="41"/>
      <c r="CW430" s="41"/>
    </row>
    <row r="431" spans="1:101" ht="16.5" x14ac:dyDescent="0.35">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41"/>
      <c r="AK431" s="41"/>
      <c r="AL431" s="41"/>
      <c r="AM431" s="41"/>
      <c r="AN431" s="41"/>
      <c r="AO431" s="41"/>
      <c r="AP431" s="41"/>
      <c r="AQ431" s="41"/>
      <c r="AR431" s="41"/>
      <c r="AS431" s="41"/>
      <c r="AT431" s="41"/>
      <c r="AU431" s="41"/>
      <c r="AV431" s="41"/>
      <c r="AW431" s="41"/>
      <c r="AX431" s="41"/>
      <c r="AY431" s="41"/>
      <c r="AZ431" s="41"/>
      <c r="BA431" s="41"/>
      <c r="BB431" s="41"/>
      <c r="BC431" s="41"/>
      <c r="BD431" s="41"/>
      <c r="BE431" s="41"/>
      <c r="BF431" s="41"/>
      <c r="BG431" s="41"/>
      <c r="BH431" s="41"/>
      <c r="BI431" s="41"/>
      <c r="BJ431" s="41"/>
      <c r="BK431" s="41"/>
      <c r="BL431" s="41"/>
      <c r="BM431" s="41"/>
      <c r="BN431" s="41"/>
      <c r="BO431" s="41"/>
      <c r="BP431" s="41"/>
      <c r="BQ431" s="41"/>
      <c r="BR431" s="41"/>
      <c r="BS431" s="41"/>
      <c r="BT431" s="41"/>
      <c r="BU431" s="41"/>
      <c r="BV431" s="41"/>
      <c r="BW431" s="41"/>
      <c r="BX431" s="41"/>
      <c r="BY431" s="41"/>
      <c r="BZ431" s="41"/>
      <c r="CA431" s="41"/>
      <c r="CB431" s="41"/>
      <c r="CC431" s="41"/>
      <c r="CD431" s="41"/>
      <c r="CE431" s="41"/>
      <c r="CF431" s="41"/>
      <c r="CG431" s="41"/>
      <c r="CH431" s="41"/>
      <c r="CI431" s="41"/>
      <c r="CJ431" s="41"/>
      <c r="CK431" s="41"/>
      <c r="CL431" s="41"/>
      <c r="CM431" s="41"/>
      <c r="CN431" s="41"/>
      <c r="CO431" s="41"/>
      <c r="CP431" s="41"/>
      <c r="CQ431" s="41"/>
      <c r="CR431" s="41"/>
      <c r="CS431" s="41"/>
      <c r="CT431" s="41"/>
      <c r="CU431" s="41"/>
      <c r="CV431" s="41"/>
      <c r="CW431" s="41"/>
    </row>
    <row r="432" spans="1:101" ht="16.5" x14ac:dyDescent="0.35">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c r="AJ432" s="41"/>
      <c r="AK432" s="41"/>
      <c r="AL432" s="41"/>
      <c r="AM432" s="41"/>
      <c r="AN432" s="41"/>
      <c r="AO432" s="41"/>
      <c r="AP432" s="41"/>
      <c r="AQ432" s="41"/>
      <c r="AR432" s="41"/>
      <c r="AS432" s="41"/>
      <c r="AT432" s="41"/>
      <c r="AU432" s="41"/>
      <c r="AV432" s="41"/>
      <c r="AW432" s="41"/>
      <c r="AX432" s="41"/>
      <c r="AY432" s="41"/>
      <c r="AZ432" s="41"/>
      <c r="BA432" s="41"/>
      <c r="BB432" s="41"/>
      <c r="BC432" s="41"/>
      <c r="BD432" s="41"/>
      <c r="BE432" s="41"/>
      <c r="BF432" s="41"/>
      <c r="BG432" s="41"/>
      <c r="BH432" s="41"/>
      <c r="BI432" s="41"/>
      <c r="BJ432" s="41"/>
      <c r="BK432" s="41"/>
      <c r="BL432" s="41"/>
      <c r="BM432" s="41"/>
      <c r="BN432" s="41"/>
      <c r="BO432" s="41"/>
      <c r="BP432" s="41"/>
      <c r="BQ432" s="41"/>
      <c r="BR432" s="41"/>
      <c r="BS432" s="41"/>
      <c r="BT432" s="41"/>
      <c r="BU432" s="41"/>
      <c r="BV432" s="41"/>
      <c r="BW432" s="41"/>
      <c r="BX432" s="41"/>
      <c r="BY432" s="41"/>
      <c r="BZ432" s="41"/>
      <c r="CA432" s="41"/>
      <c r="CB432" s="41"/>
      <c r="CC432" s="41"/>
      <c r="CD432" s="41"/>
      <c r="CE432" s="41"/>
      <c r="CF432" s="41"/>
      <c r="CG432" s="41"/>
      <c r="CH432" s="41"/>
      <c r="CI432" s="41"/>
      <c r="CJ432" s="41"/>
      <c r="CK432" s="41"/>
      <c r="CL432" s="41"/>
      <c r="CM432" s="41"/>
      <c r="CN432" s="41"/>
      <c r="CO432" s="41"/>
      <c r="CP432" s="41"/>
      <c r="CQ432" s="41"/>
      <c r="CR432" s="41"/>
      <c r="CS432" s="41"/>
      <c r="CT432" s="41"/>
      <c r="CU432" s="41"/>
      <c r="CV432" s="41"/>
      <c r="CW432" s="41"/>
    </row>
    <row r="433" spans="1:101" ht="16.5" x14ac:dyDescent="0.35">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c r="AJ433" s="41"/>
      <c r="AK433" s="41"/>
      <c r="AL433" s="41"/>
      <c r="AM433" s="41"/>
      <c r="AN433" s="41"/>
      <c r="AO433" s="41"/>
      <c r="AP433" s="41"/>
      <c r="AQ433" s="41"/>
      <c r="AR433" s="41"/>
      <c r="AS433" s="41"/>
      <c r="AT433" s="41"/>
      <c r="AU433" s="41"/>
      <c r="AV433" s="41"/>
      <c r="AW433" s="41"/>
      <c r="AX433" s="41"/>
      <c r="AY433" s="41"/>
      <c r="AZ433" s="41"/>
      <c r="BA433" s="41"/>
      <c r="BB433" s="41"/>
      <c r="BC433" s="41"/>
      <c r="BD433" s="41"/>
      <c r="BE433" s="41"/>
      <c r="BF433" s="41"/>
      <c r="BG433" s="41"/>
      <c r="BH433" s="41"/>
      <c r="BI433" s="41"/>
      <c r="BJ433" s="41"/>
      <c r="BK433" s="41"/>
      <c r="BL433" s="41"/>
      <c r="BM433" s="41"/>
      <c r="BN433" s="41"/>
      <c r="BO433" s="41"/>
      <c r="BP433" s="41"/>
      <c r="BQ433" s="41"/>
      <c r="BR433" s="41"/>
      <c r="BS433" s="41"/>
      <c r="BT433" s="41"/>
      <c r="BU433" s="41"/>
      <c r="BV433" s="41"/>
      <c r="BW433" s="41"/>
      <c r="BX433" s="41"/>
      <c r="BY433" s="41"/>
      <c r="BZ433" s="41"/>
      <c r="CA433" s="41"/>
      <c r="CB433" s="41"/>
      <c r="CC433" s="41"/>
      <c r="CD433" s="41"/>
      <c r="CE433" s="41"/>
      <c r="CF433" s="41"/>
      <c r="CG433" s="41"/>
      <c r="CH433" s="41"/>
      <c r="CI433" s="41"/>
      <c r="CJ433" s="41"/>
      <c r="CK433" s="41"/>
      <c r="CL433" s="41"/>
      <c r="CM433" s="41"/>
      <c r="CN433" s="41"/>
      <c r="CO433" s="41"/>
      <c r="CP433" s="41"/>
      <c r="CQ433" s="41"/>
      <c r="CR433" s="41"/>
      <c r="CS433" s="41"/>
      <c r="CT433" s="41"/>
      <c r="CU433" s="41"/>
      <c r="CV433" s="41"/>
      <c r="CW433" s="41"/>
    </row>
    <row r="434" spans="1:101" ht="16.5" x14ac:dyDescent="0.35">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c r="AJ434" s="41"/>
      <c r="AK434" s="41"/>
      <c r="AL434" s="41"/>
      <c r="AM434" s="41"/>
      <c r="AN434" s="41"/>
      <c r="AO434" s="41"/>
      <c r="AP434" s="41"/>
      <c r="AQ434" s="41"/>
      <c r="AR434" s="41"/>
      <c r="AS434" s="41"/>
      <c r="AT434" s="41"/>
      <c r="AU434" s="41"/>
      <c r="AV434" s="41"/>
      <c r="AW434" s="41"/>
      <c r="AX434" s="41"/>
      <c r="AY434" s="41"/>
      <c r="AZ434" s="41"/>
      <c r="BA434" s="41"/>
      <c r="BB434" s="41"/>
      <c r="BC434" s="41"/>
      <c r="BD434" s="41"/>
      <c r="BE434" s="41"/>
      <c r="BF434" s="41"/>
      <c r="BG434" s="41"/>
      <c r="BH434" s="41"/>
      <c r="BI434" s="41"/>
      <c r="BJ434" s="41"/>
      <c r="BK434" s="41"/>
      <c r="BL434" s="41"/>
      <c r="BM434" s="41"/>
      <c r="BN434" s="41"/>
      <c r="BO434" s="41"/>
      <c r="BP434" s="41"/>
      <c r="BQ434" s="41"/>
      <c r="BR434" s="41"/>
      <c r="BS434" s="41"/>
      <c r="BT434" s="41"/>
      <c r="BU434" s="41"/>
      <c r="BV434" s="41"/>
      <c r="BW434" s="41"/>
      <c r="BX434" s="41"/>
      <c r="BY434" s="41"/>
      <c r="BZ434" s="41"/>
      <c r="CA434" s="41"/>
      <c r="CB434" s="41"/>
      <c r="CC434" s="41"/>
      <c r="CD434" s="41"/>
      <c r="CE434" s="41"/>
      <c r="CF434" s="41"/>
      <c r="CG434" s="41"/>
      <c r="CH434" s="41"/>
      <c r="CI434" s="41"/>
      <c r="CJ434" s="41"/>
      <c r="CK434" s="41"/>
      <c r="CL434" s="41"/>
      <c r="CM434" s="41"/>
      <c r="CN434" s="41"/>
      <c r="CO434" s="41"/>
      <c r="CP434" s="41"/>
      <c r="CQ434" s="41"/>
      <c r="CR434" s="41"/>
      <c r="CS434" s="41"/>
      <c r="CT434" s="41"/>
      <c r="CU434" s="41"/>
      <c r="CV434" s="41"/>
      <c r="CW434" s="41"/>
    </row>
    <row r="435" spans="1:101" ht="16.5" x14ac:dyDescent="0.35">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c r="AJ435" s="41"/>
      <c r="AK435" s="41"/>
      <c r="AL435" s="41"/>
      <c r="AM435" s="41"/>
      <c r="AN435" s="41"/>
      <c r="AO435" s="41"/>
      <c r="AP435" s="41"/>
      <c r="AQ435" s="41"/>
      <c r="AR435" s="41"/>
      <c r="AS435" s="41"/>
      <c r="AT435" s="41"/>
      <c r="AU435" s="41"/>
      <c r="AV435" s="41"/>
      <c r="AW435" s="41"/>
      <c r="AX435" s="41"/>
      <c r="AY435" s="41"/>
      <c r="AZ435" s="41"/>
      <c r="BA435" s="41"/>
      <c r="BB435" s="41"/>
      <c r="BC435" s="41"/>
      <c r="BD435" s="41"/>
      <c r="BE435" s="41"/>
      <c r="BF435" s="41"/>
      <c r="BG435" s="41"/>
      <c r="BH435" s="41"/>
      <c r="BI435" s="41"/>
      <c r="BJ435" s="41"/>
      <c r="BK435" s="41"/>
      <c r="BL435" s="41"/>
      <c r="BM435" s="41"/>
      <c r="BN435" s="41"/>
      <c r="BO435" s="41"/>
      <c r="BP435" s="41"/>
      <c r="BQ435" s="41"/>
      <c r="BR435" s="41"/>
      <c r="BS435" s="41"/>
      <c r="BT435" s="41"/>
      <c r="BU435" s="41"/>
      <c r="BV435" s="41"/>
      <c r="BW435" s="41"/>
      <c r="BX435" s="41"/>
      <c r="BY435" s="41"/>
      <c r="BZ435" s="41"/>
      <c r="CA435" s="41"/>
      <c r="CB435" s="41"/>
      <c r="CC435" s="41"/>
      <c r="CD435" s="41"/>
      <c r="CE435" s="41"/>
      <c r="CF435" s="41"/>
      <c r="CG435" s="41"/>
      <c r="CH435" s="41"/>
      <c r="CI435" s="41"/>
      <c r="CJ435" s="41"/>
      <c r="CK435" s="41"/>
      <c r="CL435" s="41"/>
      <c r="CM435" s="41"/>
      <c r="CN435" s="41"/>
      <c r="CO435" s="41"/>
      <c r="CP435" s="41"/>
      <c r="CQ435" s="41"/>
      <c r="CR435" s="41"/>
      <c r="CS435" s="41"/>
      <c r="CT435" s="41"/>
      <c r="CU435" s="41"/>
      <c r="CV435" s="41"/>
      <c r="CW435" s="41"/>
    </row>
    <row r="436" spans="1:101" ht="16.5" x14ac:dyDescent="0.35">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41"/>
      <c r="AW436" s="41"/>
      <c r="AX436" s="41"/>
      <c r="AY436" s="41"/>
      <c r="AZ436" s="41"/>
      <c r="BA436" s="41"/>
      <c r="BB436" s="41"/>
      <c r="BC436" s="41"/>
      <c r="BD436" s="41"/>
      <c r="BE436" s="41"/>
      <c r="BF436" s="41"/>
      <c r="BG436" s="41"/>
      <c r="BH436" s="41"/>
      <c r="BI436" s="41"/>
      <c r="BJ436" s="41"/>
      <c r="BK436" s="41"/>
      <c r="BL436" s="41"/>
      <c r="BM436" s="41"/>
      <c r="BN436" s="41"/>
      <c r="BO436" s="41"/>
      <c r="BP436" s="41"/>
      <c r="BQ436" s="41"/>
      <c r="BR436" s="41"/>
      <c r="BS436" s="41"/>
      <c r="BT436" s="41"/>
      <c r="BU436" s="41"/>
      <c r="BV436" s="41"/>
      <c r="BW436" s="41"/>
      <c r="BX436" s="41"/>
      <c r="BY436" s="41"/>
      <c r="BZ436" s="41"/>
      <c r="CA436" s="41"/>
      <c r="CB436" s="41"/>
      <c r="CC436" s="41"/>
      <c r="CD436" s="41"/>
      <c r="CE436" s="41"/>
      <c r="CF436" s="41"/>
      <c r="CG436" s="41"/>
      <c r="CH436" s="41"/>
      <c r="CI436" s="41"/>
      <c r="CJ436" s="41"/>
      <c r="CK436" s="41"/>
      <c r="CL436" s="41"/>
      <c r="CM436" s="41"/>
      <c r="CN436" s="41"/>
      <c r="CO436" s="41"/>
      <c r="CP436" s="41"/>
      <c r="CQ436" s="41"/>
      <c r="CR436" s="41"/>
      <c r="CS436" s="41"/>
      <c r="CT436" s="41"/>
      <c r="CU436" s="41"/>
      <c r="CV436" s="41"/>
      <c r="CW436" s="41"/>
    </row>
    <row r="437" spans="1:101" ht="16.5" x14ac:dyDescent="0.35">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41"/>
      <c r="AW437" s="41"/>
      <c r="AX437" s="41"/>
      <c r="AY437" s="41"/>
      <c r="AZ437" s="41"/>
      <c r="BA437" s="41"/>
      <c r="BB437" s="41"/>
      <c r="BC437" s="41"/>
      <c r="BD437" s="41"/>
      <c r="BE437" s="41"/>
      <c r="BF437" s="41"/>
      <c r="BG437" s="41"/>
      <c r="BH437" s="41"/>
      <c r="BI437" s="41"/>
      <c r="BJ437" s="41"/>
      <c r="BK437" s="41"/>
      <c r="BL437" s="41"/>
      <c r="BM437" s="41"/>
      <c r="BN437" s="41"/>
      <c r="BO437" s="41"/>
      <c r="BP437" s="41"/>
      <c r="BQ437" s="41"/>
      <c r="BR437" s="41"/>
      <c r="BS437" s="41"/>
      <c r="BT437" s="41"/>
      <c r="BU437" s="41"/>
      <c r="BV437" s="41"/>
      <c r="BW437" s="41"/>
      <c r="BX437" s="41"/>
      <c r="BY437" s="41"/>
      <c r="BZ437" s="41"/>
      <c r="CA437" s="41"/>
      <c r="CB437" s="41"/>
      <c r="CC437" s="41"/>
      <c r="CD437" s="41"/>
      <c r="CE437" s="41"/>
      <c r="CF437" s="41"/>
      <c r="CG437" s="41"/>
      <c r="CH437" s="41"/>
      <c r="CI437" s="41"/>
      <c r="CJ437" s="41"/>
      <c r="CK437" s="41"/>
      <c r="CL437" s="41"/>
      <c r="CM437" s="41"/>
      <c r="CN437" s="41"/>
      <c r="CO437" s="41"/>
      <c r="CP437" s="41"/>
      <c r="CQ437" s="41"/>
      <c r="CR437" s="41"/>
      <c r="CS437" s="41"/>
      <c r="CT437" s="41"/>
      <c r="CU437" s="41"/>
      <c r="CV437" s="41"/>
      <c r="CW437" s="41"/>
    </row>
    <row r="438" spans="1:101" ht="16.5" x14ac:dyDescent="0.35">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41"/>
      <c r="AW438" s="41"/>
      <c r="AX438" s="41"/>
      <c r="AY438" s="41"/>
      <c r="AZ438" s="41"/>
      <c r="BA438" s="41"/>
      <c r="BB438" s="41"/>
      <c r="BC438" s="41"/>
      <c r="BD438" s="41"/>
      <c r="BE438" s="41"/>
      <c r="BF438" s="41"/>
      <c r="BG438" s="41"/>
      <c r="BH438" s="41"/>
      <c r="BI438" s="41"/>
      <c r="BJ438" s="41"/>
      <c r="BK438" s="41"/>
      <c r="BL438" s="41"/>
      <c r="BM438" s="41"/>
      <c r="BN438" s="41"/>
      <c r="BO438" s="41"/>
      <c r="BP438" s="41"/>
      <c r="BQ438" s="41"/>
      <c r="BR438" s="41"/>
      <c r="BS438" s="41"/>
      <c r="BT438" s="41"/>
      <c r="BU438" s="41"/>
      <c r="BV438" s="41"/>
      <c r="BW438" s="41"/>
      <c r="BX438" s="41"/>
      <c r="BY438" s="41"/>
      <c r="BZ438" s="41"/>
      <c r="CA438" s="41"/>
      <c r="CB438" s="41"/>
      <c r="CC438" s="41"/>
      <c r="CD438" s="41"/>
      <c r="CE438" s="41"/>
      <c r="CF438" s="41"/>
      <c r="CG438" s="41"/>
      <c r="CH438" s="41"/>
      <c r="CI438" s="41"/>
      <c r="CJ438" s="41"/>
      <c r="CK438" s="41"/>
      <c r="CL438" s="41"/>
      <c r="CM438" s="41"/>
      <c r="CN438" s="41"/>
      <c r="CO438" s="41"/>
      <c r="CP438" s="41"/>
      <c r="CQ438" s="41"/>
      <c r="CR438" s="41"/>
      <c r="CS438" s="41"/>
      <c r="CT438" s="41"/>
      <c r="CU438" s="41"/>
      <c r="CV438" s="41"/>
      <c r="CW438" s="41"/>
    </row>
    <row r="439" spans="1:101" ht="16.5" x14ac:dyDescent="0.35">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41"/>
      <c r="AW439" s="41"/>
      <c r="AX439" s="41"/>
      <c r="AY439" s="41"/>
      <c r="AZ439" s="41"/>
      <c r="BA439" s="41"/>
      <c r="BB439" s="41"/>
      <c r="BC439" s="41"/>
      <c r="BD439" s="41"/>
      <c r="BE439" s="41"/>
      <c r="BF439" s="41"/>
      <c r="BG439" s="41"/>
      <c r="BH439" s="41"/>
      <c r="BI439" s="41"/>
      <c r="BJ439" s="41"/>
      <c r="BK439" s="41"/>
      <c r="BL439" s="41"/>
      <c r="BM439" s="41"/>
      <c r="BN439" s="41"/>
      <c r="BO439" s="41"/>
      <c r="BP439" s="41"/>
      <c r="BQ439" s="41"/>
      <c r="BR439" s="41"/>
      <c r="BS439" s="41"/>
      <c r="BT439" s="41"/>
      <c r="BU439" s="41"/>
      <c r="BV439" s="41"/>
      <c r="BW439" s="41"/>
      <c r="BX439" s="41"/>
      <c r="BY439" s="41"/>
      <c r="BZ439" s="41"/>
      <c r="CA439" s="41"/>
      <c r="CB439" s="41"/>
      <c r="CC439" s="41"/>
      <c r="CD439" s="41"/>
      <c r="CE439" s="41"/>
      <c r="CF439" s="41"/>
      <c r="CG439" s="41"/>
      <c r="CH439" s="41"/>
      <c r="CI439" s="41"/>
      <c r="CJ439" s="41"/>
      <c r="CK439" s="41"/>
      <c r="CL439" s="41"/>
      <c r="CM439" s="41"/>
      <c r="CN439" s="41"/>
      <c r="CO439" s="41"/>
      <c r="CP439" s="41"/>
      <c r="CQ439" s="41"/>
      <c r="CR439" s="41"/>
      <c r="CS439" s="41"/>
      <c r="CT439" s="41"/>
      <c r="CU439" s="41"/>
      <c r="CV439" s="41"/>
      <c r="CW439" s="41"/>
    </row>
    <row r="440" spans="1:101" ht="16.5" x14ac:dyDescent="0.35">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c r="AJ440" s="41"/>
      <c r="AK440" s="41"/>
      <c r="AL440" s="41"/>
      <c r="AM440" s="41"/>
      <c r="AN440" s="41"/>
      <c r="AO440" s="41"/>
      <c r="AP440" s="41"/>
      <c r="AQ440" s="41"/>
      <c r="AR440" s="41"/>
      <c r="AS440" s="41"/>
      <c r="AT440" s="41"/>
      <c r="AU440" s="41"/>
      <c r="AV440" s="41"/>
      <c r="AW440" s="41"/>
      <c r="AX440" s="41"/>
      <c r="AY440" s="41"/>
      <c r="AZ440" s="41"/>
      <c r="BA440" s="41"/>
      <c r="BB440" s="41"/>
      <c r="BC440" s="41"/>
      <c r="BD440" s="41"/>
      <c r="BE440" s="41"/>
      <c r="BF440" s="41"/>
      <c r="BG440" s="41"/>
      <c r="BH440" s="41"/>
      <c r="BI440" s="41"/>
      <c r="BJ440" s="41"/>
      <c r="BK440" s="41"/>
      <c r="BL440" s="41"/>
      <c r="BM440" s="41"/>
      <c r="BN440" s="41"/>
      <c r="BO440" s="41"/>
      <c r="BP440" s="41"/>
      <c r="BQ440" s="41"/>
      <c r="BR440" s="41"/>
      <c r="BS440" s="41"/>
      <c r="BT440" s="41"/>
      <c r="BU440" s="41"/>
      <c r="BV440" s="41"/>
      <c r="BW440" s="41"/>
      <c r="BX440" s="41"/>
      <c r="BY440" s="41"/>
      <c r="BZ440" s="41"/>
      <c r="CA440" s="41"/>
      <c r="CB440" s="41"/>
      <c r="CC440" s="41"/>
      <c r="CD440" s="41"/>
      <c r="CE440" s="41"/>
      <c r="CF440" s="41"/>
      <c r="CG440" s="41"/>
      <c r="CH440" s="41"/>
      <c r="CI440" s="41"/>
      <c r="CJ440" s="41"/>
      <c r="CK440" s="41"/>
      <c r="CL440" s="41"/>
      <c r="CM440" s="41"/>
      <c r="CN440" s="41"/>
      <c r="CO440" s="41"/>
      <c r="CP440" s="41"/>
      <c r="CQ440" s="41"/>
      <c r="CR440" s="41"/>
      <c r="CS440" s="41"/>
      <c r="CT440" s="41"/>
      <c r="CU440" s="41"/>
      <c r="CV440" s="41"/>
      <c r="CW440" s="41"/>
    </row>
    <row r="441" spans="1:101" ht="16.5" x14ac:dyDescent="0.35">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c r="AJ441" s="41"/>
      <c r="AK441" s="41"/>
      <c r="AL441" s="41"/>
      <c r="AM441" s="41"/>
      <c r="AN441" s="41"/>
      <c r="AO441" s="41"/>
      <c r="AP441" s="41"/>
      <c r="AQ441" s="41"/>
      <c r="AR441" s="41"/>
      <c r="AS441" s="41"/>
      <c r="AT441" s="41"/>
      <c r="AU441" s="41"/>
      <c r="AV441" s="41"/>
      <c r="AW441" s="41"/>
      <c r="AX441" s="41"/>
      <c r="AY441" s="41"/>
      <c r="AZ441" s="41"/>
      <c r="BA441" s="41"/>
      <c r="BB441" s="41"/>
      <c r="BC441" s="41"/>
      <c r="BD441" s="41"/>
      <c r="BE441" s="41"/>
      <c r="BF441" s="41"/>
      <c r="BG441" s="41"/>
      <c r="BH441" s="41"/>
      <c r="BI441" s="41"/>
      <c r="BJ441" s="41"/>
      <c r="BK441" s="41"/>
      <c r="BL441" s="41"/>
      <c r="BM441" s="41"/>
      <c r="BN441" s="41"/>
      <c r="BO441" s="41"/>
      <c r="BP441" s="41"/>
      <c r="BQ441" s="41"/>
      <c r="BR441" s="41"/>
      <c r="BS441" s="41"/>
      <c r="BT441" s="41"/>
      <c r="BU441" s="41"/>
      <c r="BV441" s="41"/>
      <c r="BW441" s="41"/>
      <c r="BX441" s="41"/>
      <c r="BY441" s="41"/>
      <c r="BZ441" s="41"/>
      <c r="CA441" s="41"/>
      <c r="CB441" s="41"/>
      <c r="CC441" s="41"/>
      <c r="CD441" s="41"/>
      <c r="CE441" s="41"/>
      <c r="CF441" s="41"/>
      <c r="CG441" s="41"/>
      <c r="CH441" s="41"/>
      <c r="CI441" s="41"/>
      <c r="CJ441" s="41"/>
      <c r="CK441" s="41"/>
      <c r="CL441" s="41"/>
      <c r="CM441" s="41"/>
      <c r="CN441" s="41"/>
      <c r="CO441" s="41"/>
      <c r="CP441" s="41"/>
      <c r="CQ441" s="41"/>
      <c r="CR441" s="41"/>
      <c r="CS441" s="41"/>
      <c r="CT441" s="41"/>
      <c r="CU441" s="41"/>
      <c r="CV441" s="41"/>
      <c r="CW441" s="41"/>
    </row>
    <row r="442" spans="1:101" ht="16.5" x14ac:dyDescent="0.35">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c r="AJ442" s="41"/>
      <c r="AK442" s="41"/>
      <c r="AL442" s="41"/>
      <c r="AM442" s="41"/>
      <c r="AN442" s="41"/>
      <c r="AO442" s="41"/>
      <c r="AP442" s="41"/>
      <c r="AQ442" s="41"/>
      <c r="AR442" s="41"/>
      <c r="AS442" s="41"/>
      <c r="AT442" s="41"/>
      <c r="AU442" s="41"/>
      <c r="AV442" s="41"/>
      <c r="AW442" s="41"/>
      <c r="AX442" s="41"/>
      <c r="AY442" s="41"/>
      <c r="AZ442" s="41"/>
      <c r="BA442" s="41"/>
      <c r="BB442" s="41"/>
      <c r="BC442" s="41"/>
      <c r="BD442" s="41"/>
      <c r="BE442" s="41"/>
      <c r="BF442" s="41"/>
      <c r="BG442" s="41"/>
      <c r="BH442" s="41"/>
      <c r="BI442" s="41"/>
      <c r="BJ442" s="41"/>
      <c r="BK442" s="41"/>
      <c r="BL442" s="41"/>
      <c r="BM442" s="41"/>
      <c r="BN442" s="41"/>
      <c r="BO442" s="41"/>
      <c r="BP442" s="41"/>
      <c r="BQ442" s="41"/>
      <c r="BR442" s="41"/>
      <c r="BS442" s="41"/>
      <c r="BT442" s="41"/>
      <c r="BU442" s="41"/>
      <c r="BV442" s="41"/>
      <c r="BW442" s="41"/>
      <c r="BX442" s="41"/>
      <c r="BY442" s="41"/>
      <c r="BZ442" s="41"/>
      <c r="CA442" s="41"/>
      <c r="CB442" s="41"/>
      <c r="CC442" s="41"/>
      <c r="CD442" s="41"/>
      <c r="CE442" s="41"/>
      <c r="CF442" s="41"/>
      <c r="CG442" s="41"/>
      <c r="CH442" s="41"/>
      <c r="CI442" s="41"/>
      <c r="CJ442" s="41"/>
      <c r="CK442" s="41"/>
      <c r="CL442" s="41"/>
      <c r="CM442" s="41"/>
      <c r="CN442" s="41"/>
      <c r="CO442" s="41"/>
      <c r="CP442" s="41"/>
      <c r="CQ442" s="41"/>
      <c r="CR442" s="41"/>
      <c r="CS442" s="41"/>
      <c r="CT442" s="41"/>
      <c r="CU442" s="41"/>
      <c r="CV442" s="41"/>
      <c r="CW442" s="41"/>
    </row>
    <row r="443" spans="1:101" ht="16.5" x14ac:dyDescent="0.35">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c r="AJ443" s="41"/>
      <c r="AK443" s="41"/>
      <c r="AL443" s="41"/>
      <c r="AM443" s="41"/>
      <c r="AN443" s="41"/>
      <c r="AO443" s="41"/>
      <c r="AP443" s="41"/>
      <c r="AQ443" s="41"/>
      <c r="AR443" s="41"/>
      <c r="AS443" s="41"/>
      <c r="AT443" s="41"/>
      <c r="AU443" s="41"/>
      <c r="AV443" s="41"/>
      <c r="AW443" s="41"/>
      <c r="AX443" s="41"/>
      <c r="AY443" s="41"/>
      <c r="AZ443" s="41"/>
      <c r="BA443" s="41"/>
      <c r="BB443" s="41"/>
      <c r="BC443" s="41"/>
      <c r="BD443" s="41"/>
      <c r="BE443" s="41"/>
      <c r="BF443" s="41"/>
      <c r="BG443" s="41"/>
      <c r="BH443" s="41"/>
      <c r="BI443" s="41"/>
      <c r="BJ443" s="41"/>
      <c r="BK443" s="41"/>
      <c r="BL443" s="41"/>
      <c r="BM443" s="41"/>
      <c r="BN443" s="41"/>
      <c r="BO443" s="41"/>
      <c r="BP443" s="41"/>
      <c r="BQ443" s="41"/>
      <c r="BR443" s="41"/>
      <c r="BS443" s="41"/>
      <c r="BT443" s="41"/>
      <c r="BU443" s="41"/>
      <c r="BV443" s="41"/>
      <c r="BW443" s="41"/>
      <c r="BX443" s="41"/>
      <c r="BY443" s="41"/>
      <c r="BZ443" s="41"/>
      <c r="CA443" s="41"/>
      <c r="CB443" s="41"/>
      <c r="CC443" s="41"/>
      <c r="CD443" s="41"/>
      <c r="CE443" s="41"/>
      <c r="CF443" s="41"/>
      <c r="CG443" s="41"/>
      <c r="CH443" s="41"/>
      <c r="CI443" s="41"/>
      <c r="CJ443" s="41"/>
      <c r="CK443" s="41"/>
      <c r="CL443" s="41"/>
      <c r="CM443" s="41"/>
      <c r="CN443" s="41"/>
      <c r="CO443" s="41"/>
      <c r="CP443" s="41"/>
      <c r="CQ443" s="41"/>
      <c r="CR443" s="41"/>
      <c r="CS443" s="41"/>
      <c r="CT443" s="41"/>
      <c r="CU443" s="41"/>
      <c r="CV443" s="41"/>
      <c r="CW443" s="41"/>
    </row>
    <row r="444" spans="1:101" ht="16.5" x14ac:dyDescent="0.35">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c r="AJ444" s="41"/>
      <c r="AK444" s="41"/>
      <c r="AL444" s="41"/>
      <c r="AM444" s="41"/>
      <c r="AN444" s="41"/>
      <c r="AO444" s="41"/>
      <c r="AP444" s="41"/>
      <c r="AQ444" s="41"/>
      <c r="AR444" s="41"/>
      <c r="AS444" s="41"/>
      <c r="AT444" s="41"/>
      <c r="AU444" s="41"/>
      <c r="AV444" s="41"/>
      <c r="AW444" s="41"/>
      <c r="AX444" s="41"/>
      <c r="AY444" s="41"/>
      <c r="AZ444" s="41"/>
      <c r="BA444" s="41"/>
      <c r="BB444" s="41"/>
      <c r="BC444" s="41"/>
      <c r="BD444" s="41"/>
      <c r="BE444" s="41"/>
      <c r="BF444" s="41"/>
      <c r="BG444" s="41"/>
      <c r="BH444" s="41"/>
      <c r="BI444" s="41"/>
      <c r="BJ444" s="41"/>
      <c r="BK444" s="41"/>
      <c r="BL444" s="41"/>
      <c r="BM444" s="41"/>
      <c r="BN444" s="41"/>
      <c r="BO444" s="41"/>
      <c r="BP444" s="41"/>
      <c r="BQ444" s="41"/>
      <c r="BR444" s="41"/>
      <c r="BS444" s="41"/>
      <c r="BT444" s="41"/>
      <c r="BU444" s="41"/>
      <c r="BV444" s="41"/>
      <c r="BW444" s="41"/>
      <c r="BX444" s="41"/>
      <c r="BY444" s="41"/>
      <c r="BZ444" s="41"/>
      <c r="CA444" s="41"/>
      <c r="CB444" s="41"/>
      <c r="CC444" s="41"/>
      <c r="CD444" s="41"/>
      <c r="CE444" s="41"/>
      <c r="CF444" s="41"/>
      <c r="CG444" s="41"/>
      <c r="CH444" s="41"/>
      <c r="CI444" s="41"/>
      <c r="CJ444" s="41"/>
      <c r="CK444" s="41"/>
      <c r="CL444" s="41"/>
      <c r="CM444" s="41"/>
      <c r="CN444" s="41"/>
      <c r="CO444" s="41"/>
      <c r="CP444" s="41"/>
      <c r="CQ444" s="41"/>
      <c r="CR444" s="41"/>
      <c r="CS444" s="41"/>
      <c r="CT444" s="41"/>
      <c r="CU444" s="41"/>
      <c r="CV444" s="41"/>
      <c r="CW444" s="41"/>
    </row>
    <row r="445" spans="1:101" ht="16.5" x14ac:dyDescent="0.35">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c r="AJ445" s="41"/>
      <c r="AK445" s="41"/>
      <c r="AL445" s="41"/>
      <c r="AM445" s="41"/>
      <c r="AN445" s="41"/>
      <c r="AO445" s="41"/>
      <c r="AP445" s="41"/>
      <c r="AQ445" s="41"/>
      <c r="AR445" s="41"/>
      <c r="AS445" s="41"/>
      <c r="AT445" s="41"/>
      <c r="AU445" s="41"/>
      <c r="AV445" s="41"/>
      <c r="AW445" s="41"/>
      <c r="AX445" s="41"/>
      <c r="AY445" s="41"/>
      <c r="AZ445" s="41"/>
      <c r="BA445" s="41"/>
      <c r="BB445" s="41"/>
      <c r="BC445" s="41"/>
      <c r="BD445" s="41"/>
      <c r="BE445" s="41"/>
      <c r="BF445" s="41"/>
      <c r="BG445" s="41"/>
      <c r="BH445" s="41"/>
      <c r="BI445" s="41"/>
      <c r="BJ445" s="41"/>
      <c r="BK445" s="41"/>
      <c r="BL445" s="41"/>
      <c r="BM445" s="41"/>
      <c r="BN445" s="41"/>
      <c r="BO445" s="41"/>
      <c r="BP445" s="41"/>
      <c r="BQ445" s="41"/>
      <c r="BR445" s="41"/>
      <c r="BS445" s="41"/>
      <c r="BT445" s="41"/>
      <c r="BU445" s="41"/>
      <c r="BV445" s="41"/>
      <c r="BW445" s="41"/>
      <c r="BX445" s="41"/>
      <c r="BY445" s="41"/>
      <c r="BZ445" s="41"/>
      <c r="CA445" s="41"/>
      <c r="CB445" s="41"/>
      <c r="CC445" s="41"/>
      <c r="CD445" s="41"/>
      <c r="CE445" s="41"/>
      <c r="CF445" s="41"/>
      <c r="CG445" s="41"/>
      <c r="CH445" s="41"/>
      <c r="CI445" s="41"/>
      <c r="CJ445" s="41"/>
      <c r="CK445" s="41"/>
      <c r="CL445" s="41"/>
      <c r="CM445" s="41"/>
      <c r="CN445" s="41"/>
      <c r="CO445" s="41"/>
      <c r="CP445" s="41"/>
      <c r="CQ445" s="41"/>
      <c r="CR445" s="41"/>
      <c r="CS445" s="41"/>
      <c r="CT445" s="41"/>
      <c r="CU445" s="41"/>
      <c r="CV445" s="41"/>
      <c r="CW445" s="41"/>
    </row>
    <row r="446" spans="1:101" ht="16.5" x14ac:dyDescent="0.35">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c r="AJ446" s="41"/>
      <c r="AK446" s="41"/>
      <c r="AL446" s="41"/>
      <c r="AM446" s="41"/>
      <c r="AN446" s="41"/>
      <c r="AO446" s="41"/>
      <c r="AP446" s="41"/>
      <c r="AQ446" s="41"/>
      <c r="AR446" s="41"/>
      <c r="AS446" s="41"/>
      <c r="AT446" s="41"/>
      <c r="AU446" s="41"/>
      <c r="AV446" s="41"/>
      <c r="AW446" s="41"/>
      <c r="AX446" s="41"/>
      <c r="AY446" s="41"/>
      <c r="AZ446" s="41"/>
      <c r="BA446" s="41"/>
      <c r="BB446" s="41"/>
      <c r="BC446" s="41"/>
      <c r="BD446" s="41"/>
      <c r="BE446" s="41"/>
      <c r="BF446" s="41"/>
      <c r="BG446" s="41"/>
      <c r="BH446" s="41"/>
      <c r="BI446" s="41"/>
      <c r="BJ446" s="41"/>
      <c r="BK446" s="41"/>
      <c r="BL446" s="41"/>
      <c r="BM446" s="41"/>
      <c r="BN446" s="41"/>
      <c r="BO446" s="41"/>
      <c r="BP446" s="41"/>
      <c r="BQ446" s="41"/>
      <c r="BR446" s="41"/>
      <c r="BS446" s="41"/>
      <c r="BT446" s="41"/>
      <c r="BU446" s="41"/>
      <c r="BV446" s="41"/>
      <c r="BW446" s="41"/>
      <c r="BX446" s="41"/>
      <c r="BY446" s="41"/>
      <c r="BZ446" s="41"/>
      <c r="CA446" s="41"/>
      <c r="CB446" s="41"/>
      <c r="CC446" s="41"/>
      <c r="CD446" s="41"/>
      <c r="CE446" s="41"/>
      <c r="CF446" s="41"/>
      <c r="CG446" s="41"/>
      <c r="CH446" s="41"/>
      <c r="CI446" s="41"/>
      <c r="CJ446" s="41"/>
      <c r="CK446" s="41"/>
      <c r="CL446" s="41"/>
      <c r="CM446" s="41"/>
      <c r="CN446" s="41"/>
      <c r="CO446" s="41"/>
      <c r="CP446" s="41"/>
      <c r="CQ446" s="41"/>
      <c r="CR446" s="41"/>
      <c r="CS446" s="41"/>
      <c r="CT446" s="41"/>
      <c r="CU446" s="41"/>
      <c r="CV446" s="41"/>
      <c r="CW446" s="41"/>
    </row>
    <row r="447" spans="1:101" ht="16.5" x14ac:dyDescent="0.35">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c r="AJ447" s="41"/>
      <c r="AK447" s="41"/>
      <c r="AL447" s="41"/>
      <c r="AM447" s="41"/>
      <c r="AN447" s="41"/>
      <c r="AO447" s="41"/>
      <c r="AP447" s="41"/>
      <c r="AQ447" s="41"/>
      <c r="AR447" s="41"/>
      <c r="AS447" s="41"/>
      <c r="AT447" s="41"/>
      <c r="AU447" s="41"/>
      <c r="AV447" s="41"/>
      <c r="AW447" s="41"/>
      <c r="AX447" s="41"/>
      <c r="AY447" s="41"/>
      <c r="AZ447" s="41"/>
      <c r="BA447" s="41"/>
      <c r="BB447" s="41"/>
      <c r="BC447" s="41"/>
      <c r="BD447" s="41"/>
      <c r="BE447" s="41"/>
      <c r="BF447" s="41"/>
      <c r="BG447" s="41"/>
      <c r="BH447" s="41"/>
      <c r="BI447" s="41"/>
      <c r="BJ447" s="41"/>
      <c r="BK447" s="41"/>
      <c r="BL447" s="41"/>
      <c r="BM447" s="41"/>
      <c r="BN447" s="41"/>
      <c r="BO447" s="41"/>
      <c r="BP447" s="41"/>
      <c r="BQ447" s="41"/>
      <c r="BR447" s="41"/>
      <c r="BS447" s="41"/>
      <c r="BT447" s="41"/>
      <c r="BU447" s="41"/>
      <c r="BV447" s="41"/>
      <c r="BW447" s="41"/>
      <c r="BX447" s="41"/>
      <c r="BY447" s="41"/>
      <c r="BZ447" s="41"/>
      <c r="CA447" s="41"/>
      <c r="CB447" s="41"/>
      <c r="CC447" s="41"/>
      <c r="CD447" s="41"/>
      <c r="CE447" s="41"/>
      <c r="CF447" s="41"/>
      <c r="CG447" s="41"/>
      <c r="CH447" s="41"/>
      <c r="CI447" s="41"/>
      <c r="CJ447" s="41"/>
      <c r="CK447" s="41"/>
      <c r="CL447" s="41"/>
      <c r="CM447" s="41"/>
      <c r="CN447" s="41"/>
      <c r="CO447" s="41"/>
      <c r="CP447" s="41"/>
      <c r="CQ447" s="41"/>
      <c r="CR447" s="41"/>
      <c r="CS447" s="41"/>
      <c r="CT447" s="41"/>
      <c r="CU447" s="41"/>
      <c r="CV447" s="41"/>
      <c r="CW447" s="41"/>
    </row>
    <row r="448" spans="1:101" ht="16.5" x14ac:dyDescent="0.35">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c r="AJ448" s="41"/>
      <c r="AK448" s="41"/>
      <c r="AL448" s="41"/>
      <c r="AM448" s="41"/>
      <c r="AN448" s="41"/>
      <c r="AO448" s="41"/>
      <c r="AP448" s="41"/>
      <c r="AQ448" s="41"/>
      <c r="AR448" s="41"/>
      <c r="AS448" s="41"/>
      <c r="AT448" s="41"/>
      <c r="AU448" s="41"/>
      <c r="AV448" s="41"/>
      <c r="AW448" s="41"/>
      <c r="AX448" s="41"/>
      <c r="AY448" s="41"/>
      <c r="AZ448" s="41"/>
      <c r="BA448" s="41"/>
      <c r="BB448" s="41"/>
      <c r="BC448" s="41"/>
      <c r="BD448" s="41"/>
      <c r="BE448" s="41"/>
      <c r="BF448" s="41"/>
      <c r="BG448" s="41"/>
      <c r="BH448" s="41"/>
      <c r="BI448" s="41"/>
      <c r="BJ448" s="41"/>
      <c r="BK448" s="41"/>
      <c r="BL448" s="41"/>
      <c r="BM448" s="41"/>
      <c r="BN448" s="41"/>
      <c r="BO448" s="41"/>
      <c r="BP448" s="41"/>
      <c r="BQ448" s="41"/>
      <c r="BR448" s="41"/>
      <c r="BS448" s="41"/>
      <c r="BT448" s="41"/>
      <c r="BU448" s="41"/>
      <c r="BV448" s="41"/>
      <c r="BW448" s="41"/>
      <c r="BX448" s="41"/>
      <c r="BY448" s="41"/>
      <c r="BZ448" s="41"/>
      <c r="CA448" s="41"/>
      <c r="CB448" s="41"/>
      <c r="CC448" s="41"/>
      <c r="CD448" s="41"/>
      <c r="CE448" s="41"/>
      <c r="CF448" s="41"/>
      <c r="CG448" s="41"/>
      <c r="CH448" s="41"/>
      <c r="CI448" s="41"/>
      <c r="CJ448" s="41"/>
      <c r="CK448" s="41"/>
      <c r="CL448" s="41"/>
      <c r="CM448" s="41"/>
      <c r="CN448" s="41"/>
      <c r="CO448" s="41"/>
      <c r="CP448" s="41"/>
      <c r="CQ448" s="41"/>
      <c r="CR448" s="41"/>
      <c r="CS448" s="41"/>
      <c r="CT448" s="41"/>
      <c r="CU448" s="41"/>
      <c r="CV448" s="41"/>
      <c r="CW448" s="41"/>
    </row>
    <row r="449" spans="1:101" ht="16.5" x14ac:dyDescent="0.35">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c r="AP449" s="41"/>
      <c r="AQ449" s="41"/>
      <c r="AR449" s="41"/>
      <c r="AS449" s="41"/>
      <c r="AT449" s="41"/>
      <c r="AU449" s="41"/>
      <c r="AV449" s="41"/>
      <c r="AW449" s="41"/>
      <c r="AX449" s="41"/>
      <c r="AY449" s="41"/>
      <c r="AZ449" s="41"/>
      <c r="BA449" s="41"/>
      <c r="BB449" s="41"/>
      <c r="BC449" s="41"/>
      <c r="BD449" s="41"/>
      <c r="BE449" s="41"/>
      <c r="BF449" s="41"/>
      <c r="BG449" s="41"/>
      <c r="BH449" s="41"/>
      <c r="BI449" s="41"/>
      <c r="BJ449" s="41"/>
      <c r="BK449" s="41"/>
      <c r="BL449" s="41"/>
      <c r="BM449" s="41"/>
      <c r="BN449" s="41"/>
      <c r="BO449" s="41"/>
      <c r="BP449" s="41"/>
      <c r="BQ449" s="41"/>
      <c r="BR449" s="41"/>
      <c r="BS449" s="41"/>
      <c r="BT449" s="41"/>
      <c r="BU449" s="41"/>
      <c r="BV449" s="41"/>
      <c r="BW449" s="41"/>
      <c r="BX449" s="41"/>
      <c r="BY449" s="41"/>
      <c r="BZ449" s="41"/>
      <c r="CA449" s="41"/>
      <c r="CB449" s="41"/>
      <c r="CC449" s="41"/>
      <c r="CD449" s="41"/>
      <c r="CE449" s="41"/>
      <c r="CF449" s="41"/>
      <c r="CG449" s="41"/>
      <c r="CH449" s="41"/>
      <c r="CI449" s="41"/>
      <c r="CJ449" s="41"/>
      <c r="CK449" s="41"/>
      <c r="CL449" s="41"/>
      <c r="CM449" s="41"/>
      <c r="CN449" s="41"/>
      <c r="CO449" s="41"/>
      <c r="CP449" s="41"/>
      <c r="CQ449" s="41"/>
      <c r="CR449" s="41"/>
      <c r="CS449" s="41"/>
      <c r="CT449" s="41"/>
      <c r="CU449" s="41"/>
      <c r="CV449" s="41"/>
      <c r="CW449" s="41"/>
    </row>
    <row r="450" spans="1:101" ht="16.5" x14ac:dyDescent="0.35">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c r="AJ450" s="41"/>
      <c r="AK450" s="41"/>
      <c r="AL450" s="41"/>
      <c r="AM450" s="41"/>
      <c r="AN450" s="41"/>
      <c r="AO450" s="41"/>
      <c r="AP450" s="41"/>
      <c r="AQ450" s="41"/>
      <c r="AR450" s="41"/>
      <c r="AS450" s="41"/>
      <c r="AT450" s="41"/>
      <c r="AU450" s="41"/>
      <c r="AV450" s="41"/>
      <c r="AW450" s="41"/>
      <c r="AX450" s="41"/>
      <c r="AY450" s="41"/>
      <c r="AZ450" s="41"/>
      <c r="BA450" s="41"/>
      <c r="BB450" s="41"/>
      <c r="BC450" s="41"/>
      <c r="BD450" s="41"/>
      <c r="BE450" s="41"/>
      <c r="BF450" s="41"/>
      <c r="BG450" s="41"/>
      <c r="BH450" s="41"/>
      <c r="BI450" s="41"/>
      <c r="BJ450" s="41"/>
      <c r="BK450" s="41"/>
      <c r="BL450" s="41"/>
      <c r="BM450" s="41"/>
      <c r="BN450" s="41"/>
      <c r="BO450" s="41"/>
      <c r="BP450" s="41"/>
      <c r="BQ450" s="41"/>
      <c r="BR450" s="41"/>
      <c r="BS450" s="41"/>
      <c r="BT450" s="41"/>
      <c r="BU450" s="41"/>
      <c r="BV450" s="41"/>
      <c r="BW450" s="41"/>
      <c r="BX450" s="41"/>
      <c r="BY450" s="41"/>
      <c r="BZ450" s="41"/>
      <c r="CA450" s="41"/>
      <c r="CB450" s="41"/>
      <c r="CC450" s="41"/>
      <c r="CD450" s="41"/>
      <c r="CE450" s="41"/>
      <c r="CF450" s="41"/>
      <c r="CG450" s="41"/>
      <c r="CH450" s="41"/>
      <c r="CI450" s="41"/>
      <c r="CJ450" s="41"/>
      <c r="CK450" s="41"/>
      <c r="CL450" s="41"/>
      <c r="CM450" s="41"/>
      <c r="CN450" s="41"/>
      <c r="CO450" s="41"/>
      <c r="CP450" s="41"/>
      <c r="CQ450" s="41"/>
      <c r="CR450" s="41"/>
      <c r="CS450" s="41"/>
      <c r="CT450" s="41"/>
      <c r="CU450" s="41"/>
      <c r="CV450" s="41"/>
      <c r="CW450" s="41"/>
    </row>
    <row r="451" spans="1:101" ht="16.5" x14ac:dyDescent="0.35">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c r="AJ451" s="41"/>
      <c r="AK451" s="41"/>
      <c r="AL451" s="41"/>
      <c r="AM451" s="41"/>
      <c r="AN451" s="41"/>
      <c r="AO451" s="41"/>
      <c r="AP451" s="41"/>
      <c r="AQ451" s="41"/>
      <c r="AR451" s="41"/>
      <c r="AS451" s="41"/>
      <c r="AT451" s="41"/>
      <c r="AU451" s="41"/>
      <c r="AV451" s="41"/>
      <c r="AW451" s="41"/>
      <c r="AX451" s="41"/>
      <c r="AY451" s="41"/>
      <c r="AZ451" s="41"/>
      <c r="BA451" s="41"/>
      <c r="BB451" s="41"/>
      <c r="BC451" s="41"/>
      <c r="BD451" s="41"/>
      <c r="BE451" s="41"/>
      <c r="BF451" s="41"/>
      <c r="BG451" s="41"/>
      <c r="BH451" s="41"/>
      <c r="BI451" s="41"/>
      <c r="BJ451" s="41"/>
      <c r="BK451" s="41"/>
      <c r="BL451" s="41"/>
      <c r="BM451" s="41"/>
      <c r="BN451" s="41"/>
      <c r="BO451" s="41"/>
      <c r="BP451" s="41"/>
      <c r="BQ451" s="41"/>
      <c r="BR451" s="41"/>
      <c r="BS451" s="41"/>
      <c r="BT451" s="41"/>
      <c r="BU451" s="41"/>
      <c r="BV451" s="41"/>
      <c r="BW451" s="41"/>
      <c r="BX451" s="41"/>
      <c r="BY451" s="41"/>
      <c r="BZ451" s="41"/>
      <c r="CA451" s="41"/>
      <c r="CB451" s="41"/>
      <c r="CC451" s="41"/>
      <c r="CD451" s="41"/>
      <c r="CE451" s="41"/>
      <c r="CF451" s="41"/>
      <c r="CG451" s="41"/>
      <c r="CH451" s="41"/>
      <c r="CI451" s="41"/>
      <c r="CJ451" s="41"/>
      <c r="CK451" s="41"/>
      <c r="CL451" s="41"/>
      <c r="CM451" s="41"/>
      <c r="CN451" s="41"/>
      <c r="CO451" s="41"/>
      <c r="CP451" s="41"/>
      <c r="CQ451" s="41"/>
      <c r="CR451" s="41"/>
      <c r="CS451" s="41"/>
      <c r="CT451" s="41"/>
      <c r="CU451" s="41"/>
      <c r="CV451" s="41"/>
      <c r="CW451" s="41"/>
    </row>
    <row r="452" spans="1:101" ht="16.5" x14ac:dyDescent="0.35">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c r="AJ452" s="41"/>
      <c r="AK452" s="41"/>
      <c r="AL452" s="41"/>
      <c r="AM452" s="41"/>
      <c r="AN452" s="41"/>
      <c r="AO452" s="41"/>
      <c r="AP452" s="41"/>
      <c r="AQ452" s="41"/>
      <c r="AR452" s="41"/>
      <c r="AS452" s="41"/>
      <c r="AT452" s="41"/>
      <c r="AU452" s="41"/>
      <c r="AV452" s="41"/>
      <c r="AW452" s="41"/>
      <c r="AX452" s="41"/>
      <c r="AY452" s="41"/>
      <c r="AZ452" s="41"/>
      <c r="BA452" s="41"/>
      <c r="BB452" s="41"/>
      <c r="BC452" s="41"/>
      <c r="BD452" s="41"/>
      <c r="BE452" s="41"/>
      <c r="BF452" s="41"/>
      <c r="BG452" s="41"/>
      <c r="BH452" s="41"/>
      <c r="BI452" s="41"/>
      <c r="BJ452" s="41"/>
      <c r="BK452" s="41"/>
      <c r="BL452" s="41"/>
      <c r="BM452" s="41"/>
      <c r="BN452" s="41"/>
      <c r="BO452" s="41"/>
      <c r="BP452" s="41"/>
      <c r="BQ452" s="41"/>
      <c r="BR452" s="41"/>
      <c r="BS452" s="41"/>
      <c r="BT452" s="41"/>
      <c r="BU452" s="41"/>
      <c r="BV452" s="41"/>
      <c r="BW452" s="41"/>
      <c r="BX452" s="41"/>
      <c r="BY452" s="41"/>
      <c r="BZ452" s="41"/>
      <c r="CA452" s="41"/>
      <c r="CB452" s="41"/>
      <c r="CC452" s="41"/>
      <c r="CD452" s="41"/>
      <c r="CE452" s="41"/>
      <c r="CF452" s="41"/>
      <c r="CG452" s="41"/>
      <c r="CH452" s="41"/>
      <c r="CI452" s="41"/>
      <c r="CJ452" s="41"/>
      <c r="CK452" s="41"/>
      <c r="CL452" s="41"/>
      <c r="CM452" s="41"/>
      <c r="CN452" s="41"/>
      <c r="CO452" s="41"/>
      <c r="CP452" s="41"/>
      <c r="CQ452" s="41"/>
      <c r="CR452" s="41"/>
      <c r="CS452" s="41"/>
      <c r="CT452" s="41"/>
      <c r="CU452" s="41"/>
      <c r="CV452" s="41"/>
      <c r="CW452" s="41"/>
    </row>
    <row r="453" spans="1:101" ht="16.5" x14ac:dyDescent="0.35">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41"/>
      <c r="AL453" s="41"/>
      <c r="AM453" s="41"/>
      <c r="AN453" s="41"/>
      <c r="AO453" s="41"/>
      <c r="AP453" s="41"/>
      <c r="AQ453" s="41"/>
      <c r="AR453" s="41"/>
      <c r="AS453" s="41"/>
      <c r="AT453" s="41"/>
      <c r="AU453" s="41"/>
      <c r="AV453" s="41"/>
      <c r="AW453" s="41"/>
      <c r="AX453" s="41"/>
      <c r="AY453" s="41"/>
      <c r="AZ453" s="41"/>
      <c r="BA453" s="41"/>
      <c r="BB453" s="41"/>
      <c r="BC453" s="41"/>
      <c r="BD453" s="41"/>
      <c r="BE453" s="41"/>
      <c r="BF453" s="41"/>
      <c r="BG453" s="41"/>
      <c r="BH453" s="41"/>
      <c r="BI453" s="41"/>
      <c r="BJ453" s="41"/>
      <c r="BK453" s="41"/>
      <c r="BL453" s="41"/>
      <c r="BM453" s="41"/>
      <c r="BN453" s="41"/>
      <c r="BO453" s="41"/>
      <c r="BP453" s="41"/>
      <c r="BQ453" s="41"/>
      <c r="BR453" s="41"/>
      <c r="BS453" s="41"/>
      <c r="BT453" s="41"/>
      <c r="BU453" s="41"/>
      <c r="BV453" s="41"/>
      <c r="BW453" s="41"/>
      <c r="BX453" s="41"/>
      <c r="BY453" s="41"/>
      <c r="BZ453" s="41"/>
      <c r="CA453" s="41"/>
      <c r="CB453" s="41"/>
      <c r="CC453" s="41"/>
      <c r="CD453" s="41"/>
      <c r="CE453" s="41"/>
      <c r="CF453" s="41"/>
      <c r="CG453" s="41"/>
      <c r="CH453" s="41"/>
      <c r="CI453" s="41"/>
      <c r="CJ453" s="41"/>
      <c r="CK453" s="41"/>
      <c r="CL453" s="41"/>
      <c r="CM453" s="41"/>
      <c r="CN453" s="41"/>
      <c r="CO453" s="41"/>
      <c r="CP453" s="41"/>
      <c r="CQ453" s="41"/>
      <c r="CR453" s="41"/>
      <c r="CS453" s="41"/>
      <c r="CT453" s="41"/>
      <c r="CU453" s="41"/>
      <c r="CV453" s="41"/>
      <c r="CW453" s="41"/>
    </row>
    <row r="454" spans="1:101" ht="16.5" x14ac:dyDescent="0.35">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c r="AJ454" s="41"/>
      <c r="AK454" s="41"/>
      <c r="AL454" s="41"/>
      <c r="AM454" s="41"/>
      <c r="AN454" s="41"/>
      <c r="AO454" s="41"/>
      <c r="AP454" s="41"/>
      <c r="AQ454" s="41"/>
      <c r="AR454" s="41"/>
      <c r="AS454" s="41"/>
      <c r="AT454" s="41"/>
      <c r="AU454" s="41"/>
      <c r="AV454" s="41"/>
      <c r="AW454" s="41"/>
      <c r="AX454" s="41"/>
      <c r="AY454" s="41"/>
      <c r="AZ454" s="41"/>
      <c r="BA454" s="41"/>
      <c r="BB454" s="41"/>
      <c r="BC454" s="41"/>
      <c r="BD454" s="41"/>
      <c r="BE454" s="41"/>
      <c r="BF454" s="41"/>
      <c r="BG454" s="41"/>
      <c r="BH454" s="41"/>
      <c r="BI454" s="41"/>
      <c r="BJ454" s="41"/>
      <c r="BK454" s="41"/>
      <c r="BL454" s="41"/>
      <c r="BM454" s="41"/>
      <c r="BN454" s="41"/>
      <c r="BO454" s="41"/>
      <c r="BP454" s="41"/>
      <c r="BQ454" s="41"/>
      <c r="BR454" s="41"/>
      <c r="BS454" s="41"/>
      <c r="BT454" s="41"/>
      <c r="BU454" s="41"/>
      <c r="BV454" s="41"/>
      <c r="BW454" s="41"/>
      <c r="BX454" s="41"/>
      <c r="BY454" s="41"/>
      <c r="BZ454" s="41"/>
      <c r="CA454" s="41"/>
      <c r="CB454" s="41"/>
      <c r="CC454" s="41"/>
      <c r="CD454" s="41"/>
      <c r="CE454" s="41"/>
      <c r="CF454" s="41"/>
      <c r="CG454" s="41"/>
      <c r="CH454" s="41"/>
      <c r="CI454" s="41"/>
      <c r="CJ454" s="41"/>
      <c r="CK454" s="41"/>
      <c r="CL454" s="41"/>
      <c r="CM454" s="41"/>
      <c r="CN454" s="41"/>
      <c r="CO454" s="41"/>
      <c r="CP454" s="41"/>
      <c r="CQ454" s="41"/>
      <c r="CR454" s="41"/>
      <c r="CS454" s="41"/>
      <c r="CT454" s="41"/>
      <c r="CU454" s="41"/>
      <c r="CV454" s="41"/>
      <c r="CW454" s="41"/>
    </row>
    <row r="455" spans="1:101" ht="16.5" x14ac:dyDescent="0.35">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c r="AJ455" s="41"/>
      <c r="AK455" s="41"/>
      <c r="AL455" s="41"/>
      <c r="AM455" s="41"/>
      <c r="AN455" s="41"/>
      <c r="AO455" s="41"/>
      <c r="AP455" s="41"/>
      <c r="AQ455" s="41"/>
      <c r="AR455" s="41"/>
      <c r="AS455" s="41"/>
      <c r="AT455" s="41"/>
      <c r="AU455" s="41"/>
      <c r="AV455" s="41"/>
      <c r="AW455" s="41"/>
      <c r="AX455" s="41"/>
      <c r="AY455" s="41"/>
      <c r="AZ455" s="41"/>
      <c r="BA455" s="41"/>
      <c r="BB455" s="41"/>
      <c r="BC455" s="41"/>
      <c r="BD455" s="41"/>
      <c r="BE455" s="41"/>
      <c r="BF455" s="41"/>
      <c r="BG455" s="41"/>
      <c r="BH455" s="41"/>
      <c r="BI455" s="41"/>
      <c r="BJ455" s="41"/>
      <c r="BK455" s="41"/>
      <c r="BL455" s="41"/>
      <c r="BM455" s="41"/>
      <c r="BN455" s="41"/>
      <c r="BO455" s="41"/>
      <c r="BP455" s="41"/>
      <c r="BQ455" s="41"/>
      <c r="BR455" s="41"/>
      <c r="BS455" s="41"/>
      <c r="BT455" s="41"/>
      <c r="BU455" s="41"/>
      <c r="BV455" s="41"/>
      <c r="BW455" s="41"/>
      <c r="BX455" s="41"/>
      <c r="BY455" s="41"/>
      <c r="BZ455" s="41"/>
      <c r="CA455" s="41"/>
      <c r="CB455" s="41"/>
      <c r="CC455" s="41"/>
      <c r="CD455" s="41"/>
      <c r="CE455" s="41"/>
      <c r="CF455" s="41"/>
      <c r="CG455" s="41"/>
      <c r="CH455" s="41"/>
      <c r="CI455" s="41"/>
      <c r="CJ455" s="41"/>
      <c r="CK455" s="41"/>
      <c r="CL455" s="41"/>
      <c r="CM455" s="41"/>
      <c r="CN455" s="41"/>
      <c r="CO455" s="41"/>
      <c r="CP455" s="41"/>
      <c r="CQ455" s="41"/>
      <c r="CR455" s="41"/>
      <c r="CS455" s="41"/>
      <c r="CT455" s="41"/>
      <c r="CU455" s="41"/>
      <c r="CV455" s="41"/>
      <c r="CW455" s="41"/>
    </row>
    <row r="456" spans="1:101" ht="16.5" x14ac:dyDescent="0.35">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c r="AJ456" s="41"/>
      <c r="AK456" s="41"/>
      <c r="AL456" s="41"/>
      <c r="AM456" s="41"/>
      <c r="AN456" s="41"/>
      <c r="AO456" s="41"/>
      <c r="AP456" s="41"/>
      <c r="AQ456" s="41"/>
      <c r="AR456" s="41"/>
      <c r="AS456" s="41"/>
      <c r="AT456" s="41"/>
      <c r="AU456" s="41"/>
      <c r="AV456" s="41"/>
      <c r="AW456" s="41"/>
      <c r="AX456" s="41"/>
      <c r="AY456" s="41"/>
      <c r="AZ456" s="41"/>
      <c r="BA456" s="41"/>
      <c r="BB456" s="41"/>
      <c r="BC456" s="41"/>
      <c r="BD456" s="41"/>
      <c r="BE456" s="41"/>
      <c r="BF456" s="41"/>
      <c r="BG456" s="41"/>
      <c r="BH456" s="41"/>
      <c r="BI456" s="41"/>
      <c r="BJ456" s="41"/>
      <c r="BK456" s="41"/>
      <c r="BL456" s="41"/>
      <c r="BM456" s="41"/>
      <c r="BN456" s="41"/>
      <c r="BO456" s="41"/>
      <c r="BP456" s="41"/>
      <c r="BQ456" s="41"/>
      <c r="BR456" s="41"/>
      <c r="BS456" s="41"/>
      <c r="BT456" s="41"/>
      <c r="BU456" s="41"/>
      <c r="BV456" s="41"/>
      <c r="BW456" s="41"/>
      <c r="BX456" s="41"/>
      <c r="BY456" s="41"/>
      <c r="BZ456" s="41"/>
      <c r="CA456" s="41"/>
      <c r="CB456" s="41"/>
      <c r="CC456" s="41"/>
      <c r="CD456" s="41"/>
      <c r="CE456" s="41"/>
      <c r="CF456" s="41"/>
      <c r="CG456" s="41"/>
      <c r="CH456" s="41"/>
      <c r="CI456" s="41"/>
      <c r="CJ456" s="41"/>
      <c r="CK456" s="41"/>
      <c r="CL456" s="41"/>
      <c r="CM456" s="41"/>
      <c r="CN456" s="41"/>
      <c r="CO456" s="41"/>
      <c r="CP456" s="41"/>
      <c r="CQ456" s="41"/>
      <c r="CR456" s="41"/>
      <c r="CS456" s="41"/>
      <c r="CT456" s="41"/>
      <c r="CU456" s="41"/>
      <c r="CV456" s="41"/>
      <c r="CW456" s="41"/>
    </row>
    <row r="457" spans="1:101" ht="16.5" x14ac:dyDescent="0.35">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c r="AJ457" s="41"/>
      <c r="AK457" s="41"/>
      <c r="AL457" s="41"/>
      <c r="AM457" s="41"/>
      <c r="AN457" s="41"/>
      <c r="AO457" s="41"/>
      <c r="AP457" s="41"/>
      <c r="AQ457" s="41"/>
      <c r="AR457" s="41"/>
      <c r="AS457" s="41"/>
      <c r="AT457" s="41"/>
      <c r="AU457" s="41"/>
      <c r="AV457" s="41"/>
      <c r="AW457" s="41"/>
      <c r="AX457" s="41"/>
      <c r="AY457" s="41"/>
      <c r="AZ457" s="41"/>
      <c r="BA457" s="41"/>
      <c r="BB457" s="41"/>
      <c r="BC457" s="41"/>
      <c r="BD457" s="41"/>
      <c r="BE457" s="41"/>
      <c r="BF457" s="41"/>
      <c r="BG457" s="41"/>
      <c r="BH457" s="41"/>
      <c r="BI457" s="41"/>
      <c r="BJ457" s="41"/>
      <c r="BK457" s="41"/>
      <c r="BL457" s="41"/>
      <c r="BM457" s="41"/>
      <c r="BN457" s="41"/>
      <c r="BO457" s="41"/>
      <c r="BP457" s="41"/>
      <c r="BQ457" s="41"/>
      <c r="BR457" s="41"/>
      <c r="BS457" s="41"/>
      <c r="BT457" s="41"/>
      <c r="BU457" s="41"/>
      <c r="BV457" s="41"/>
      <c r="BW457" s="41"/>
      <c r="BX457" s="41"/>
      <c r="BY457" s="41"/>
      <c r="BZ457" s="41"/>
      <c r="CA457" s="41"/>
      <c r="CB457" s="41"/>
      <c r="CC457" s="41"/>
      <c r="CD457" s="41"/>
      <c r="CE457" s="41"/>
      <c r="CF457" s="41"/>
      <c r="CG457" s="41"/>
      <c r="CH457" s="41"/>
      <c r="CI457" s="41"/>
      <c r="CJ457" s="41"/>
      <c r="CK457" s="41"/>
      <c r="CL457" s="41"/>
      <c r="CM457" s="41"/>
      <c r="CN457" s="41"/>
      <c r="CO457" s="41"/>
      <c r="CP457" s="41"/>
      <c r="CQ457" s="41"/>
      <c r="CR457" s="41"/>
      <c r="CS457" s="41"/>
      <c r="CT457" s="41"/>
      <c r="CU457" s="41"/>
      <c r="CV457" s="41"/>
      <c r="CW457" s="41"/>
    </row>
    <row r="458" spans="1:101" ht="16.5" x14ac:dyDescent="0.35">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c r="AJ458" s="41"/>
      <c r="AK458" s="41"/>
      <c r="AL458" s="41"/>
      <c r="AM458" s="41"/>
      <c r="AN458" s="41"/>
      <c r="AO458" s="41"/>
      <c r="AP458" s="41"/>
      <c r="AQ458" s="41"/>
      <c r="AR458" s="41"/>
      <c r="AS458" s="41"/>
      <c r="AT458" s="41"/>
      <c r="AU458" s="41"/>
      <c r="AV458" s="41"/>
      <c r="AW458" s="41"/>
      <c r="AX458" s="41"/>
      <c r="AY458" s="41"/>
      <c r="AZ458" s="41"/>
      <c r="BA458" s="41"/>
      <c r="BB458" s="41"/>
      <c r="BC458" s="41"/>
      <c r="BD458" s="41"/>
      <c r="BE458" s="41"/>
      <c r="BF458" s="41"/>
      <c r="BG458" s="41"/>
      <c r="BH458" s="41"/>
      <c r="BI458" s="41"/>
      <c r="BJ458" s="41"/>
      <c r="BK458" s="41"/>
      <c r="BL458" s="41"/>
      <c r="BM458" s="41"/>
      <c r="BN458" s="41"/>
      <c r="BO458" s="41"/>
      <c r="BP458" s="41"/>
      <c r="BQ458" s="41"/>
      <c r="BR458" s="41"/>
      <c r="BS458" s="41"/>
      <c r="BT458" s="41"/>
      <c r="BU458" s="41"/>
      <c r="BV458" s="41"/>
      <c r="BW458" s="41"/>
      <c r="BX458" s="41"/>
      <c r="BY458" s="41"/>
      <c r="BZ458" s="41"/>
      <c r="CA458" s="41"/>
      <c r="CB458" s="41"/>
      <c r="CC458" s="41"/>
      <c r="CD458" s="41"/>
      <c r="CE458" s="41"/>
      <c r="CF458" s="41"/>
      <c r="CG458" s="41"/>
      <c r="CH458" s="41"/>
      <c r="CI458" s="41"/>
      <c r="CJ458" s="41"/>
      <c r="CK458" s="41"/>
      <c r="CL458" s="41"/>
      <c r="CM458" s="41"/>
      <c r="CN458" s="41"/>
      <c r="CO458" s="41"/>
      <c r="CP458" s="41"/>
      <c r="CQ458" s="41"/>
      <c r="CR458" s="41"/>
      <c r="CS458" s="41"/>
      <c r="CT458" s="41"/>
      <c r="CU458" s="41"/>
      <c r="CV458" s="41"/>
      <c r="CW458" s="41"/>
    </row>
    <row r="459" spans="1:101" ht="16.5" x14ac:dyDescent="0.35">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c r="AJ459" s="41"/>
      <c r="AK459" s="41"/>
      <c r="AL459" s="41"/>
      <c r="AM459" s="41"/>
      <c r="AN459" s="41"/>
      <c r="AO459" s="41"/>
      <c r="AP459" s="41"/>
      <c r="AQ459" s="41"/>
      <c r="AR459" s="41"/>
      <c r="AS459" s="41"/>
      <c r="AT459" s="41"/>
      <c r="AU459" s="41"/>
      <c r="AV459" s="41"/>
      <c r="AW459" s="41"/>
      <c r="AX459" s="41"/>
      <c r="AY459" s="41"/>
      <c r="AZ459" s="41"/>
      <c r="BA459" s="41"/>
      <c r="BB459" s="41"/>
      <c r="BC459" s="41"/>
      <c r="BD459" s="41"/>
      <c r="BE459" s="41"/>
      <c r="BF459" s="41"/>
      <c r="BG459" s="41"/>
      <c r="BH459" s="41"/>
      <c r="BI459" s="41"/>
      <c r="BJ459" s="41"/>
      <c r="BK459" s="41"/>
      <c r="BL459" s="41"/>
      <c r="BM459" s="41"/>
      <c r="BN459" s="41"/>
      <c r="BO459" s="41"/>
      <c r="BP459" s="41"/>
      <c r="BQ459" s="41"/>
      <c r="BR459" s="41"/>
      <c r="BS459" s="41"/>
      <c r="BT459" s="41"/>
      <c r="BU459" s="41"/>
      <c r="BV459" s="41"/>
      <c r="BW459" s="41"/>
      <c r="BX459" s="41"/>
      <c r="BY459" s="41"/>
      <c r="BZ459" s="41"/>
      <c r="CA459" s="41"/>
      <c r="CB459" s="41"/>
      <c r="CC459" s="41"/>
      <c r="CD459" s="41"/>
      <c r="CE459" s="41"/>
      <c r="CF459" s="41"/>
      <c r="CG459" s="41"/>
      <c r="CH459" s="41"/>
      <c r="CI459" s="41"/>
      <c r="CJ459" s="41"/>
      <c r="CK459" s="41"/>
      <c r="CL459" s="41"/>
      <c r="CM459" s="41"/>
      <c r="CN459" s="41"/>
      <c r="CO459" s="41"/>
      <c r="CP459" s="41"/>
      <c r="CQ459" s="41"/>
      <c r="CR459" s="41"/>
      <c r="CS459" s="41"/>
      <c r="CT459" s="41"/>
      <c r="CU459" s="41"/>
      <c r="CV459" s="41"/>
      <c r="CW459" s="41"/>
    </row>
    <row r="460" spans="1:101" ht="16.5" x14ac:dyDescent="0.35">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c r="AJ460" s="41"/>
      <c r="AK460" s="41"/>
      <c r="AL460" s="41"/>
      <c r="AM460" s="41"/>
      <c r="AN460" s="41"/>
      <c r="AO460" s="41"/>
      <c r="AP460" s="41"/>
      <c r="AQ460" s="41"/>
      <c r="AR460" s="41"/>
      <c r="AS460" s="41"/>
      <c r="AT460" s="41"/>
      <c r="AU460" s="41"/>
      <c r="AV460" s="41"/>
      <c r="AW460" s="41"/>
      <c r="AX460" s="41"/>
      <c r="AY460" s="41"/>
      <c r="AZ460" s="41"/>
      <c r="BA460" s="41"/>
      <c r="BB460" s="41"/>
      <c r="BC460" s="41"/>
      <c r="BD460" s="41"/>
      <c r="BE460" s="41"/>
      <c r="BF460" s="41"/>
      <c r="BG460" s="41"/>
      <c r="BH460" s="41"/>
      <c r="BI460" s="41"/>
      <c r="BJ460" s="41"/>
      <c r="BK460" s="41"/>
      <c r="BL460" s="41"/>
      <c r="BM460" s="41"/>
      <c r="BN460" s="41"/>
      <c r="BO460" s="41"/>
      <c r="BP460" s="41"/>
      <c r="BQ460" s="41"/>
      <c r="BR460" s="41"/>
      <c r="BS460" s="41"/>
      <c r="BT460" s="41"/>
      <c r="BU460" s="41"/>
      <c r="BV460" s="41"/>
      <c r="BW460" s="41"/>
      <c r="BX460" s="41"/>
      <c r="BY460" s="41"/>
      <c r="BZ460" s="41"/>
      <c r="CA460" s="41"/>
      <c r="CB460" s="41"/>
      <c r="CC460" s="41"/>
      <c r="CD460" s="41"/>
      <c r="CE460" s="41"/>
      <c r="CF460" s="41"/>
      <c r="CG460" s="41"/>
      <c r="CH460" s="41"/>
      <c r="CI460" s="41"/>
      <c r="CJ460" s="41"/>
      <c r="CK460" s="41"/>
      <c r="CL460" s="41"/>
      <c r="CM460" s="41"/>
      <c r="CN460" s="41"/>
      <c r="CO460" s="41"/>
      <c r="CP460" s="41"/>
      <c r="CQ460" s="41"/>
      <c r="CR460" s="41"/>
      <c r="CS460" s="41"/>
      <c r="CT460" s="41"/>
      <c r="CU460" s="41"/>
      <c r="CV460" s="41"/>
      <c r="CW460" s="41"/>
    </row>
    <row r="461" spans="1:101" ht="16.5" x14ac:dyDescent="0.35">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c r="AJ461" s="41"/>
      <c r="AK461" s="41"/>
      <c r="AL461" s="41"/>
      <c r="AM461" s="41"/>
      <c r="AN461" s="41"/>
      <c r="AO461" s="41"/>
      <c r="AP461" s="41"/>
      <c r="AQ461" s="41"/>
      <c r="AR461" s="41"/>
      <c r="AS461" s="41"/>
      <c r="AT461" s="41"/>
      <c r="AU461" s="41"/>
      <c r="AV461" s="41"/>
      <c r="AW461" s="41"/>
      <c r="AX461" s="41"/>
      <c r="AY461" s="41"/>
      <c r="AZ461" s="41"/>
      <c r="BA461" s="41"/>
      <c r="BB461" s="41"/>
      <c r="BC461" s="41"/>
      <c r="BD461" s="41"/>
      <c r="BE461" s="41"/>
      <c r="BF461" s="41"/>
      <c r="BG461" s="41"/>
      <c r="BH461" s="41"/>
      <c r="BI461" s="41"/>
      <c r="BJ461" s="41"/>
      <c r="BK461" s="41"/>
      <c r="BL461" s="41"/>
      <c r="BM461" s="41"/>
      <c r="BN461" s="41"/>
      <c r="BO461" s="41"/>
      <c r="BP461" s="41"/>
      <c r="BQ461" s="41"/>
      <c r="BR461" s="41"/>
      <c r="BS461" s="41"/>
      <c r="BT461" s="41"/>
      <c r="BU461" s="41"/>
      <c r="BV461" s="41"/>
      <c r="BW461" s="41"/>
      <c r="BX461" s="41"/>
      <c r="BY461" s="41"/>
      <c r="BZ461" s="41"/>
      <c r="CA461" s="41"/>
      <c r="CB461" s="41"/>
      <c r="CC461" s="41"/>
      <c r="CD461" s="41"/>
      <c r="CE461" s="41"/>
      <c r="CF461" s="41"/>
      <c r="CG461" s="41"/>
      <c r="CH461" s="41"/>
      <c r="CI461" s="41"/>
      <c r="CJ461" s="41"/>
      <c r="CK461" s="41"/>
      <c r="CL461" s="41"/>
      <c r="CM461" s="41"/>
      <c r="CN461" s="41"/>
      <c r="CO461" s="41"/>
      <c r="CP461" s="41"/>
      <c r="CQ461" s="41"/>
      <c r="CR461" s="41"/>
      <c r="CS461" s="41"/>
      <c r="CT461" s="41"/>
      <c r="CU461" s="41"/>
      <c r="CV461" s="41"/>
      <c r="CW461" s="41"/>
    </row>
    <row r="462" spans="1:101" ht="16.5" x14ac:dyDescent="0.35">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c r="AJ462" s="41"/>
      <c r="AK462" s="41"/>
      <c r="AL462" s="41"/>
      <c r="AM462" s="41"/>
      <c r="AN462" s="41"/>
      <c r="AO462" s="41"/>
      <c r="AP462" s="41"/>
      <c r="AQ462" s="41"/>
      <c r="AR462" s="41"/>
      <c r="AS462" s="41"/>
      <c r="AT462" s="41"/>
      <c r="AU462" s="41"/>
      <c r="AV462" s="41"/>
      <c r="AW462" s="41"/>
      <c r="AX462" s="41"/>
      <c r="AY462" s="41"/>
      <c r="AZ462" s="41"/>
      <c r="BA462" s="41"/>
      <c r="BB462" s="41"/>
      <c r="BC462" s="41"/>
      <c r="BD462" s="41"/>
      <c r="BE462" s="41"/>
      <c r="BF462" s="41"/>
      <c r="BG462" s="41"/>
      <c r="BH462" s="41"/>
      <c r="BI462" s="41"/>
      <c r="BJ462" s="41"/>
      <c r="BK462" s="41"/>
      <c r="BL462" s="41"/>
      <c r="BM462" s="41"/>
      <c r="BN462" s="41"/>
      <c r="BO462" s="41"/>
      <c r="BP462" s="41"/>
      <c r="BQ462" s="41"/>
      <c r="BR462" s="41"/>
      <c r="BS462" s="41"/>
      <c r="BT462" s="41"/>
      <c r="BU462" s="41"/>
      <c r="BV462" s="41"/>
      <c r="BW462" s="41"/>
      <c r="BX462" s="41"/>
      <c r="BY462" s="41"/>
      <c r="BZ462" s="41"/>
      <c r="CA462" s="41"/>
      <c r="CB462" s="41"/>
      <c r="CC462" s="41"/>
      <c r="CD462" s="41"/>
      <c r="CE462" s="41"/>
      <c r="CF462" s="41"/>
      <c r="CG462" s="41"/>
      <c r="CH462" s="41"/>
      <c r="CI462" s="41"/>
      <c r="CJ462" s="41"/>
      <c r="CK462" s="41"/>
      <c r="CL462" s="41"/>
      <c r="CM462" s="41"/>
      <c r="CN462" s="41"/>
      <c r="CO462" s="41"/>
      <c r="CP462" s="41"/>
      <c r="CQ462" s="41"/>
      <c r="CR462" s="41"/>
      <c r="CS462" s="41"/>
      <c r="CT462" s="41"/>
      <c r="CU462" s="41"/>
      <c r="CV462" s="41"/>
      <c r="CW462" s="41"/>
    </row>
    <row r="463" spans="1:101" ht="16.5" x14ac:dyDescent="0.35">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c r="AJ463" s="41"/>
      <c r="AK463" s="41"/>
      <c r="AL463" s="41"/>
      <c r="AM463" s="41"/>
      <c r="AN463" s="41"/>
      <c r="AO463" s="41"/>
      <c r="AP463" s="41"/>
      <c r="AQ463" s="41"/>
      <c r="AR463" s="41"/>
      <c r="AS463" s="41"/>
      <c r="AT463" s="41"/>
      <c r="AU463" s="41"/>
      <c r="AV463" s="41"/>
      <c r="AW463" s="41"/>
      <c r="AX463" s="41"/>
      <c r="AY463" s="41"/>
      <c r="AZ463" s="41"/>
      <c r="BA463" s="41"/>
      <c r="BB463" s="41"/>
      <c r="BC463" s="41"/>
      <c r="BD463" s="41"/>
      <c r="BE463" s="41"/>
      <c r="BF463" s="41"/>
      <c r="BG463" s="41"/>
      <c r="BH463" s="41"/>
      <c r="BI463" s="41"/>
      <c r="BJ463" s="41"/>
      <c r="BK463" s="41"/>
      <c r="BL463" s="41"/>
      <c r="BM463" s="41"/>
      <c r="BN463" s="41"/>
      <c r="BO463" s="41"/>
      <c r="BP463" s="41"/>
      <c r="BQ463" s="41"/>
      <c r="BR463" s="41"/>
      <c r="BS463" s="41"/>
      <c r="BT463" s="41"/>
      <c r="BU463" s="41"/>
      <c r="BV463" s="41"/>
      <c r="BW463" s="41"/>
      <c r="BX463" s="41"/>
      <c r="BY463" s="41"/>
      <c r="BZ463" s="41"/>
      <c r="CA463" s="41"/>
      <c r="CB463" s="41"/>
      <c r="CC463" s="41"/>
      <c r="CD463" s="41"/>
      <c r="CE463" s="41"/>
      <c r="CF463" s="41"/>
      <c r="CG463" s="41"/>
      <c r="CH463" s="41"/>
      <c r="CI463" s="41"/>
      <c r="CJ463" s="41"/>
      <c r="CK463" s="41"/>
      <c r="CL463" s="41"/>
      <c r="CM463" s="41"/>
      <c r="CN463" s="41"/>
      <c r="CO463" s="41"/>
      <c r="CP463" s="41"/>
      <c r="CQ463" s="41"/>
      <c r="CR463" s="41"/>
      <c r="CS463" s="41"/>
      <c r="CT463" s="41"/>
      <c r="CU463" s="41"/>
      <c r="CV463" s="41"/>
      <c r="CW463" s="41"/>
    </row>
    <row r="464" spans="1:101" ht="16.5" x14ac:dyDescent="0.35">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41"/>
      <c r="AW464" s="41"/>
      <c r="AX464" s="41"/>
      <c r="AY464" s="41"/>
      <c r="AZ464" s="41"/>
      <c r="BA464" s="41"/>
      <c r="BB464" s="41"/>
      <c r="BC464" s="41"/>
      <c r="BD464" s="41"/>
      <c r="BE464" s="41"/>
      <c r="BF464" s="41"/>
      <c r="BG464" s="41"/>
      <c r="BH464" s="41"/>
      <c r="BI464" s="41"/>
      <c r="BJ464" s="41"/>
      <c r="BK464" s="41"/>
      <c r="BL464" s="41"/>
      <c r="BM464" s="41"/>
      <c r="BN464" s="41"/>
      <c r="BO464" s="41"/>
      <c r="BP464" s="41"/>
      <c r="BQ464" s="41"/>
      <c r="BR464" s="41"/>
      <c r="BS464" s="41"/>
      <c r="BT464" s="41"/>
      <c r="BU464" s="41"/>
      <c r="BV464" s="41"/>
      <c r="BW464" s="41"/>
      <c r="BX464" s="41"/>
      <c r="BY464" s="41"/>
      <c r="BZ464" s="41"/>
      <c r="CA464" s="41"/>
      <c r="CB464" s="41"/>
      <c r="CC464" s="41"/>
      <c r="CD464" s="41"/>
      <c r="CE464" s="41"/>
      <c r="CF464" s="41"/>
      <c r="CG464" s="41"/>
      <c r="CH464" s="41"/>
      <c r="CI464" s="41"/>
      <c r="CJ464" s="41"/>
      <c r="CK464" s="41"/>
      <c r="CL464" s="41"/>
      <c r="CM464" s="41"/>
      <c r="CN464" s="41"/>
      <c r="CO464" s="41"/>
      <c r="CP464" s="41"/>
      <c r="CQ464" s="41"/>
      <c r="CR464" s="41"/>
      <c r="CS464" s="41"/>
      <c r="CT464" s="41"/>
      <c r="CU464" s="41"/>
      <c r="CV464" s="41"/>
      <c r="CW464" s="41"/>
    </row>
    <row r="465" spans="1:101" ht="16.5" x14ac:dyDescent="0.35">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c r="AJ465" s="41"/>
      <c r="AK465" s="41"/>
      <c r="AL465" s="41"/>
      <c r="AM465" s="41"/>
      <c r="AN465" s="41"/>
      <c r="AO465" s="41"/>
      <c r="AP465" s="41"/>
      <c r="AQ465" s="41"/>
      <c r="AR465" s="41"/>
      <c r="AS465" s="41"/>
      <c r="AT465" s="41"/>
      <c r="AU465" s="41"/>
      <c r="AV465" s="41"/>
      <c r="AW465" s="41"/>
      <c r="AX465" s="41"/>
      <c r="AY465" s="41"/>
      <c r="AZ465" s="41"/>
      <c r="BA465" s="41"/>
      <c r="BB465" s="41"/>
      <c r="BC465" s="41"/>
      <c r="BD465" s="41"/>
      <c r="BE465" s="41"/>
      <c r="BF465" s="41"/>
      <c r="BG465" s="41"/>
      <c r="BH465" s="41"/>
      <c r="BI465" s="41"/>
      <c r="BJ465" s="41"/>
      <c r="BK465" s="41"/>
      <c r="BL465" s="41"/>
      <c r="BM465" s="41"/>
      <c r="BN465" s="41"/>
      <c r="BO465" s="41"/>
      <c r="BP465" s="41"/>
      <c r="BQ465" s="41"/>
      <c r="BR465" s="41"/>
      <c r="BS465" s="41"/>
      <c r="BT465" s="41"/>
      <c r="BU465" s="41"/>
      <c r="BV465" s="41"/>
      <c r="BW465" s="41"/>
      <c r="BX465" s="41"/>
      <c r="BY465" s="41"/>
      <c r="BZ465" s="41"/>
      <c r="CA465" s="41"/>
      <c r="CB465" s="41"/>
      <c r="CC465" s="41"/>
      <c r="CD465" s="41"/>
      <c r="CE465" s="41"/>
      <c r="CF465" s="41"/>
      <c r="CG465" s="41"/>
      <c r="CH465" s="41"/>
      <c r="CI465" s="41"/>
      <c r="CJ465" s="41"/>
      <c r="CK465" s="41"/>
      <c r="CL465" s="41"/>
      <c r="CM465" s="41"/>
      <c r="CN465" s="41"/>
      <c r="CO465" s="41"/>
      <c r="CP465" s="41"/>
      <c r="CQ465" s="41"/>
      <c r="CR465" s="41"/>
      <c r="CS465" s="41"/>
      <c r="CT465" s="41"/>
      <c r="CU465" s="41"/>
      <c r="CV465" s="41"/>
      <c r="CW465" s="41"/>
    </row>
    <row r="466" spans="1:101" ht="16.5" x14ac:dyDescent="0.35">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c r="AJ466" s="41"/>
      <c r="AK466" s="41"/>
      <c r="AL466" s="41"/>
      <c r="AM466" s="41"/>
      <c r="AN466" s="41"/>
      <c r="AO466" s="41"/>
      <c r="AP466" s="41"/>
      <c r="AQ466" s="41"/>
      <c r="AR466" s="41"/>
      <c r="AS466" s="41"/>
      <c r="AT466" s="41"/>
      <c r="AU466" s="41"/>
      <c r="AV466" s="41"/>
      <c r="AW466" s="41"/>
      <c r="AX466" s="41"/>
      <c r="AY466" s="41"/>
      <c r="AZ466" s="41"/>
      <c r="BA466" s="41"/>
      <c r="BB466" s="41"/>
      <c r="BC466" s="41"/>
      <c r="BD466" s="41"/>
      <c r="BE466" s="41"/>
      <c r="BF466" s="41"/>
      <c r="BG466" s="41"/>
      <c r="BH466" s="41"/>
      <c r="BI466" s="41"/>
      <c r="BJ466" s="41"/>
      <c r="BK466" s="41"/>
      <c r="BL466" s="41"/>
      <c r="BM466" s="41"/>
      <c r="BN466" s="41"/>
      <c r="BO466" s="41"/>
      <c r="BP466" s="41"/>
      <c r="BQ466" s="41"/>
      <c r="BR466" s="41"/>
      <c r="BS466" s="41"/>
      <c r="BT466" s="41"/>
      <c r="BU466" s="41"/>
      <c r="BV466" s="41"/>
      <c r="BW466" s="41"/>
      <c r="BX466" s="41"/>
      <c r="BY466" s="41"/>
      <c r="BZ466" s="41"/>
      <c r="CA466" s="41"/>
      <c r="CB466" s="41"/>
      <c r="CC466" s="41"/>
      <c r="CD466" s="41"/>
      <c r="CE466" s="41"/>
      <c r="CF466" s="41"/>
      <c r="CG466" s="41"/>
      <c r="CH466" s="41"/>
      <c r="CI466" s="41"/>
      <c r="CJ466" s="41"/>
      <c r="CK466" s="41"/>
      <c r="CL466" s="41"/>
      <c r="CM466" s="41"/>
      <c r="CN466" s="41"/>
      <c r="CO466" s="41"/>
      <c r="CP466" s="41"/>
      <c r="CQ466" s="41"/>
      <c r="CR466" s="41"/>
      <c r="CS466" s="41"/>
      <c r="CT466" s="41"/>
      <c r="CU466" s="41"/>
      <c r="CV466" s="41"/>
      <c r="CW466" s="41"/>
    </row>
    <row r="467" spans="1:101" ht="16.5" x14ac:dyDescent="0.35">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c r="AJ467" s="41"/>
      <c r="AK467" s="41"/>
      <c r="AL467" s="41"/>
      <c r="AM467" s="41"/>
      <c r="AN467" s="41"/>
      <c r="AO467" s="41"/>
      <c r="AP467" s="41"/>
      <c r="AQ467" s="41"/>
      <c r="AR467" s="41"/>
      <c r="AS467" s="41"/>
      <c r="AT467" s="41"/>
      <c r="AU467" s="41"/>
      <c r="AV467" s="41"/>
      <c r="AW467" s="41"/>
      <c r="AX467" s="41"/>
      <c r="AY467" s="41"/>
      <c r="AZ467" s="41"/>
      <c r="BA467" s="41"/>
      <c r="BB467" s="41"/>
      <c r="BC467" s="41"/>
      <c r="BD467" s="41"/>
      <c r="BE467" s="41"/>
      <c r="BF467" s="41"/>
      <c r="BG467" s="41"/>
      <c r="BH467" s="41"/>
      <c r="BI467" s="41"/>
      <c r="BJ467" s="41"/>
      <c r="BK467" s="41"/>
      <c r="BL467" s="41"/>
      <c r="BM467" s="41"/>
      <c r="BN467" s="41"/>
      <c r="BO467" s="41"/>
      <c r="BP467" s="41"/>
      <c r="BQ467" s="41"/>
      <c r="BR467" s="41"/>
      <c r="BS467" s="41"/>
      <c r="BT467" s="41"/>
      <c r="BU467" s="41"/>
      <c r="BV467" s="41"/>
      <c r="BW467" s="41"/>
      <c r="BX467" s="41"/>
      <c r="BY467" s="41"/>
      <c r="BZ467" s="41"/>
      <c r="CA467" s="41"/>
      <c r="CB467" s="41"/>
      <c r="CC467" s="41"/>
      <c r="CD467" s="41"/>
      <c r="CE467" s="41"/>
      <c r="CF467" s="41"/>
      <c r="CG467" s="41"/>
      <c r="CH467" s="41"/>
      <c r="CI467" s="41"/>
      <c r="CJ467" s="41"/>
      <c r="CK467" s="41"/>
      <c r="CL467" s="41"/>
      <c r="CM467" s="41"/>
      <c r="CN467" s="41"/>
      <c r="CO467" s="41"/>
      <c r="CP467" s="41"/>
      <c r="CQ467" s="41"/>
      <c r="CR467" s="41"/>
      <c r="CS467" s="41"/>
      <c r="CT467" s="41"/>
      <c r="CU467" s="41"/>
      <c r="CV467" s="41"/>
      <c r="CW467" s="41"/>
    </row>
    <row r="468" spans="1:101" ht="16.5" x14ac:dyDescent="0.35">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c r="AJ468" s="41"/>
      <c r="AK468" s="41"/>
      <c r="AL468" s="41"/>
      <c r="AM468" s="41"/>
      <c r="AN468" s="41"/>
      <c r="AO468" s="41"/>
      <c r="AP468" s="41"/>
      <c r="AQ468" s="41"/>
      <c r="AR468" s="41"/>
      <c r="AS468" s="41"/>
      <c r="AT468" s="41"/>
      <c r="AU468" s="41"/>
      <c r="AV468" s="41"/>
      <c r="AW468" s="41"/>
      <c r="AX468" s="41"/>
      <c r="AY468" s="41"/>
      <c r="AZ468" s="41"/>
      <c r="BA468" s="41"/>
      <c r="BB468" s="41"/>
      <c r="BC468" s="41"/>
      <c r="BD468" s="41"/>
      <c r="BE468" s="41"/>
      <c r="BF468" s="41"/>
      <c r="BG468" s="41"/>
      <c r="BH468" s="41"/>
      <c r="BI468" s="41"/>
      <c r="BJ468" s="41"/>
      <c r="BK468" s="41"/>
      <c r="BL468" s="41"/>
      <c r="BM468" s="41"/>
      <c r="BN468" s="41"/>
      <c r="BO468" s="41"/>
      <c r="BP468" s="41"/>
      <c r="BQ468" s="41"/>
      <c r="BR468" s="41"/>
      <c r="BS468" s="41"/>
      <c r="BT468" s="41"/>
      <c r="BU468" s="41"/>
      <c r="BV468" s="41"/>
      <c r="BW468" s="41"/>
      <c r="BX468" s="41"/>
      <c r="BY468" s="41"/>
      <c r="BZ468" s="41"/>
      <c r="CA468" s="41"/>
      <c r="CB468" s="41"/>
      <c r="CC468" s="41"/>
      <c r="CD468" s="41"/>
      <c r="CE468" s="41"/>
      <c r="CF468" s="41"/>
      <c r="CG468" s="41"/>
      <c r="CH468" s="41"/>
      <c r="CI468" s="41"/>
      <c r="CJ468" s="41"/>
      <c r="CK468" s="41"/>
      <c r="CL468" s="41"/>
      <c r="CM468" s="41"/>
      <c r="CN468" s="41"/>
      <c r="CO468" s="41"/>
      <c r="CP468" s="41"/>
      <c r="CQ468" s="41"/>
      <c r="CR468" s="41"/>
      <c r="CS468" s="41"/>
      <c r="CT468" s="41"/>
      <c r="CU468" s="41"/>
      <c r="CV468" s="41"/>
      <c r="CW468" s="41"/>
    </row>
    <row r="469" spans="1:101" ht="16.5" x14ac:dyDescent="0.35">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c r="AJ469" s="41"/>
      <c r="AK469" s="41"/>
      <c r="AL469" s="41"/>
      <c r="AM469" s="41"/>
      <c r="AN469" s="41"/>
      <c r="AO469" s="41"/>
      <c r="AP469" s="41"/>
      <c r="AQ469" s="41"/>
      <c r="AR469" s="41"/>
      <c r="AS469" s="41"/>
      <c r="AT469" s="41"/>
      <c r="AU469" s="41"/>
      <c r="AV469" s="41"/>
      <c r="AW469" s="41"/>
      <c r="AX469" s="41"/>
      <c r="AY469" s="41"/>
      <c r="AZ469" s="41"/>
      <c r="BA469" s="41"/>
      <c r="BB469" s="41"/>
      <c r="BC469" s="41"/>
      <c r="BD469" s="41"/>
      <c r="BE469" s="41"/>
      <c r="BF469" s="41"/>
      <c r="BG469" s="41"/>
      <c r="BH469" s="41"/>
      <c r="BI469" s="41"/>
      <c r="BJ469" s="41"/>
      <c r="BK469" s="41"/>
      <c r="BL469" s="41"/>
      <c r="BM469" s="41"/>
      <c r="BN469" s="41"/>
      <c r="BO469" s="41"/>
      <c r="BP469" s="41"/>
      <c r="BQ469" s="41"/>
      <c r="BR469" s="41"/>
      <c r="BS469" s="41"/>
      <c r="BT469" s="41"/>
      <c r="BU469" s="41"/>
      <c r="BV469" s="41"/>
      <c r="BW469" s="41"/>
      <c r="BX469" s="41"/>
      <c r="BY469" s="41"/>
      <c r="BZ469" s="41"/>
      <c r="CA469" s="41"/>
      <c r="CB469" s="41"/>
      <c r="CC469" s="41"/>
      <c r="CD469" s="41"/>
      <c r="CE469" s="41"/>
      <c r="CF469" s="41"/>
      <c r="CG469" s="41"/>
      <c r="CH469" s="41"/>
      <c r="CI469" s="41"/>
      <c r="CJ469" s="41"/>
      <c r="CK469" s="41"/>
      <c r="CL469" s="41"/>
      <c r="CM469" s="41"/>
      <c r="CN469" s="41"/>
      <c r="CO469" s="41"/>
      <c r="CP469" s="41"/>
      <c r="CQ469" s="41"/>
      <c r="CR469" s="41"/>
      <c r="CS469" s="41"/>
      <c r="CT469" s="41"/>
      <c r="CU469" s="41"/>
      <c r="CV469" s="41"/>
      <c r="CW469" s="41"/>
    </row>
    <row r="470" spans="1:101" ht="16.5" x14ac:dyDescent="0.35">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c r="AJ470" s="41"/>
      <c r="AK470" s="41"/>
      <c r="AL470" s="41"/>
      <c r="AM470" s="41"/>
      <c r="AN470" s="41"/>
      <c r="AO470" s="41"/>
      <c r="AP470" s="41"/>
      <c r="AQ470" s="41"/>
      <c r="AR470" s="41"/>
      <c r="AS470" s="41"/>
      <c r="AT470" s="41"/>
      <c r="AU470" s="41"/>
      <c r="AV470" s="41"/>
      <c r="AW470" s="41"/>
      <c r="AX470" s="41"/>
      <c r="AY470" s="41"/>
      <c r="AZ470" s="41"/>
      <c r="BA470" s="41"/>
      <c r="BB470" s="41"/>
      <c r="BC470" s="41"/>
      <c r="BD470" s="41"/>
      <c r="BE470" s="41"/>
      <c r="BF470" s="41"/>
      <c r="BG470" s="41"/>
      <c r="BH470" s="41"/>
      <c r="BI470" s="41"/>
      <c r="BJ470" s="41"/>
      <c r="BK470" s="41"/>
      <c r="BL470" s="41"/>
      <c r="BM470" s="41"/>
      <c r="BN470" s="41"/>
      <c r="BO470" s="41"/>
      <c r="BP470" s="41"/>
      <c r="BQ470" s="41"/>
      <c r="BR470" s="41"/>
      <c r="BS470" s="41"/>
      <c r="BT470" s="41"/>
      <c r="BU470" s="41"/>
      <c r="BV470" s="41"/>
      <c r="BW470" s="41"/>
      <c r="BX470" s="41"/>
      <c r="BY470" s="41"/>
      <c r="BZ470" s="41"/>
      <c r="CA470" s="41"/>
      <c r="CB470" s="41"/>
      <c r="CC470" s="41"/>
      <c r="CD470" s="41"/>
      <c r="CE470" s="41"/>
      <c r="CF470" s="41"/>
      <c r="CG470" s="41"/>
      <c r="CH470" s="41"/>
      <c r="CI470" s="41"/>
      <c r="CJ470" s="41"/>
      <c r="CK470" s="41"/>
      <c r="CL470" s="41"/>
      <c r="CM470" s="41"/>
      <c r="CN470" s="41"/>
      <c r="CO470" s="41"/>
      <c r="CP470" s="41"/>
      <c r="CQ470" s="41"/>
      <c r="CR470" s="41"/>
      <c r="CS470" s="41"/>
      <c r="CT470" s="41"/>
      <c r="CU470" s="41"/>
      <c r="CV470" s="41"/>
      <c r="CW470" s="41"/>
    </row>
    <row r="471" spans="1:101" ht="16.5" x14ac:dyDescent="0.35">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c r="AJ471" s="41"/>
      <c r="AK471" s="41"/>
      <c r="AL471" s="41"/>
      <c r="AM471" s="41"/>
      <c r="AN471" s="41"/>
      <c r="AO471" s="41"/>
      <c r="AP471" s="41"/>
      <c r="AQ471" s="41"/>
      <c r="AR471" s="41"/>
      <c r="AS471" s="41"/>
      <c r="AT471" s="41"/>
      <c r="AU471" s="41"/>
      <c r="AV471" s="41"/>
      <c r="AW471" s="41"/>
      <c r="AX471" s="41"/>
      <c r="AY471" s="41"/>
      <c r="AZ471" s="41"/>
      <c r="BA471" s="41"/>
      <c r="BB471" s="41"/>
      <c r="BC471" s="41"/>
      <c r="BD471" s="41"/>
      <c r="BE471" s="41"/>
      <c r="BF471" s="41"/>
      <c r="BG471" s="41"/>
      <c r="BH471" s="41"/>
      <c r="BI471" s="41"/>
      <c r="BJ471" s="41"/>
      <c r="BK471" s="41"/>
      <c r="BL471" s="41"/>
      <c r="BM471" s="41"/>
      <c r="BN471" s="41"/>
      <c r="BO471" s="41"/>
      <c r="BP471" s="41"/>
      <c r="BQ471" s="41"/>
      <c r="BR471" s="41"/>
      <c r="BS471" s="41"/>
      <c r="BT471" s="41"/>
      <c r="BU471" s="41"/>
      <c r="BV471" s="41"/>
      <c r="BW471" s="41"/>
      <c r="BX471" s="41"/>
      <c r="BY471" s="41"/>
      <c r="BZ471" s="41"/>
      <c r="CA471" s="41"/>
      <c r="CB471" s="41"/>
      <c r="CC471" s="41"/>
      <c r="CD471" s="41"/>
      <c r="CE471" s="41"/>
      <c r="CF471" s="41"/>
      <c r="CG471" s="41"/>
      <c r="CH471" s="41"/>
      <c r="CI471" s="41"/>
      <c r="CJ471" s="41"/>
      <c r="CK471" s="41"/>
      <c r="CL471" s="41"/>
      <c r="CM471" s="41"/>
      <c r="CN471" s="41"/>
      <c r="CO471" s="41"/>
      <c r="CP471" s="41"/>
      <c r="CQ471" s="41"/>
      <c r="CR471" s="41"/>
      <c r="CS471" s="41"/>
      <c r="CT471" s="41"/>
      <c r="CU471" s="41"/>
      <c r="CV471" s="41"/>
      <c r="CW471" s="41"/>
    </row>
    <row r="472" spans="1:101" ht="16.5" x14ac:dyDescent="0.35">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c r="AP472" s="41"/>
      <c r="AQ472" s="41"/>
      <c r="AR472" s="41"/>
      <c r="AS472" s="41"/>
      <c r="AT472" s="41"/>
      <c r="AU472" s="41"/>
      <c r="AV472" s="41"/>
      <c r="AW472" s="41"/>
      <c r="AX472" s="41"/>
      <c r="AY472" s="41"/>
      <c r="AZ472" s="41"/>
      <c r="BA472" s="41"/>
      <c r="BB472" s="41"/>
      <c r="BC472" s="41"/>
      <c r="BD472" s="41"/>
      <c r="BE472" s="41"/>
      <c r="BF472" s="41"/>
      <c r="BG472" s="41"/>
      <c r="BH472" s="41"/>
      <c r="BI472" s="41"/>
      <c r="BJ472" s="41"/>
      <c r="BK472" s="41"/>
      <c r="BL472" s="41"/>
      <c r="BM472" s="41"/>
      <c r="BN472" s="41"/>
      <c r="BO472" s="41"/>
      <c r="BP472" s="41"/>
      <c r="BQ472" s="41"/>
      <c r="BR472" s="41"/>
      <c r="BS472" s="41"/>
      <c r="BT472" s="41"/>
      <c r="BU472" s="41"/>
      <c r="BV472" s="41"/>
      <c r="BW472" s="41"/>
      <c r="BX472" s="41"/>
      <c r="BY472" s="41"/>
      <c r="BZ472" s="41"/>
      <c r="CA472" s="41"/>
      <c r="CB472" s="41"/>
      <c r="CC472" s="41"/>
      <c r="CD472" s="41"/>
      <c r="CE472" s="41"/>
      <c r="CF472" s="41"/>
      <c r="CG472" s="41"/>
      <c r="CH472" s="41"/>
      <c r="CI472" s="41"/>
      <c r="CJ472" s="41"/>
      <c r="CK472" s="41"/>
      <c r="CL472" s="41"/>
      <c r="CM472" s="41"/>
      <c r="CN472" s="41"/>
      <c r="CO472" s="41"/>
      <c r="CP472" s="41"/>
      <c r="CQ472" s="41"/>
      <c r="CR472" s="41"/>
      <c r="CS472" s="41"/>
      <c r="CT472" s="41"/>
      <c r="CU472" s="41"/>
      <c r="CV472" s="41"/>
      <c r="CW472" s="41"/>
    </row>
    <row r="473" spans="1:101" ht="16.5" x14ac:dyDescent="0.35">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c r="AJ473" s="41"/>
      <c r="AK473" s="41"/>
      <c r="AL473" s="41"/>
      <c r="AM473" s="41"/>
      <c r="AN473" s="41"/>
      <c r="AO473" s="41"/>
      <c r="AP473" s="41"/>
      <c r="AQ473" s="41"/>
      <c r="AR473" s="41"/>
      <c r="AS473" s="41"/>
      <c r="AT473" s="41"/>
      <c r="AU473" s="41"/>
      <c r="AV473" s="41"/>
      <c r="AW473" s="41"/>
      <c r="AX473" s="41"/>
      <c r="AY473" s="41"/>
      <c r="AZ473" s="41"/>
      <c r="BA473" s="41"/>
      <c r="BB473" s="41"/>
      <c r="BC473" s="41"/>
      <c r="BD473" s="41"/>
      <c r="BE473" s="41"/>
      <c r="BF473" s="41"/>
      <c r="BG473" s="41"/>
      <c r="BH473" s="41"/>
      <c r="BI473" s="41"/>
      <c r="BJ473" s="41"/>
      <c r="BK473" s="41"/>
      <c r="BL473" s="41"/>
      <c r="BM473" s="41"/>
      <c r="BN473" s="41"/>
      <c r="BO473" s="41"/>
      <c r="BP473" s="41"/>
      <c r="BQ473" s="41"/>
      <c r="BR473" s="41"/>
      <c r="BS473" s="41"/>
      <c r="BT473" s="41"/>
      <c r="BU473" s="41"/>
      <c r="BV473" s="41"/>
      <c r="BW473" s="41"/>
      <c r="BX473" s="41"/>
      <c r="BY473" s="41"/>
      <c r="BZ473" s="41"/>
      <c r="CA473" s="41"/>
      <c r="CB473" s="41"/>
      <c r="CC473" s="41"/>
      <c r="CD473" s="41"/>
      <c r="CE473" s="41"/>
      <c r="CF473" s="41"/>
      <c r="CG473" s="41"/>
      <c r="CH473" s="41"/>
      <c r="CI473" s="41"/>
      <c r="CJ473" s="41"/>
      <c r="CK473" s="41"/>
      <c r="CL473" s="41"/>
      <c r="CM473" s="41"/>
      <c r="CN473" s="41"/>
      <c r="CO473" s="41"/>
      <c r="CP473" s="41"/>
      <c r="CQ473" s="41"/>
      <c r="CR473" s="41"/>
      <c r="CS473" s="41"/>
      <c r="CT473" s="41"/>
      <c r="CU473" s="41"/>
      <c r="CV473" s="41"/>
      <c r="CW473" s="41"/>
    </row>
    <row r="474" spans="1:101" ht="16.5" x14ac:dyDescent="0.35">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c r="AJ474" s="41"/>
      <c r="AK474" s="41"/>
      <c r="AL474" s="41"/>
      <c r="AM474" s="41"/>
      <c r="AN474" s="41"/>
      <c r="AO474" s="41"/>
      <c r="AP474" s="41"/>
      <c r="AQ474" s="41"/>
      <c r="AR474" s="41"/>
      <c r="AS474" s="41"/>
      <c r="AT474" s="41"/>
      <c r="AU474" s="41"/>
      <c r="AV474" s="41"/>
      <c r="AW474" s="41"/>
      <c r="AX474" s="41"/>
      <c r="AY474" s="41"/>
      <c r="AZ474" s="41"/>
      <c r="BA474" s="41"/>
      <c r="BB474" s="41"/>
      <c r="BC474" s="41"/>
      <c r="BD474" s="41"/>
      <c r="BE474" s="41"/>
      <c r="BF474" s="41"/>
      <c r="BG474" s="41"/>
      <c r="BH474" s="41"/>
      <c r="BI474" s="41"/>
      <c r="BJ474" s="41"/>
      <c r="BK474" s="41"/>
      <c r="BL474" s="41"/>
      <c r="BM474" s="41"/>
      <c r="BN474" s="41"/>
      <c r="BO474" s="41"/>
      <c r="BP474" s="41"/>
      <c r="BQ474" s="41"/>
      <c r="BR474" s="41"/>
      <c r="BS474" s="41"/>
      <c r="BT474" s="41"/>
      <c r="BU474" s="41"/>
      <c r="BV474" s="41"/>
      <c r="BW474" s="41"/>
      <c r="BX474" s="41"/>
      <c r="BY474" s="41"/>
      <c r="BZ474" s="41"/>
      <c r="CA474" s="41"/>
      <c r="CB474" s="41"/>
      <c r="CC474" s="41"/>
      <c r="CD474" s="41"/>
      <c r="CE474" s="41"/>
      <c r="CF474" s="41"/>
      <c r="CG474" s="41"/>
      <c r="CH474" s="41"/>
      <c r="CI474" s="41"/>
      <c r="CJ474" s="41"/>
      <c r="CK474" s="41"/>
      <c r="CL474" s="41"/>
      <c r="CM474" s="41"/>
      <c r="CN474" s="41"/>
      <c r="CO474" s="41"/>
      <c r="CP474" s="41"/>
      <c r="CQ474" s="41"/>
      <c r="CR474" s="41"/>
      <c r="CS474" s="41"/>
      <c r="CT474" s="41"/>
      <c r="CU474" s="41"/>
      <c r="CV474" s="41"/>
      <c r="CW474" s="41"/>
    </row>
    <row r="475" spans="1:101" ht="16.5" x14ac:dyDescent="0.35">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c r="AJ475" s="41"/>
      <c r="AK475" s="41"/>
      <c r="AL475" s="41"/>
      <c r="AM475" s="41"/>
      <c r="AN475" s="41"/>
      <c r="AO475" s="41"/>
      <c r="AP475" s="41"/>
      <c r="AQ475" s="41"/>
      <c r="AR475" s="41"/>
      <c r="AS475" s="41"/>
      <c r="AT475" s="41"/>
      <c r="AU475" s="41"/>
      <c r="AV475" s="41"/>
      <c r="AW475" s="41"/>
      <c r="AX475" s="41"/>
      <c r="AY475" s="41"/>
      <c r="AZ475" s="41"/>
      <c r="BA475" s="41"/>
      <c r="BB475" s="41"/>
      <c r="BC475" s="41"/>
      <c r="BD475" s="41"/>
      <c r="BE475" s="41"/>
      <c r="BF475" s="41"/>
      <c r="BG475" s="41"/>
      <c r="BH475" s="41"/>
      <c r="BI475" s="41"/>
      <c r="BJ475" s="41"/>
      <c r="BK475" s="41"/>
      <c r="BL475" s="41"/>
      <c r="BM475" s="41"/>
      <c r="BN475" s="41"/>
      <c r="BO475" s="41"/>
      <c r="BP475" s="41"/>
      <c r="BQ475" s="41"/>
      <c r="BR475" s="41"/>
      <c r="BS475" s="41"/>
      <c r="BT475" s="41"/>
      <c r="BU475" s="41"/>
      <c r="BV475" s="41"/>
      <c r="BW475" s="41"/>
      <c r="BX475" s="41"/>
      <c r="BY475" s="41"/>
      <c r="BZ475" s="41"/>
      <c r="CA475" s="41"/>
      <c r="CB475" s="41"/>
      <c r="CC475" s="41"/>
      <c r="CD475" s="41"/>
      <c r="CE475" s="41"/>
      <c r="CF475" s="41"/>
      <c r="CG475" s="41"/>
      <c r="CH475" s="41"/>
      <c r="CI475" s="41"/>
      <c r="CJ475" s="41"/>
      <c r="CK475" s="41"/>
      <c r="CL475" s="41"/>
      <c r="CM475" s="41"/>
      <c r="CN475" s="41"/>
      <c r="CO475" s="41"/>
      <c r="CP475" s="41"/>
      <c r="CQ475" s="41"/>
      <c r="CR475" s="41"/>
      <c r="CS475" s="41"/>
      <c r="CT475" s="41"/>
      <c r="CU475" s="41"/>
      <c r="CV475" s="41"/>
      <c r="CW475" s="41"/>
    </row>
    <row r="476" spans="1:101" ht="16.5" x14ac:dyDescent="0.35">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L476" s="41"/>
      <c r="AM476" s="41"/>
      <c r="AN476" s="41"/>
      <c r="AO476" s="41"/>
      <c r="AP476" s="41"/>
      <c r="AQ476" s="41"/>
      <c r="AR476" s="41"/>
      <c r="AS476" s="41"/>
      <c r="AT476" s="41"/>
      <c r="AU476" s="41"/>
      <c r="AV476" s="41"/>
      <c r="AW476" s="41"/>
      <c r="AX476" s="41"/>
      <c r="AY476" s="41"/>
      <c r="AZ476" s="41"/>
      <c r="BA476" s="41"/>
      <c r="BB476" s="41"/>
      <c r="BC476" s="41"/>
      <c r="BD476" s="41"/>
      <c r="BE476" s="41"/>
      <c r="BF476" s="41"/>
      <c r="BG476" s="41"/>
      <c r="BH476" s="41"/>
      <c r="BI476" s="41"/>
      <c r="BJ476" s="41"/>
      <c r="BK476" s="41"/>
      <c r="BL476" s="41"/>
      <c r="BM476" s="41"/>
      <c r="BN476" s="41"/>
      <c r="BO476" s="41"/>
      <c r="BP476" s="41"/>
      <c r="BQ476" s="41"/>
      <c r="BR476" s="41"/>
      <c r="BS476" s="41"/>
      <c r="BT476" s="41"/>
      <c r="BU476" s="41"/>
      <c r="BV476" s="41"/>
      <c r="BW476" s="41"/>
      <c r="BX476" s="41"/>
      <c r="BY476" s="41"/>
      <c r="BZ476" s="41"/>
      <c r="CA476" s="41"/>
      <c r="CB476" s="41"/>
      <c r="CC476" s="41"/>
      <c r="CD476" s="41"/>
      <c r="CE476" s="41"/>
      <c r="CF476" s="41"/>
      <c r="CG476" s="41"/>
      <c r="CH476" s="41"/>
      <c r="CI476" s="41"/>
      <c r="CJ476" s="41"/>
      <c r="CK476" s="41"/>
      <c r="CL476" s="41"/>
      <c r="CM476" s="41"/>
      <c r="CN476" s="41"/>
      <c r="CO476" s="41"/>
      <c r="CP476" s="41"/>
      <c r="CQ476" s="41"/>
      <c r="CR476" s="41"/>
      <c r="CS476" s="41"/>
      <c r="CT476" s="41"/>
      <c r="CU476" s="41"/>
      <c r="CV476" s="41"/>
      <c r="CW476" s="41"/>
    </row>
    <row r="477" spans="1:101" ht="16.5" x14ac:dyDescent="0.35">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c r="AJ477" s="41"/>
      <c r="AK477" s="41"/>
      <c r="AL477" s="41"/>
      <c r="AM477" s="41"/>
      <c r="AN477" s="41"/>
      <c r="AO477" s="41"/>
      <c r="AP477" s="41"/>
      <c r="AQ477" s="41"/>
      <c r="AR477" s="41"/>
      <c r="AS477" s="41"/>
      <c r="AT477" s="41"/>
      <c r="AU477" s="41"/>
      <c r="AV477" s="41"/>
      <c r="AW477" s="41"/>
      <c r="AX477" s="41"/>
      <c r="AY477" s="41"/>
      <c r="AZ477" s="41"/>
      <c r="BA477" s="41"/>
      <c r="BB477" s="41"/>
      <c r="BC477" s="41"/>
      <c r="BD477" s="41"/>
      <c r="BE477" s="41"/>
      <c r="BF477" s="41"/>
      <c r="BG477" s="41"/>
      <c r="BH477" s="41"/>
      <c r="BI477" s="41"/>
      <c r="BJ477" s="41"/>
      <c r="BK477" s="41"/>
      <c r="BL477" s="41"/>
      <c r="BM477" s="41"/>
      <c r="BN477" s="41"/>
      <c r="BO477" s="41"/>
      <c r="BP477" s="41"/>
      <c r="BQ477" s="41"/>
      <c r="BR477" s="41"/>
      <c r="BS477" s="41"/>
      <c r="BT477" s="41"/>
      <c r="BU477" s="41"/>
      <c r="BV477" s="41"/>
      <c r="BW477" s="41"/>
      <c r="BX477" s="41"/>
      <c r="BY477" s="41"/>
      <c r="BZ477" s="41"/>
      <c r="CA477" s="41"/>
      <c r="CB477" s="41"/>
      <c r="CC477" s="41"/>
      <c r="CD477" s="41"/>
      <c r="CE477" s="41"/>
      <c r="CF477" s="41"/>
      <c r="CG477" s="41"/>
      <c r="CH477" s="41"/>
      <c r="CI477" s="41"/>
      <c r="CJ477" s="41"/>
      <c r="CK477" s="41"/>
      <c r="CL477" s="41"/>
      <c r="CM477" s="41"/>
      <c r="CN477" s="41"/>
      <c r="CO477" s="41"/>
      <c r="CP477" s="41"/>
      <c r="CQ477" s="41"/>
      <c r="CR477" s="41"/>
      <c r="CS477" s="41"/>
      <c r="CT477" s="41"/>
      <c r="CU477" s="41"/>
      <c r="CV477" s="41"/>
      <c r="CW477" s="41"/>
    </row>
    <row r="478" spans="1:101" ht="16.5" x14ac:dyDescent="0.35">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c r="AJ478" s="41"/>
      <c r="AK478" s="41"/>
      <c r="AL478" s="41"/>
      <c r="AM478" s="41"/>
      <c r="AN478" s="41"/>
      <c r="AO478" s="41"/>
      <c r="AP478" s="41"/>
      <c r="AQ478" s="41"/>
      <c r="AR478" s="41"/>
      <c r="AS478" s="41"/>
      <c r="AT478" s="41"/>
      <c r="AU478" s="41"/>
      <c r="AV478" s="41"/>
      <c r="AW478" s="41"/>
      <c r="AX478" s="41"/>
      <c r="AY478" s="41"/>
      <c r="AZ478" s="41"/>
      <c r="BA478" s="41"/>
      <c r="BB478" s="41"/>
      <c r="BC478" s="41"/>
      <c r="BD478" s="41"/>
      <c r="BE478" s="41"/>
      <c r="BF478" s="41"/>
      <c r="BG478" s="41"/>
      <c r="BH478" s="41"/>
      <c r="BI478" s="41"/>
      <c r="BJ478" s="41"/>
      <c r="BK478" s="41"/>
      <c r="BL478" s="41"/>
      <c r="BM478" s="41"/>
      <c r="BN478" s="41"/>
      <c r="BO478" s="41"/>
      <c r="BP478" s="41"/>
      <c r="BQ478" s="41"/>
      <c r="BR478" s="41"/>
      <c r="BS478" s="41"/>
      <c r="BT478" s="41"/>
      <c r="BU478" s="41"/>
      <c r="BV478" s="41"/>
      <c r="BW478" s="41"/>
      <c r="BX478" s="41"/>
      <c r="BY478" s="41"/>
      <c r="BZ478" s="41"/>
      <c r="CA478" s="41"/>
      <c r="CB478" s="41"/>
      <c r="CC478" s="41"/>
      <c r="CD478" s="41"/>
      <c r="CE478" s="41"/>
      <c r="CF478" s="41"/>
      <c r="CG478" s="41"/>
      <c r="CH478" s="41"/>
      <c r="CI478" s="41"/>
      <c r="CJ478" s="41"/>
      <c r="CK478" s="41"/>
      <c r="CL478" s="41"/>
      <c r="CM478" s="41"/>
      <c r="CN478" s="41"/>
      <c r="CO478" s="41"/>
      <c r="CP478" s="41"/>
      <c r="CQ478" s="41"/>
      <c r="CR478" s="41"/>
      <c r="CS478" s="41"/>
      <c r="CT478" s="41"/>
      <c r="CU478" s="41"/>
      <c r="CV478" s="41"/>
      <c r="CW478" s="41"/>
    </row>
    <row r="479" spans="1:101" ht="16.5" x14ac:dyDescent="0.35">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c r="AJ479" s="41"/>
      <c r="AK479" s="41"/>
      <c r="AL479" s="41"/>
      <c r="AM479" s="41"/>
      <c r="AN479" s="41"/>
      <c r="AO479" s="41"/>
      <c r="AP479" s="41"/>
      <c r="AQ479" s="41"/>
      <c r="AR479" s="41"/>
      <c r="AS479" s="41"/>
      <c r="AT479" s="41"/>
      <c r="AU479" s="41"/>
      <c r="AV479" s="41"/>
      <c r="AW479" s="41"/>
      <c r="AX479" s="41"/>
      <c r="AY479" s="41"/>
      <c r="AZ479" s="41"/>
      <c r="BA479" s="41"/>
      <c r="BB479" s="41"/>
      <c r="BC479" s="41"/>
      <c r="BD479" s="41"/>
      <c r="BE479" s="41"/>
      <c r="BF479" s="41"/>
      <c r="BG479" s="41"/>
      <c r="BH479" s="41"/>
      <c r="BI479" s="41"/>
      <c r="BJ479" s="41"/>
      <c r="BK479" s="41"/>
      <c r="BL479" s="41"/>
      <c r="BM479" s="41"/>
      <c r="BN479" s="41"/>
      <c r="BO479" s="41"/>
      <c r="BP479" s="41"/>
      <c r="BQ479" s="41"/>
      <c r="BR479" s="41"/>
      <c r="BS479" s="41"/>
      <c r="BT479" s="41"/>
      <c r="BU479" s="41"/>
      <c r="BV479" s="41"/>
      <c r="BW479" s="41"/>
      <c r="BX479" s="41"/>
      <c r="BY479" s="41"/>
      <c r="BZ479" s="41"/>
      <c r="CA479" s="41"/>
      <c r="CB479" s="41"/>
      <c r="CC479" s="41"/>
      <c r="CD479" s="41"/>
      <c r="CE479" s="41"/>
      <c r="CF479" s="41"/>
      <c r="CG479" s="41"/>
      <c r="CH479" s="41"/>
      <c r="CI479" s="41"/>
      <c r="CJ479" s="41"/>
      <c r="CK479" s="41"/>
      <c r="CL479" s="41"/>
      <c r="CM479" s="41"/>
      <c r="CN479" s="41"/>
      <c r="CO479" s="41"/>
      <c r="CP479" s="41"/>
      <c r="CQ479" s="41"/>
      <c r="CR479" s="41"/>
      <c r="CS479" s="41"/>
      <c r="CT479" s="41"/>
      <c r="CU479" s="41"/>
      <c r="CV479" s="41"/>
      <c r="CW479" s="41"/>
    </row>
    <row r="480" spans="1:101" ht="16.5" x14ac:dyDescent="0.35">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c r="AJ480" s="41"/>
      <c r="AK480" s="41"/>
      <c r="AL480" s="41"/>
      <c r="AM480" s="41"/>
      <c r="AN480" s="41"/>
      <c r="AO480" s="41"/>
      <c r="AP480" s="41"/>
      <c r="AQ480" s="41"/>
      <c r="AR480" s="41"/>
      <c r="AS480" s="41"/>
      <c r="AT480" s="41"/>
      <c r="AU480" s="41"/>
      <c r="AV480" s="41"/>
      <c r="AW480" s="41"/>
      <c r="AX480" s="41"/>
      <c r="AY480" s="41"/>
      <c r="AZ480" s="41"/>
      <c r="BA480" s="41"/>
      <c r="BB480" s="41"/>
      <c r="BC480" s="41"/>
      <c r="BD480" s="41"/>
      <c r="BE480" s="41"/>
      <c r="BF480" s="41"/>
      <c r="BG480" s="41"/>
      <c r="BH480" s="41"/>
      <c r="BI480" s="41"/>
      <c r="BJ480" s="41"/>
      <c r="BK480" s="41"/>
      <c r="BL480" s="41"/>
      <c r="BM480" s="41"/>
      <c r="BN480" s="41"/>
      <c r="BO480" s="41"/>
      <c r="BP480" s="41"/>
      <c r="BQ480" s="41"/>
      <c r="BR480" s="41"/>
      <c r="BS480" s="41"/>
      <c r="BT480" s="41"/>
      <c r="BU480" s="41"/>
      <c r="BV480" s="41"/>
      <c r="BW480" s="41"/>
      <c r="BX480" s="41"/>
      <c r="BY480" s="41"/>
      <c r="BZ480" s="41"/>
      <c r="CA480" s="41"/>
      <c r="CB480" s="41"/>
      <c r="CC480" s="41"/>
      <c r="CD480" s="41"/>
      <c r="CE480" s="41"/>
      <c r="CF480" s="41"/>
      <c r="CG480" s="41"/>
      <c r="CH480" s="41"/>
      <c r="CI480" s="41"/>
      <c r="CJ480" s="41"/>
      <c r="CK480" s="41"/>
      <c r="CL480" s="41"/>
      <c r="CM480" s="41"/>
      <c r="CN480" s="41"/>
      <c r="CO480" s="41"/>
      <c r="CP480" s="41"/>
      <c r="CQ480" s="41"/>
      <c r="CR480" s="41"/>
      <c r="CS480" s="41"/>
      <c r="CT480" s="41"/>
      <c r="CU480" s="41"/>
      <c r="CV480" s="41"/>
      <c r="CW480" s="41"/>
    </row>
    <row r="481" spans="1:101" ht="16.5" x14ac:dyDescent="0.35">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c r="AJ481" s="41"/>
      <c r="AK481" s="41"/>
      <c r="AL481" s="41"/>
      <c r="AM481" s="41"/>
      <c r="AN481" s="41"/>
      <c r="AO481" s="41"/>
      <c r="AP481" s="41"/>
      <c r="AQ481" s="41"/>
      <c r="AR481" s="41"/>
      <c r="AS481" s="41"/>
      <c r="AT481" s="41"/>
      <c r="AU481" s="41"/>
      <c r="AV481" s="41"/>
      <c r="AW481" s="41"/>
      <c r="AX481" s="41"/>
      <c r="AY481" s="41"/>
      <c r="AZ481" s="41"/>
      <c r="BA481" s="41"/>
      <c r="BB481" s="41"/>
      <c r="BC481" s="41"/>
      <c r="BD481" s="41"/>
      <c r="BE481" s="41"/>
      <c r="BF481" s="41"/>
      <c r="BG481" s="41"/>
      <c r="BH481" s="41"/>
      <c r="BI481" s="41"/>
      <c r="BJ481" s="41"/>
      <c r="BK481" s="41"/>
      <c r="BL481" s="41"/>
      <c r="BM481" s="41"/>
      <c r="BN481" s="41"/>
      <c r="BO481" s="41"/>
      <c r="BP481" s="41"/>
      <c r="BQ481" s="41"/>
      <c r="BR481" s="41"/>
      <c r="BS481" s="41"/>
      <c r="BT481" s="41"/>
      <c r="BU481" s="41"/>
      <c r="BV481" s="41"/>
      <c r="BW481" s="41"/>
      <c r="BX481" s="41"/>
      <c r="BY481" s="41"/>
      <c r="BZ481" s="41"/>
      <c r="CA481" s="41"/>
      <c r="CB481" s="41"/>
      <c r="CC481" s="41"/>
      <c r="CD481" s="41"/>
      <c r="CE481" s="41"/>
      <c r="CF481" s="41"/>
      <c r="CG481" s="41"/>
      <c r="CH481" s="41"/>
      <c r="CI481" s="41"/>
      <c r="CJ481" s="41"/>
      <c r="CK481" s="41"/>
      <c r="CL481" s="41"/>
      <c r="CM481" s="41"/>
      <c r="CN481" s="41"/>
      <c r="CO481" s="41"/>
      <c r="CP481" s="41"/>
      <c r="CQ481" s="41"/>
      <c r="CR481" s="41"/>
      <c r="CS481" s="41"/>
      <c r="CT481" s="41"/>
      <c r="CU481" s="41"/>
      <c r="CV481" s="41"/>
      <c r="CW481" s="41"/>
    </row>
    <row r="482" spans="1:101" ht="16.5" x14ac:dyDescent="0.35">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41"/>
      <c r="AW482" s="41"/>
      <c r="AX482" s="41"/>
      <c r="AY482" s="41"/>
      <c r="AZ482" s="41"/>
      <c r="BA482" s="41"/>
      <c r="BB482" s="41"/>
      <c r="BC482" s="41"/>
      <c r="BD482" s="41"/>
      <c r="BE482" s="41"/>
      <c r="BF482" s="41"/>
      <c r="BG482" s="41"/>
      <c r="BH482" s="41"/>
      <c r="BI482" s="41"/>
      <c r="BJ482" s="41"/>
      <c r="BK482" s="41"/>
      <c r="BL482" s="41"/>
      <c r="BM482" s="41"/>
      <c r="BN482" s="41"/>
      <c r="BO482" s="41"/>
      <c r="BP482" s="41"/>
      <c r="BQ482" s="41"/>
      <c r="BR482" s="41"/>
      <c r="BS482" s="41"/>
      <c r="BT482" s="41"/>
      <c r="BU482" s="41"/>
      <c r="BV482" s="41"/>
      <c r="BW482" s="41"/>
      <c r="BX482" s="41"/>
      <c r="BY482" s="41"/>
      <c r="BZ482" s="41"/>
      <c r="CA482" s="41"/>
      <c r="CB482" s="41"/>
      <c r="CC482" s="41"/>
      <c r="CD482" s="41"/>
      <c r="CE482" s="41"/>
      <c r="CF482" s="41"/>
      <c r="CG482" s="41"/>
      <c r="CH482" s="41"/>
      <c r="CI482" s="41"/>
      <c r="CJ482" s="41"/>
      <c r="CK482" s="41"/>
      <c r="CL482" s="41"/>
      <c r="CM482" s="41"/>
      <c r="CN482" s="41"/>
      <c r="CO482" s="41"/>
      <c r="CP482" s="41"/>
      <c r="CQ482" s="41"/>
      <c r="CR482" s="41"/>
      <c r="CS482" s="41"/>
      <c r="CT482" s="41"/>
      <c r="CU482" s="41"/>
      <c r="CV482" s="41"/>
      <c r="CW482" s="41"/>
    </row>
    <row r="483" spans="1:101" ht="16.5" x14ac:dyDescent="0.35">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c r="AJ483" s="41"/>
      <c r="AK483" s="41"/>
      <c r="AL483" s="41"/>
      <c r="AM483" s="41"/>
      <c r="AN483" s="41"/>
      <c r="AO483" s="41"/>
      <c r="AP483" s="41"/>
      <c r="AQ483" s="41"/>
      <c r="AR483" s="41"/>
      <c r="AS483" s="41"/>
      <c r="AT483" s="41"/>
      <c r="AU483" s="41"/>
      <c r="AV483" s="41"/>
      <c r="AW483" s="41"/>
      <c r="AX483" s="41"/>
      <c r="AY483" s="41"/>
      <c r="AZ483" s="41"/>
      <c r="BA483" s="41"/>
      <c r="BB483" s="41"/>
      <c r="BC483" s="41"/>
      <c r="BD483" s="41"/>
      <c r="BE483" s="41"/>
      <c r="BF483" s="41"/>
      <c r="BG483" s="41"/>
      <c r="BH483" s="41"/>
      <c r="BI483" s="41"/>
      <c r="BJ483" s="41"/>
      <c r="BK483" s="41"/>
      <c r="BL483" s="41"/>
      <c r="BM483" s="41"/>
      <c r="BN483" s="41"/>
      <c r="BO483" s="41"/>
      <c r="BP483" s="41"/>
      <c r="BQ483" s="41"/>
      <c r="BR483" s="41"/>
      <c r="BS483" s="41"/>
      <c r="BT483" s="41"/>
      <c r="BU483" s="41"/>
      <c r="BV483" s="41"/>
      <c r="BW483" s="41"/>
      <c r="BX483" s="41"/>
      <c r="BY483" s="41"/>
      <c r="BZ483" s="41"/>
      <c r="CA483" s="41"/>
      <c r="CB483" s="41"/>
      <c r="CC483" s="41"/>
      <c r="CD483" s="41"/>
      <c r="CE483" s="41"/>
      <c r="CF483" s="41"/>
      <c r="CG483" s="41"/>
      <c r="CH483" s="41"/>
      <c r="CI483" s="41"/>
      <c r="CJ483" s="41"/>
      <c r="CK483" s="41"/>
      <c r="CL483" s="41"/>
      <c r="CM483" s="41"/>
      <c r="CN483" s="41"/>
      <c r="CO483" s="41"/>
      <c r="CP483" s="41"/>
      <c r="CQ483" s="41"/>
      <c r="CR483" s="41"/>
      <c r="CS483" s="41"/>
      <c r="CT483" s="41"/>
      <c r="CU483" s="41"/>
      <c r="CV483" s="41"/>
      <c r="CW483" s="41"/>
    </row>
    <row r="484" spans="1:101" ht="16.5" x14ac:dyDescent="0.35">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c r="AJ484" s="41"/>
      <c r="AK484" s="41"/>
      <c r="AL484" s="41"/>
      <c r="AM484" s="41"/>
      <c r="AN484" s="41"/>
      <c r="AO484" s="41"/>
      <c r="AP484" s="41"/>
      <c r="AQ484" s="41"/>
      <c r="AR484" s="41"/>
      <c r="AS484" s="41"/>
      <c r="AT484" s="41"/>
      <c r="AU484" s="41"/>
      <c r="AV484" s="41"/>
      <c r="AW484" s="41"/>
      <c r="AX484" s="41"/>
      <c r="AY484" s="41"/>
      <c r="AZ484" s="41"/>
      <c r="BA484" s="41"/>
      <c r="BB484" s="41"/>
      <c r="BC484" s="41"/>
      <c r="BD484" s="41"/>
      <c r="BE484" s="41"/>
      <c r="BF484" s="41"/>
      <c r="BG484" s="41"/>
      <c r="BH484" s="41"/>
      <c r="BI484" s="41"/>
      <c r="BJ484" s="41"/>
      <c r="BK484" s="41"/>
      <c r="BL484" s="41"/>
      <c r="BM484" s="41"/>
      <c r="BN484" s="41"/>
      <c r="BO484" s="41"/>
      <c r="BP484" s="41"/>
      <c r="BQ484" s="41"/>
      <c r="BR484" s="41"/>
      <c r="BS484" s="41"/>
      <c r="BT484" s="41"/>
      <c r="BU484" s="41"/>
      <c r="BV484" s="41"/>
      <c r="BW484" s="41"/>
      <c r="BX484" s="41"/>
      <c r="BY484" s="41"/>
      <c r="BZ484" s="41"/>
      <c r="CA484" s="41"/>
      <c r="CB484" s="41"/>
      <c r="CC484" s="41"/>
      <c r="CD484" s="41"/>
      <c r="CE484" s="41"/>
      <c r="CF484" s="41"/>
      <c r="CG484" s="41"/>
      <c r="CH484" s="41"/>
      <c r="CI484" s="41"/>
      <c r="CJ484" s="41"/>
      <c r="CK484" s="41"/>
      <c r="CL484" s="41"/>
      <c r="CM484" s="41"/>
      <c r="CN484" s="41"/>
      <c r="CO484" s="41"/>
      <c r="CP484" s="41"/>
      <c r="CQ484" s="41"/>
      <c r="CR484" s="41"/>
      <c r="CS484" s="41"/>
      <c r="CT484" s="41"/>
      <c r="CU484" s="41"/>
      <c r="CV484" s="41"/>
      <c r="CW484" s="41"/>
    </row>
    <row r="485" spans="1:101" ht="16.5" x14ac:dyDescent="0.35">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c r="AJ485" s="41"/>
      <c r="AK485" s="41"/>
      <c r="AL485" s="41"/>
      <c r="AM485" s="41"/>
      <c r="AN485" s="41"/>
      <c r="AO485" s="41"/>
      <c r="AP485" s="41"/>
      <c r="AQ485" s="41"/>
      <c r="AR485" s="41"/>
      <c r="AS485" s="41"/>
      <c r="AT485" s="41"/>
      <c r="AU485" s="41"/>
      <c r="AV485" s="41"/>
      <c r="AW485" s="41"/>
      <c r="AX485" s="41"/>
      <c r="AY485" s="41"/>
      <c r="AZ485" s="41"/>
      <c r="BA485" s="41"/>
      <c r="BB485" s="41"/>
      <c r="BC485" s="41"/>
      <c r="BD485" s="41"/>
      <c r="BE485" s="41"/>
      <c r="BF485" s="41"/>
      <c r="BG485" s="41"/>
      <c r="BH485" s="41"/>
      <c r="BI485" s="41"/>
      <c r="BJ485" s="41"/>
      <c r="BK485" s="41"/>
      <c r="BL485" s="41"/>
      <c r="BM485" s="41"/>
      <c r="BN485" s="41"/>
      <c r="BO485" s="41"/>
      <c r="BP485" s="41"/>
      <c r="BQ485" s="41"/>
      <c r="BR485" s="41"/>
      <c r="BS485" s="41"/>
      <c r="BT485" s="41"/>
      <c r="BU485" s="41"/>
      <c r="BV485" s="41"/>
      <c r="BW485" s="41"/>
      <c r="BX485" s="41"/>
      <c r="BY485" s="41"/>
      <c r="BZ485" s="41"/>
      <c r="CA485" s="41"/>
      <c r="CB485" s="41"/>
      <c r="CC485" s="41"/>
      <c r="CD485" s="41"/>
      <c r="CE485" s="41"/>
      <c r="CF485" s="41"/>
      <c r="CG485" s="41"/>
      <c r="CH485" s="41"/>
      <c r="CI485" s="41"/>
      <c r="CJ485" s="41"/>
      <c r="CK485" s="41"/>
      <c r="CL485" s="41"/>
      <c r="CM485" s="41"/>
      <c r="CN485" s="41"/>
      <c r="CO485" s="41"/>
      <c r="CP485" s="41"/>
      <c r="CQ485" s="41"/>
      <c r="CR485" s="41"/>
      <c r="CS485" s="41"/>
      <c r="CT485" s="41"/>
      <c r="CU485" s="41"/>
      <c r="CV485" s="41"/>
      <c r="CW485" s="41"/>
    </row>
    <row r="486" spans="1:101" ht="16.5" x14ac:dyDescent="0.35">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c r="AP486" s="41"/>
      <c r="AQ486" s="41"/>
      <c r="AR486" s="41"/>
      <c r="AS486" s="41"/>
      <c r="AT486" s="41"/>
      <c r="AU486" s="41"/>
      <c r="AV486" s="41"/>
      <c r="AW486" s="41"/>
      <c r="AX486" s="41"/>
      <c r="AY486" s="41"/>
      <c r="AZ486" s="41"/>
      <c r="BA486" s="41"/>
      <c r="BB486" s="41"/>
      <c r="BC486" s="41"/>
      <c r="BD486" s="41"/>
      <c r="BE486" s="41"/>
      <c r="BF486" s="41"/>
      <c r="BG486" s="41"/>
      <c r="BH486" s="41"/>
      <c r="BI486" s="41"/>
      <c r="BJ486" s="41"/>
      <c r="BK486" s="41"/>
      <c r="BL486" s="41"/>
      <c r="BM486" s="41"/>
      <c r="BN486" s="41"/>
      <c r="BO486" s="41"/>
      <c r="BP486" s="41"/>
      <c r="BQ486" s="41"/>
      <c r="BR486" s="41"/>
      <c r="BS486" s="41"/>
      <c r="BT486" s="41"/>
      <c r="BU486" s="41"/>
      <c r="BV486" s="41"/>
      <c r="BW486" s="41"/>
      <c r="BX486" s="41"/>
      <c r="BY486" s="41"/>
      <c r="BZ486" s="41"/>
      <c r="CA486" s="41"/>
      <c r="CB486" s="41"/>
      <c r="CC486" s="41"/>
      <c r="CD486" s="41"/>
      <c r="CE486" s="41"/>
      <c r="CF486" s="41"/>
      <c r="CG486" s="41"/>
      <c r="CH486" s="41"/>
      <c r="CI486" s="41"/>
      <c r="CJ486" s="41"/>
      <c r="CK486" s="41"/>
      <c r="CL486" s="41"/>
      <c r="CM486" s="41"/>
      <c r="CN486" s="41"/>
      <c r="CO486" s="41"/>
      <c r="CP486" s="41"/>
      <c r="CQ486" s="41"/>
      <c r="CR486" s="41"/>
      <c r="CS486" s="41"/>
      <c r="CT486" s="41"/>
      <c r="CU486" s="41"/>
      <c r="CV486" s="41"/>
      <c r="CW486" s="41"/>
    </row>
    <row r="487" spans="1:101" ht="16.5" x14ac:dyDescent="0.35">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c r="AP487" s="41"/>
      <c r="AQ487" s="41"/>
      <c r="AR487" s="41"/>
      <c r="AS487" s="41"/>
      <c r="AT487" s="41"/>
      <c r="AU487" s="41"/>
      <c r="AV487" s="41"/>
      <c r="AW487" s="41"/>
      <c r="AX487" s="41"/>
      <c r="AY487" s="41"/>
      <c r="AZ487" s="41"/>
      <c r="BA487" s="41"/>
      <c r="BB487" s="41"/>
      <c r="BC487" s="41"/>
      <c r="BD487" s="41"/>
      <c r="BE487" s="41"/>
      <c r="BF487" s="41"/>
      <c r="BG487" s="41"/>
      <c r="BH487" s="41"/>
      <c r="BI487" s="41"/>
      <c r="BJ487" s="41"/>
      <c r="BK487" s="41"/>
      <c r="BL487" s="41"/>
      <c r="BM487" s="41"/>
      <c r="BN487" s="41"/>
      <c r="BO487" s="41"/>
      <c r="BP487" s="41"/>
      <c r="BQ487" s="41"/>
      <c r="BR487" s="41"/>
      <c r="BS487" s="41"/>
      <c r="BT487" s="41"/>
      <c r="BU487" s="41"/>
      <c r="BV487" s="41"/>
      <c r="BW487" s="41"/>
      <c r="BX487" s="41"/>
      <c r="BY487" s="41"/>
      <c r="BZ487" s="41"/>
      <c r="CA487" s="41"/>
      <c r="CB487" s="41"/>
      <c r="CC487" s="41"/>
      <c r="CD487" s="41"/>
      <c r="CE487" s="41"/>
      <c r="CF487" s="41"/>
      <c r="CG487" s="41"/>
      <c r="CH487" s="41"/>
      <c r="CI487" s="41"/>
      <c r="CJ487" s="41"/>
      <c r="CK487" s="41"/>
      <c r="CL487" s="41"/>
      <c r="CM487" s="41"/>
      <c r="CN487" s="41"/>
      <c r="CO487" s="41"/>
      <c r="CP487" s="41"/>
      <c r="CQ487" s="41"/>
      <c r="CR487" s="41"/>
      <c r="CS487" s="41"/>
      <c r="CT487" s="41"/>
      <c r="CU487" s="41"/>
      <c r="CV487" s="41"/>
      <c r="CW487" s="41"/>
    </row>
    <row r="488" spans="1:101" ht="16.5" x14ac:dyDescent="0.35">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c r="AJ488" s="41"/>
      <c r="AK488" s="41"/>
      <c r="AL488" s="41"/>
      <c r="AM488" s="41"/>
      <c r="AN488" s="41"/>
      <c r="AO488" s="41"/>
      <c r="AP488" s="41"/>
      <c r="AQ488" s="41"/>
      <c r="AR488" s="41"/>
      <c r="AS488" s="41"/>
      <c r="AT488" s="41"/>
      <c r="AU488" s="41"/>
      <c r="AV488" s="41"/>
      <c r="AW488" s="41"/>
      <c r="AX488" s="41"/>
      <c r="AY488" s="41"/>
      <c r="AZ488" s="41"/>
      <c r="BA488" s="41"/>
      <c r="BB488" s="41"/>
      <c r="BC488" s="41"/>
      <c r="BD488" s="41"/>
      <c r="BE488" s="41"/>
      <c r="BF488" s="41"/>
      <c r="BG488" s="41"/>
      <c r="BH488" s="41"/>
      <c r="BI488" s="41"/>
      <c r="BJ488" s="41"/>
      <c r="BK488" s="41"/>
      <c r="BL488" s="41"/>
      <c r="BM488" s="41"/>
      <c r="BN488" s="41"/>
      <c r="BO488" s="41"/>
      <c r="BP488" s="41"/>
      <c r="BQ488" s="41"/>
      <c r="BR488" s="41"/>
      <c r="BS488" s="41"/>
      <c r="BT488" s="41"/>
      <c r="BU488" s="41"/>
      <c r="BV488" s="41"/>
      <c r="BW488" s="41"/>
      <c r="BX488" s="41"/>
      <c r="BY488" s="41"/>
      <c r="BZ488" s="41"/>
      <c r="CA488" s="41"/>
      <c r="CB488" s="41"/>
      <c r="CC488" s="41"/>
      <c r="CD488" s="41"/>
      <c r="CE488" s="41"/>
      <c r="CF488" s="41"/>
      <c r="CG488" s="41"/>
      <c r="CH488" s="41"/>
      <c r="CI488" s="41"/>
      <c r="CJ488" s="41"/>
      <c r="CK488" s="41"/>
      <c r="CL488" s="41"/>
      <c r="CM488" s="41"/>
      <c r="CN488" s="41"/>
      <c r="CO488" s="41"/>
      <c r="CP488" s="41"/>
      <c r="CQ488" s="41"/>
      <c r="CR488" s="41"/>
      <c r="CS488" s="41"/>
      <c r="CT488" s="41"/>
      <c r="CU488" s="41"/>
      <c r="CV488" s="41"/>
      <c r="CW488" s="41"/>
    </row>
    <row r="489" spans="1:101" ht="16.5" x14ac:dyDescent="0.35">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c r="AJ489" s="41"/>
      <c r="AK489" s="41"/>
      <c r="AL489" s="41"/>
      <c r="AM489" s="41"/>
      <c r="AN489" s="41"/>
      <c r="AO489" s="41"/>
      <c r="AP489" s="41"/>
      <c r="AQ489" s="41"/>
      <c r="AR489" s="41"/>
      <c r="AS489" s="41"/>
      <c r="AT489" s="41"/>
      <c r="AU489" s="41"/>
      <c r="AV489" s="41"/>
      <c r="AW489" s="41"/>
      <c r="AX489" s="41"/>
      <c r="AY489" s="41"/>
      <c r="AZ489" s="41"/>
      <c r="BA489" s="41"/>
      <c r="BB489" s="41"/>
      <c r="BC489" s="41"/>
      <c r="BD489" s="41"/>
      <c r="BE489" s="41"/>
      <c r="BF489" s="41"/>
      <c r="BG489" s="41"/>
      <c r="BH489" s="41"/>
      <c r="BI489" s="41"/>
      <c r="BJ489" s="41"/>
      <c r="BK489" s="41"/>
      <c r="BL489" s="41"/>
      <c r="BM489" s="41"/>
      <c r="BN489" s="41"/>
      <c r="BO489" s="41"/>
      <c r="BP489" s="41"/>
      <c r="BQ489" s="41"/>
      <c r="BR489" s="41"/>
      <c r="BS489" s="41"/>
      <c r="BT489" s="41"/>
      <c r="BU489" s="41"/>
      <c r="BV489" s="41"/>
      <c r="BW489" s="41"/>
      <c r="BX489" s="41"/>
      <c r="BY489" s="41"/>
      <c r="BZ489" s="41"/>
      <c r="CA489" s="41"/>
      <c r="CB489" s="41"/>
      <c r="CC489" s="41"/>
      <c r="CD489" s="41"/>
      <c r="CE489" s="41"/>
      <c r="CF489" s="41"/>
      <c r="CG489" s="41"/>
      <c r="CH489" s="41"/>
      <c r="CI489" s="41"/>
      <c r="CJ489" s="41"/>
      <c r="CK489" s="41"/>
      <c r="CL489" s="41"/>
      <c r="CM489" s="41"/>
      <c r="CN489" s="41"/>
      <c r="CO489" s="41"/>
      <c r="CP489" s="41"/>
      <c r="CQ489" s="41"/>
      <c r="CR489" s="41"/>
      <c r="CS489" s="41"/>
      <c r="CT489" s="41"/>
      <c r="CU489" s="41"/>
      <c r="CV489" s="41"/>
      <c r="CW489" s="41"/>
    </row>
    <row r="490" spans="1:101" ht="16.5" x14ac:dyDescent="0.35">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c r="AP490" s="41"/>
      <c r="AQ490" s="41"/>
      <c r="AR490" s="41"/>
      <c r="AS490" s="41"/>
      <c r="AT490" s="41"/>
      <c r="AU490" s="41"/>
      <c r="AV490" s="41"/>
      <c r="AW490" s="41"/>
      <c r="AX490" s="41"/>
      <c r="AY490" s="41"/>
      <c r="AZ490" s="41"/>
      <c r="BA490" s="41"/>
      <c r="BB490" s="41"/>
      <c r="BC490" s="41"/>
      <c r="BD490" s="41"/>
      <c r="BE490" s="41"/>
      <c r="BF490" s="41"/>
      <c r="BG490" s="41"/>
      <c r="BH490" s="41"/>
      <c r="BI490" s="41"/>
      <c r="BJ490" s="41"/>
      <c r="BK490" s="41"/>
      <c r="BL490" s="41"/>
      <c r="BM490" s="41"/>
      <c r="BN490" s="41"/>
      <c r="BO490" s="41"/>
      <c r="BP490" s="41"/>
      <c r="BQ490" s="41"/>
      <c r="BR490" s="41"/>
      <c r="BS490" s="41"/>
      <c r="BT490" s="41"/>
      <c r="BU490" s="41"/>
      <c r="BV490" s="41"/>
      <c r="BW490" s="41"/>
      <c r="BX490" s="41"/>
      <c r="BY490" s="41"/>
      <c r="BZ490" s="41"/>
      <c r="CA490" s="41"/>
      <c r="CB490" s="41"/>
      <c r="CC490" s="41"/>
      <c r="CD490" s="41"/>
      <c r="CE490" s="41"/>
      <c r="CF490" s="41"/>
      <c r="CG490" s="41"/>
      <c r="CH490" s="41"/>
      <c r="CI490" s="41"/>
      <c r="CJ490" s="41"/>
      <c r="CK490" s="41"/>
      <c r="CL490" s="41"/>
      <c r="CM490" s="41"/>
      <c r="CN490" s="41"/>
      <c r="CO490" s="41"/>
      <c r="CP490" s="41"/>
      <c r="CQ490" s="41"/>
      <c r="CR490" s="41"/>
      <c r="CS490" s="41"/>
      <c r="CT490" s="41"/>
      <c r="CU490" s="41"/>
      <c r="CV490" s="41"/>
      <c r="CW490" s="41"/>
    </row>
    <row r="491" spans="1:101" ht="16.5" x14ac:dyDescent="0.35">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c r="AJ491" s="41"/>
      <c r="AK491" s="41"/>
      <c r="AL491" s="41"/>
      <c r="AM491" s="41"/>
      <c r="AN491" s="41"/>
      <c r="AO491" s="41"/>
      <c r="AP491" s="41"/>
      <c r="AQ491" s="41"/>
      <c r="AR491" s="41"/>
      <c r="AS491" s="41"/>
      <c r="AT491" s="41"/>
      <c r="AU491" s="41"/>
      <c r="AV491" s="41"/>
      <c r="AW491" s="41"/>
      <c r="AX491" s="41"/>
      <c r="AY491" s="41"/>
      <c r="AZ491" s="41"/>
      <c r="BA491" s="41"/>
      <c r="BB491" s="41"/>
      <c r="BC491" s="41"/>
      <c r="BD491" s="41"/>
      <c r="BE491" s="41"/>
      <c r="BF491" s="41"/>
      <c r="BG491" s="41"/>
      <c r="BH491" s="41"/>
      <c r="BI491" s="41"/>
      <c r="BJ491" s="41"/>
      <c r="BK491" s="41"/>
      <c r="BL491" s="41"/>
      <c r="BM491" s="41"/>
      <c r="BN491" s="41"/>
      <c r="BO491" s="41"/>
      <c r="BP491" s="41"/>
      <c r="BQ491" s="41"/>
      <c r="BR491" s="41"/>
      <c r="BS491" s="41"/>
      <c r="BT491" s="41"/>
      <c r="BU491" s="41"/>
      <c r="BV491" s="41"/>
      <c r="BW491" s="41"/>
      <c r="BX491" s="41"/>
      <c r="BY491" s="41"/>
      <c r="BZ491" s="41"/>
      <c r="CA491" s="41"/>
      <c r="CB491" s="41"/>
      <c r="CC491" s="41"/>
      <c r="CD491" s="41"/>
      <c r="CE491" s="41"/>
      <c r="CF491" s="41"/>
      <c r="CG491" s="41"/>
      <c r="CH491" s="41"/>
      <c r="CI491" s="41"/>
      <c r="CJ491" s="41"/>
      <c r="CK491" s="41"/>
      <c r="CL491" s="41"/>
      <c r="CM491" s="41"/>
      <c r="CN491" s="41"/>
      <c r="CO491" s="41"/>
      <c r="CP491" s="41"/>
      <c r="CQ491" s="41"/>
      <c r="CR491" s="41"/>
      <c r="CS491" s="41"/>
      <c r="CT491" s="41"/>
      <c r="CU491" s="41"/>
      <c r="CV491" s="41"/>
      <c r="CW491" s="41"/>
    </row>
    <row r="492" spans="1:101" ht="16.5" x14ac:dyDescent="0.35">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c r="AJ492" s="41"/>
      <c r="AK492" s="41"/>
      <c r="AL492" s="41"/>
      <c r="AM492" s="41"/>
      <c r="AN492" s="41"/>
      <c r="AO492" s="41"/>
      <c r="AP492" s="41"/>
      <c r="AQ492" s="41"/>
      <c r="AR492" s="41"/>
      <c r="AS492" s="41"/>
      <c r="AT492" s="41"/>
      <c r="AU492" s="41"/>
      <c r="AV492" s="41"/>
      <c r="AW492" s="41"/>
      <c r="AX492" s="41"/>
      <c r="AY492" s="41"/>
      <c r="AZ492" s="41"/>
      <c r="BA492" s="41"/>
      <c r="BB492" s="41"/>
      <c r="BC492" s="41"/>
      <c r="BD492" s="41"/>
      <c r="BE492" s="41"/>
      <c r="BF492" s="41"/>
      <c r="BG492" s="41"/>
      <c r="BH492" s="41"/>
      <c r="BI492" s="41"/>
      <c r="BJ492" s="41"/>
      <c r="BK492" s="41"/>
      <c r="BL492" s="41"/>
      <c r="BM492" s="41"/>
      <c r="BN492" s="41"/>
      <c r="BO492" s="41"/>
      <c r="BP492" s="41"/>
      <c r="BQ492" s="41"/>
      <c r="BR492" s="41"/>
      <c r="BS492" s="41"/>
      <c r="BT492" s="41"/>
      <c r="BU492" s="41"/>
      <c r="BV492" s="41"/>
      <c r="BW492" s="41"/>
      <c r="BX492" s="41"/>
      <c r="BY492" s="41"/>
      <c r="BZ492" s="41"/>
      <c r="CA492" s="41"/>
      <c r="CB492" s="41"/>
      <c r="CC492" s="41"/>
      <c r="CD492" s="41"/>
      <c r="CE492" s="41"/>
      <c r="CF492" s="41"/>
      <c r="CG492" s="41"/>
      <c r="CH492" s="41"/>
      <c r="CI492" s="41"/>
      <c r="CJ492" s="41"/>
      <c r="CK492" s="41"/>
      <c r="CL492" s="41"/>
      <c r="CM492" s="41"/>
      <c r="CN492" s="41"/>
      <c r="CO492" s="41"/>
      <c r="CP492" s="41"/>
      <c r="CQ492" s="41"/>
      <c r="CR492" s="41"/>
      <c r="CS492" s="41"/>
      <c r="CT492" s="41"/>
      <c r="CU492" s="41"/>
      <c r="CV492" s="41"/>
      <c r="CW492" s="41"/>
    </row>
    <row r="493" spans="1:101" ht="16.5" x14ac:dyDescent="0.35">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c r="AJ493" s="41"/>
      <c r="AK493" s="41"/>
      <c r="AL493" s="41"/>
      <c r="AM493" s="41"/>
      <c r="AN493" s="41"/>
      <c r="AO493" s="41"/>
      <c r="AP493" s="41"/>
      <c r="AQ493" s="41"/>
      <c r="AR493" s="41"/>
      <c r="AS493" s="41"/>
      <c r="AT493" s="41"/>
      <c r="AU493" s="41"/>
      <c r="AV493" s="41"/>
      <c r="AW493" s="41"/>
      <c r="AX493" s="41"/>
      <c r="AY493" s="41"/>
      <c r="AZ493" s="41"/>
      <c r="BA493" s="41"/>
      <c r="BB493" s="41"/>
      <c r="BC493" s="41"/>
      <c r="BD493" s="41"/>
      <c r="BE493" s="41"/>
      <c r="BF493" s="41"/>
      <c r="BG493" s="41"/>
      <c r="BH493" s="41"/>
      <c r="BI493" s="41"/>
      <c r="BJ493" s="41"/>
      <c r="BK493" s="41"/>
      <c r="BL493" s="41"/>
      <c r="BM493" s="41"/>
      <c r="BN493" s="41"/>
      <c r="BO493" s="41"/>
      <c r="BP493" s="41"/>
      <c r="BQ493" s="41"/>
      <c r="BR493" s="41"/>
      <c r="BS493" s="41"/>
      <c r="BT493" s="41"/>
      <c r="BU493" s="41"/>
      <c r="BV493" s="41"/>
      <c r="BW493" s="41"/>
      <c r="BX493" s="41"/>
      <c r="BY493" s="41"/>
      <c r="BZ493" s="41"/>
      <c r="CA493" s="41"/>
      <c r="CB493" s="41"/>
      <c r="CC493" s="41"/>
      <c r="CD493" s="41"/>
      <c r="CE493" s="41"/>
      <c r="CF493" s="41"/>
      <c r="CG493" s="41"/>
      <c r="CH493" s="41"/>
      <c r="CI493" s="41"/>
      <c r="CJ493" s="41"/>
      <c r="CK493" s="41"/>
      <c r="CL493" s="41"/>
      <c r="CM493" s="41"/>
      <c r="CN493" s="41"/>
      <c r="CO493" s="41"/>
      <c r="CP493" s="41"/>
      <c r="CQ493" s="41"/>
      <c r="CR493" s="41"/>
      <c r="CS493" s="41"/>
      <c r="CT493" s="41"/>
      <c r="CU493" s="41"/>
      <c r="CV493" s="41"/>
      <c r="CW493" s="41"/>
    </row>
    <row r="494" spans="1:101" ht="16.5" x14ac:dyDescent="0.35">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41"/>
      <c r="AW494" s="41"/>
      <c r="AX494" s="41"/>
      <c r="AY494" s="41"/>
      <c r="AZ494" s="41"/>
      <c r="BA494" s="41"/>
      <c r="BB494" s="41"/>
      <c r="BC494" s="41"/>
      <c r="BD494" s="41"/>
      <c r="BE494" s="41"/>
      <c r="BF494" s="41"/>
      <c r="BG494" s="41"/>
      <c r="BH494" s="41"/>
      <c r="BI494" s="41"/>
      <c r="BJ494" s="41"/>
      <c r="BK494" s="41"/>
      <c r="BL494" s="41"/>
      <c r="BM494" s="41"/>
      <c r="BN494" s="41"/>
      <c r="BO494" s="41"/>
      <c r="BP494" s="41"/>
      <c r="BQ494" s="41"/>
      <c r="BR494" s="41"/>
      <c r="BS494" s="41"/>
      <c r="BT494" s="41"/>
      <c r="BU494" s="41"/>
      <c r="BV494" s="41"/>
      <c r="BW494" s="41"/>
      <c r="BX494" s="41"/>
      <c r="BY494" s="41"/>
      <c r="BZ494" s="41"/>
      <c r="CA494" s="41"/>
      <c r="CB494" s="41"/>
      <c r="CC494" s="41"/>
      <c r="CD494" s="41"/>
      <c r="CE494" s="41"/>
      <c r="CF494" s="41"/>
      <c r="CG494" s="41"/>
      <c r="CH494" s="41"/>
      <c r="CI494" s="41"/>
      <c r="CJ494" s="41"/>
      <c r="CK494" s="41"/>
      <c r="CL494" s="41"/>
      <c r="CM494" s="41"/>
      <c r="CN494" s="41"/>
      <c r="CO494" s="41"/>
      <c r="CP494" s="41"/>
      <c r="CQ494" s="41"/>
      <c r="CR494" s="41"/>
      <c r="CS494" s="41"/>
      <c r="CT494" s="41"/>
      <c r="CU494" s="41"/>
      <c r="CV494" s="41"/>
      <c r="CW494" s="41"/>
    </row>
    <row r="495" spans="1:101" ht="16.5" x14ac:dyDescent="0.35">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c r="AJ495" s="41"/>
      <c r="AK495" s="41"/>
      <c r="AL495" s="41"/>
      <c r="AM495" s="41"/>
      <c r="AN495" s="41"/>
      <c r="AO495" s="41"/>
      <c r="AP495" s="41"/>
      <c r="AQ495" s="41"/>
      <c r="AR495" s="41"/>
      <c r="AS495" s="41"/>
      <c r="AT495" s="41"/>
      <c r="AU495" s="41"/>
      <c r="AV495" s="41"/>
      <c r="AW495" s="41"/>
      <c r="AX495" s="41"/>
      <c r="AY495" s="41"/>
      <c r="AZ495" s="41"/>
      <c r="BA495" s="41"/>
      <c r="BB495" s="41"/>
      <c r="BC495" s="41"/>
      <c r="BD495" s="41"/>
      <c r="BE495" s="41"/>
      <c r="BF495" s="41"/>
      <c r="BG495" s="41"/>
      <c r="BH495" s="41"/>
      <c r="BI495" s="41"/>
      <c r="BJ495" s="41"/>
      <c r="BK495" s="41"/>
      <c r="BL495" s="41"/>
      <c r="BM495" s="41"/>
      <c r="BN495" s="41"/>
      <c r="BO495" s="41"/>
      <c r="BP495" s="41"/>
      <c r="BQ495" s="41"/>
      <c r="BR495" s="41"/>
      <c r="BS495" s="41"/>
      <c r="BT495" s="41"/>
      <c r="BU495" s="41"/>
      <c r="BV495" s="41"/>
      <c r="BW495" s="41"/>
      <c r="BX495" s="41"/>
      <c r="BY495" s="41"/>
      <c r="BZ495" s="41"/>
      <c r="CA495" s="41"/>
      <c r="CB495" s="41"/>
      <c r="CC495" s="41"/>
      <c r="CD495" s="41"/>
      <c r="CE495" s="41"/>
      <c r="CF495" s="41"/>
      <c r="CG495" s="41"/>
      <c r="CH495" s="41"/>
      <c r="CI495" s="41"/>
      <c r="CJ495" s="41"/>
      <c r="CK495" s="41"/>
      <c r="CL495" s="41"/>
      <c r="CM495" s="41"/>
      <c r="CN495" s="41"/>
      <c r="CO495" s="41"/>
      <c r="CP495" s="41"/>
      <c r="CQ495" s="41"/>
      <c r="CR495" s="41"/>
      <c r="CS495" s="41"/>
      <c r="CT495" s="41"/>
      <c r="CU495" s="41"/>
      <c r="CV495" s="41"/>
      <c r="CW495" s="41"/>
    </row>
    <row r="496" spans="1:101" ht="16.5" x14ac:dyDescent="0.35">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41"/>
      <c r="AW496" s="41"/>
      <c r="AX496" s="41"/>
      <c r="AY496" s="41"/>
      <c r="AZ496" s="41"/>
      <c r="BA496" s="41"/>
      <c r="BB496" s="41"/>
      <c r="BC496" s="41"/>
      <c r="BD496" s="41"/>
      <c r="BE496" s="41"/>
      <c r="BF496" s="41"/>
      <c r="BG496" s="41"/>
      <c r="BH496" s="41"/>
      <c r="BI496" s="41"/>
      <c r="BJ496" s="41"/>
      <c r="BK496" s="41"/>
      <c r="BL496" s="41"/>
      <c r="BM496" s="41"/>
      <c r="BN496" s="41"/>
      <c r="BO496" s="41"/>
      <c r="BP496" s="41"/>
      <c r="BQ496" s="41"/>
      <c r="BR496" s="41"/>
      <c r="BS496" s="41"/>
      <c r="BT496" s="41"/>
      <c r="BU496" s="41"/>
      <c r="BV496" s="41"/>
      <c r="BW496" s="41"/>
      <c r="BX496" s="41"/>
      <c r="BY496" s="41"/>
      <c r="BZ496" s="41"/>
      <c r="CA496" s="41"/>
      <c r="CB496" s="41"/>
      <c r="CC496" s="41"/>
      <c r="CD496" s="41"/>
      <c r="CE496" s="41"/>
      <c r="CF496" s="41"/>
      <c r="CG496" s="41"/>
      <c r="CH496" s="41"/>
      <c r="CI496" s="41"/>
      <c r="CJ496" s="41"/>
      <c r="CK496" s="41"/>
      <c r="CL496" s="41"/>
      <c r="CM496" s="41"/>
      <c r="CN496" s="41"/>
      <c r="CO496" s="41"/>
      <c r="CP496" s="41"/>
      <c r="CQ496" s="41"/>
      <c r="CR496" s="41"/>
      <c r="CS496" s="41"/>
      <c r="CT496" s="41"/>
      <c r="CU496" s="41"/>
      <c r="CV496" s="41"/>
      <c r="CW496" s="41"/>
    </row>
    <row r="497" spans="1:101" ht="16.5" x14ac:dyDescent="0.35">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c r="AJ497" s="41"/>
      <c r="AK497" s="41"/>
      <c r="AL497" s="41"/>
      <c r="AM497" s="41"/>
      <c r="AN497" s="41"/>
      <c r="AO497" s="41"/>
      <c r="AP497" s="41"/>
      <c r="AQ497" s="41"/>
      <c r="AR497" s="41"/>
      <c r="AS497" s="41"/>
      <c r="AT497" s="41"/>
      <c r="AU497" s="41"/>
      <c r="AV497" s="41"/>
      <c r="AW497" s="41"/>
      <c r="AX497" s="41"/>
      <c r="AY497" s="41"/>
      <c r="AZ497" s="41"/>
      <c r="BA497" s="41"/>
      <c r="BB497" s="41"/>
      <c r="BC497" s="41"/>
      <c r="BD497" s="41"/>
      <c r="BE497" s="41"/>
      <c r="BF497" s="41"/>
      <c r="BG497" s="41"/>
      <c r="BH497" s="41"/>
      <c r="BI497" s="41"/>
      <c r="BJ497" s="41"/>
      <c r="BK497" s="41"/>
      <c r="BL497" s="41"/>
      <c r="BM497" s="41"/>
      <c r="BN497" s="41"/>
      <c r="BO497" s="41"/>
      <c r="BP497" s="41"/>
      <c r="BQ497" s="41"/>
      <c r="BR497" s="41"/>
      <c r="BS497" s="41"/>
      <c r="BT497" s="41"/>
      <c r="BU497" s="41"/>
      <c r="BV497" s="41"/>
      <c r="BW497" s="41"/>
      <c r="BX497" s="41"/>
      <c r="BY497" s="41"/>
      <c r="BZ497" s="41"/>
      <c r="CA497" s="41"/>
      <c r="CB497" s="41"/>
      <c r="CC497" s="41"/>
      <c r="CD497" s="41"/>
      <c r="CE497" s="41"/>
      <c r="CF497" s="41"/>
      <c r="CG497" s="41"/>
      <c r="CH497" s="41"/>
      <c r="CI497" s="41"/>
      <c r="CJ497" s="41"/>
      <c r="CK497" s="41"/>
      <c r="CL497" s="41"/>
      <c r="CM497" s="41"/>
      <c r="CN497" s="41"/>
      <c r="CO497" s="41"/>
      <c r="CP497" s="41"/>
      <c r="CQ497" s="41"/>
      <c r="CR497" s="41"/>
      <c r="CS497" s="41"/>
      <c r="CT497" s="41"/>
      <c r="CU497" s="41"/>
      <c r="CV497" s="41"/>
      <c r="CW497" s="41"/>
    </row>
    <row r="498" spans="1:101" ht="16.5" x14ac:dyDescent="0.35">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c r="AJ498" s="41"/>
      <c r="AK498" s="41"/>
      <c r="AL498" s="41"/>
      <c r="AM498" s="41"/>
      <c r="AN498" s="41"/>
      <c r="AO498" s="41"/>
      <c r="AP498" s="41"/>
      <c r="AQ498" s="41"/>
      <c r="AR498" s="41"/>
      <c r="AS498" s="41"/>
      <c r="AT498" s="41"/>
      <c r="AU498" s="41"/>
      <c r="AV498" s="41"/>
      <c r="AW498" s="41"/>
      <c r="AX498" s="41"/>
      <c r="AY498" s="41"/>
      <c r="AZ498" s="41"/>
      <c r="BA498" s="41"/>
      <c r="BB498" s="41"/>
      <c r="BC498" s="41"/>
      <c r="BD498" s="41"/>
      <c r="BE498" s="41"/>
      <c r="BF498" s="41"/>
      <c r="BG498" s="41"/>
      <c r="BH498" s="41"/>
      <c r="BI498" s="41"/>
      <c r="BJ498" s="41"/>
      <c r="BK498" s="41"/>
      <c r="BL498" s="41"/>
      <c r="BM498" s="41"/>
      <c r="BN498" s="41"/>
      <c r="BO498" s="41"/>
      <c r="BP498" s="41"/>
      <c r="BQ498" s="41"/>
      <c r="BR498" s="41"/>
      <c r="BS498" s="41"/>
      <c r="BT498" s="41"/>
      <c r="BU498" s="41"/>
      <c r="BV498" s="41"/>
      <c r="BW498" s="41"/>
      <c r="BX498" s="41"/>
      <c r="BY498" s="41"/>
      <c r="BZ498" s="41"/>
      <c r="CA498" s="41"/>
      <c r="CB498" s="41"/>
      <c r="CC498" s="41"/>
      <c r="CD498" s="41"/>
      <c r="CE498" s="41"/>
      <c r="CF498" s="41"/>
      <c r="CG498" s="41"/>
      <c r="CH498" s="41"/>
      <c r="CI498" s="41"/>
      <c r="CJ498" s="41"/>
      <c r="CK498" s="41"/>
      <c r="CL498" s="41"/>
      <c r="CM498" s="41"/>
      <c r="CN498" s="41"/>
      <c r="CO498" s="41"/>
      <c r="CP498" s="41"/>
      <c r="CQ498" s="41"/>
      <c r="CR498" s="41"/>
      <c r="CS498" s="41"/>
      <c r="CT498" s="41"/>
      <c r="CU498" s="41"/>
      <c r="CV498" s="41"/>
      <c r="CW498" s="41"/>
    </row>
    <row r="499" spans="1:101" ht="16.5" x14ac:dyDescent="0.35">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c r="AJ499" s="41"/>
      <c r="AK499" s="41"/>
      <c r="AL499" s="41"/>
      <c r="AM499" s="41"/>
      <c r="AN499" s="41"/>
      <c r="AO499" s="41"/>
      <c r="AP499" s="41"/>
      <c r="AQ499" s="41"/>
      <c r="AR499" s="41"/>
      <c r="AS499" s="41"/>
      <c r="AT499" s="41"/>
      <c r="AU499" s="41"/>
      <c r="AV499" s="41"/>
      <c r="AW499" s="41"/>
      <c r="AX499" s="41"/>
      <c r="AY499" s="41"/>
      <c r="AZ499" s="41"/>
      <c r="BA499" s="41"/>
      <c r="BB499" s="41"/>
      <c r="BC499" s="41"/>
      <c r="BD499" s="41"/>
      <c r="BE499" s="41"/>
      <c r="BF499" s="41"/>
      <c r="BG499" s="41"/>
      <c r="BH499" s="41"/>
      <c r="BI499" s="41"/>
      <c r="BJ499" s="41"/>
      <c r="BK499" s="41"/>
      <c r="BL499" s="41"/>
      <c r="BM499" s="41"/>
      <c r="BN499" s="41"/>
      <c r="BO499" s="41"/>
      <c r="BP499" s="41"/>
      <c r="BQ499" s="41"/>
      <c r="BR499" s="41"/>
      <c r="BS499" s="41"/>
      <c r="BT499" s="41"/>
      <c r="BU499" s="41"/>
      <c r="BV499" s="41"/>
      <c r="BW499" s="41"/>
      <c r="BX499" s="41"/>
      <c r="BY499" s="41"/>
      <c r="BZ499" s="41"/>
      <c r="CA499" s="41"/>
      <c r="CB499" s="41"/>
      <c r="CC499" s="41"/>
      <c r="CD499" s="41"/>
      <c r="CE499" s="41"/>
      <c r="CF499" s="41"/>
      <c r="CG499" s="41"/>
      <c r="CH499" s="41"/>
      <c r="CI499" s="41"/>
      <c r="CJ499" s="41"/>
      <c r="CK499" s="41"/>
      <c r="CL499" s="41"/>
      <c r="CM499" s="41"/>
      <c r="CN499" s="41"/>
      <c r="CO499" s="41"/>
      <c r="CP499" s="41"/>
      <c r="CQ499" s="41"/>
      <c r="CR499" s="41"/>
      <c r="CS499" s="41"/>
      <c r="CT499" s="41"/>
      <c r="CU499" s="41"/>
      <c r="CV499" s="41"/>
      <c r="CW499" s="41"/>
    </row>
    <row r="500" spans="1:101" ht="16.5" x14ac:dyDescent="0.35">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c r="AJ500" s="41"/>
      <c r="AK500" s="41"/>
      <c r="AL500" s="41"/>
      <c r="AM500" s="41"/>
      <c r="AN500" s="41"/>
      <c r="AO500" s="41"/>
      <c r="AP500" s="41"/>
      <c r="AQ500" s="41"/>
      <c r="AR500" s="41"/>
      <c r="AS500" s="41"/>
      <c r="AT500" s="41"/>
      <c r="AU500" s="41"/>
      <c r="AV500" s="41"/>
      <c r="AW500" s="41"/>
      <c r="AX500" s="41"/>
      <c r="AY500" s="41"/>
      <c r="AZ500" s="41"/>
      <c r="BA500" s="41"/>
      <c r="BB500" s="41"/>
      <c r="BC500" s="41"/>
      <c r="BD500" s="41"/>
      <c r="BE500" s="41"/>
      <c r="BF500" s="41"/>
      <c r="BG500" s="41"/>
      <c r="BH500" s="41"/>
      <c r="BI500" s="41"/>
      <c r="BJ500" s="41"/>
      <c r="BK500" s="41"/>
      <c r="BL500" s="41"/>
      <c r="BM500" s="41"/>
      <c r="BN500" s="41"/>
      <c r="BO500" s="41"/>
      <c r="BP500" s="41"/>
      <c r="BQ500" s="41"/>
      <c r="BR500" s="41"/>
      <c r="BS500" s="41"/>
      <c r="BT500" s="41"/>
      <c r="BU500" s="41"/>
      <c r="BV500" s="41"/>
      <c r="BW500" s="41"/>
      <c r="BX500" s="41"/>
      <c r="BY500" s="41"/>
      <c r="BZ500" s="41"/>
      <c r="CA500" s="41"/>
      <c r="CB500" s="41"/>
      <c r="CC500" s="41"/>
      <c r="CD500" s="41"/>
      <c r="CE500" s="41"/>
      <c r="CF500" s="41"/>
      <c r="CG500" s="41"/>
      <c r="CH500" s="41"/>
      <c r="CI500" s="41"/>
      <c r="CJ500" s="41"/>
      <c r="CK500" s="41"/>
      <c r="CL500" s="41"/>
      <c r="CM500" s="41"/>
      <c r="CN500" s="41"/>
      <c r="CO500" s="41"/>
      <c r="CP500" s="41"/>
      <c r="CQ500" s="41"/>
      <c r="CR500" s="41"/>
      <c r="CS500" s="41"/>
      <c r="CT500" s="41"/>
      <c r="CU500" s="41"/>
      <c r="CV500" s="41"/>
      <c r="CW500" s="41"/>
    </row>
    <row r="501" spans="1:101" ht="16.5" x14ac:dyDescent="0.35">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c r="AA501" s="41"/>
      <c r="AB501" s="41"/>
      <c r="AC501" s="41"/>
      <c r="AD501" s="41"/>
      <c r="AE501" s="41"/>
      <c r="AF501" s="41"/>
      <c r="AG501" s="41"/>
      <c r="AH501" s="41"/>
      <c r="AI501" s="41"/>
      <c r="AJ501" s="41"/>
      <c r="AK501" s="41"/>
      <c r="AL501" s="41"/>
      <c r="AM501" s="41"/>
      <c r="AN501" s="41"/>
      <c r="AO501" s="41"/>
      <c r="AP501" s="41"/>
      <c r="AQ501" s="41"/>
      <c r="AR501" s="41"/>
      <c r="AS501" s="41"/>
      <c r="AT501" s="41"/>
      <c r="AU501" s="41"/>
      <c r="AV501" s="41"/>
      <c r="AW501" s="41"/>
      <c r="AX501" s="41"/>
      <c r="AY501" s="41"/>
      <c r="AZ501" s="41"/>
      <c r="BA501" s="41"/>
      <c r="BB501" s="41"/>
      <c r="BC501" s="41"/>
      <c r="BD501" s="41"/>
      <c r="BE501" s="41"/>
      <c r="BF501" s="41"/>
      <c r="BG501" s="41"/>
      <c r="BH501" s="41"/>
      <c r="BI501" s="41"/>
      <c r="BJ501" s="41"/>
      <c r="BK501" s="41"/>
      <c r="BL501" s="41"/>
      <c r="BM501" s="41"/>
      <c r="BN501" s="41"/>
      <c r="BO501" s="41"/>
      <c r="BP501" s="41"/>
      <c r="BQ501" s="41"/>
      <c r="BR501" s="41"/>
      <c r="BS501" s="41"/>
      <c r="BT501" s="41"/>
      <c r="BU501" s="41"/>
      <c r="BV501" s="41"/>
      <c r="BW501" s="41"/>
      <c r="BX501" s="41"/>
      <c r="BY501" s="41"/>
      <c r="BZ501" s="41"/>
      <c r="CA501" s="41"/>
      <c r="CB501" s="41"/>
      <c r="CC501" s="41"/>
      <c r="CD501" s="41"/>
      <c r="CE501" s="41"/>
      <c r="CF501" s="41"/>
      <c r="CG501" s="41"/>
      <c r="CH501" s="41"/>
      <c r="CI501" s="41"/>
      <c r="CJ501" s="41"/>
      <c r="CK501" s="41"/>
      <c r="CL501" s="41"/>
      <c r="CM501" s="41"/>
      <c r="CN501" s="41"/>
      <c r="CO501" s="41"/>
      <c r="CP501" s="41"/>
      <c r="CQ501" s="41"/>
      <c r="CR501" s="41"/>
      <c r="CS501" s="41"/>
      <c r="CT501" s="41"/>
      <c r="CU501" s="41"/>
      <c r="CV501" s="41"/>
      <c r="CW501" s="41"/>
    </row>
    <row r="502" spans="1:101" ht="16.5" x14ac:dyDescent="0.35">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c r="AA502" s="41"/>
      <c r="AB502" s="41"/>
      <c r="AC502" s="41"/>
      <c r="AD502" s="41"/>
      <c r="AE502" s="41"/>
      <c r="AF502" s="41"/>
      <c r="AG502" s="41"/>
      <c r="AH502" s="41"/>
      <c r="AI502" s="41"/>
      <c r="AJ502" s="41"/>
      <c r="AK502" s="41"/>
      <c r="AL502" s="41"/>
      <c r="AM502" s="41"/>
      <c r="AN502" s="41"/>
      <c r="AO502" s="41"/>
      <c r="AP502" s="41"/>
      <c r="AQ502" s="41"/>
      <c r="AR502" s="41"/>
      <c r="AS502" s="41"/>
      <c r="AT502" s="41"/>
      <c r="AU502" s="41"/>
      <c r="AV502" s="41"/>
      <c r="AW502" s="41"/>
      <c r="AX502" s="41"/>
      <c r="AY502" s="41"/>
      <c r="AZ502" s="41"/>
      <c r="BA502" s="41"/>
      <c r="BB502" s="41"/>
      <c r="BC502" s="41"/>
      <c r="BD502" s="41"/>
      <c r="BE502" s="41"/>
      <c r="BF502" s="41"/>
      <c r="BG502" s="41"/>
      <c r="BH502" s="41"/>
      <c r="BI502" s="41"/>
      <c r="BJ502" s="41"/>
      <c r="BK502" s="41"/>
      <c r="BL502" s="41"/>
      <c r="BM502" s="41"/>
      <c r="BN502" s="41"/>
      <c r="BO502" s="41"/>
      <c r="BP502" s="41"/>
      <c r="BQ502" s="41"/>
      <c r="BR502" s="41"/>
      <c r="BS502" s="41"/>
      <c r="BT502" s="41"/>
      <c r="BU502" s="41"/>
      <c r="BV502" s="41"/>
      <c r="BW502" s="41"/>
      <c r="BX502" s="41"/>
      <c r="BY502" s="41"/>
      <c r="BZ502" s="41"/>
      <c r="CA502" s="41"/>
      <c r="CB502" s="41"/>
      <c r="CC502" s="41"/>
      <c r="CD502" s="41"/>
      <c r="CE502" s="41"/>
      <c r="CF502" s="41"/>
      <c r="CG502" s="41"/>
      <c r="CH502" s="41"/>
      <c r="CI502" s="41"/>
      <c r="CJ502" s="41"/>
      <c r="CK502" s="41"/>
      <c r="CL502" s="41"/>
      <c r="CM502" s="41"/>
      <c r="CN502" s="41"/>
      <c r="CO502" s="41"/>
      <c r="CP502" s="41"/>
      <c r="CQ502" s="41"/>
      <c r="CR502" s="41"/>
      <c r="CS502" s="41"/>
      <c r="CT502" s="41"/>
      <c r="CU502" s="41"/>
      <c r="CV502" s="41"/>
      <c r="CW502" s="41"/>
    </row>
  </sheetData>
  <mergeCells count="12">
    <mergeCell ref="D28:E28"/>
    <mergeCell ref="D29:E29"/>
    <mergeCell ref="B17:F17"/>
    <mergeCell ref="D19:E19"/>
    <mergeCell ref="D20:E20"/>
    <mergeCell ref="D21:E21"/>
    <mergeCell ref="D22:E22"/>
    <mergeCell ref="D23:E23"/>
    <mergeCell ref="D24:E24"/>
    <mergeCell ref="D25:E25"/>
    <mergeCell ref="D26:E26"/>
    <mergeCell ref="D27:E27"/>
  </mergeCells>
  <conditionalFormatting sqref="E6:E13">
    <cfRule type="expression" dxfId="3" priority="4">
      <formula>E6="Select from drop-down"</formula>
    </cfRule>
  </conditionalFormatting>
  <conditionalFormatting sqref="D6:D13">
    <cfRule type="expression" dxfId="2" priority="3">
      <formula>E6="Select from drop-down"</formula>
    </cfRule>
  </conditionalFormatting>
  <conditionalFormatting sqref="D9">
    <cfRule type="expression" dxfId="1" priority="2">
      <formula>E9="Fill in here"</formula>
    </cfRule>
  </conditionalFormatting>
  <conditionalFormatting sqref="E9">
    <cfRule type="expression" dxfId="0" priority="1">
      <formula>E9="Fill in here"</formula>
    </cfRule>
  </conditionalFormatting>
  <dataValidations count="5">
    <dataValidation type="list" showInputMessage="1" showErrorMessage="1" promptTitle="Client List Selection" prompt="Please select from the list" sqref="E6" xr:uid="{D43F7041-B9C6-4F2F-BE74-BF8DFFC069F6}">
      <formula1>"new-to-bank,existing"</formula1>
    </dataValidation>
    <dataValidation type="list" showInputMessage="1" showErrorMessage="1" promptTitle="Payment List Selection" prompt="Please select from the list" sqref="E10" xr:uid="{1C166BDE-BDA9-4DA9-A4ED-8AFEE18A7888}">
      <formula1>"punctual,not punctual"</formula1>
    </dataValidation>
    <dataValidation type="list" showInputMessage="1" showErrorMessage="1" promptTitle="Behavior List Selection" prompt="Please select from the list" sqref="E11" xr:uid="{C3E0D525-91D4-4223-A795-6C8E79970406}">
      <formula1>"reasonable,not reasonable"</formula1>
    </dataValidation>
    <dataValidation type="list" showInputMessage="1" showErrorMessage="1" promptTitle="Liquidity Level List Selection" prompt="Please select from the list" sqref="E12" xr:uid="{7DCBB487-ED98-4168-9578-011207F743BC}">
      <formula1>"low,medium,high"</formula1>
    </dataValidation>
    <dataValidation type="list" showInputMessage="1" showErrorMessage="1" promptTitle="Behavior List Selection" prompt="Please select from the list" sqref="E13" xr:uid="{D3700CEE-4898-4933-BE50-B44CFFD6B68E}">
      <formula1>"found,not found"</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2231"/>
  <sheetViews>
    <sheetView workbookViewId="0">
      <selection activeCell="C9" sqref="C9"/>
    </sheetView>
  </sheetViews>
  <sheetFormatPr defaultColWidth="9.19921875" defaultRowHeight="13.15" x14ac:dyDescent="0.4"/>
  <cols>
    <col min="1" max="1" width="10" style="18" customWidth="1"/>
    <col min="2" max="2" width="8.53125" style="12" customWidth="1"/>
    <col min="3" max="3" width="60.73046875" style="4" customWidth="1"/>
    <col min="4" max="4" width="27.265625" style="1" customWidth="1"/>
    <col min="5" max="16384" width="9.19921875" style="1"/>
  </cols>
  <sheetData>
    <row r="1" spans="1:6" ht="31.5" customHeight="1" x14ac:dyDescent="0.35">
      <c r="A1" s="59" t="s">
        <v>140</v>
      </c>
      <c r="B1" s="60"/>
      <c r="C1" s="61"/>
    </row>
    <row r="2" spans="1:6" ht="79.5" customHeight="1" x14ac:dyDescent="0.35">
      <c r="A2" s="62" t="s">
        <v>1979</v>
      </c>
      <c r="B2" s="63"/>
      <c r="C2" s="64"/>
    </row>
    <row r="3" spans="1:6" ht="45" customHeight="1" thickBot="1" x14ac:dyDescent="0.4">
      <c r="A3" s="16" t="s">
        <v>142</v>
      </c>
      <c r="B3" s="15" t="s">
        <v>143</v>
      </c>
      <c r="C3" s="17" t="s">
        <v>144</v>
      </c>
    </row>
    <row r="4" spans="1:6" ht="20.25" x14ac:dyDescent="0.35">
      <c r="A4" s="9"/>
      <c r="B4" s="22">
        <v>11</v>
      </c>
      <c r="C4" s="9" t="s">
        <v>1050</v>
      </c>
    </row>
    <row r="5" spans="1:6" ht="17.649999999999999" x14ac:dyDescent="0.5">
      <c r="A5" s="19"/>
      <c r="B5" s="5">
        <v>111</v>
      </c>
      <c r="C5" s="5" t="s">
        <v>1431</v>
      </c>
      <c r="E5" s="3"/>
      <c r="F5" s="4"/>
    </row>
    <row r="6" spans="1:6" ht="17.649999999999999" x14ac:dyDescent="0.5">
      <c r="A6" s="19"/>
      <c r="B6" s="6">
        <v>1111</v>
      </c>
      <c r="C6" s="6" t="s">
        <v>1432</v>
      </c>
    </row>
    <row r="7" spans="1:6" ht="17.649999999999999" x14ac:dyDescent="0.5">
      <c r="A7" s="19"/>
      <c r="B7" s="2">
        <v>11111</v>
      </c>
      <c r="C7" s="23" t="s">
        <v>1433</v>
      </c>
    </row>
    <row r="8" spans="1:6" ht="17.649999999999999" x14ac:dyDescent="0.5">
      <c r="A8" s="19"/>
      <c r="B8" s="2">
        <v>111110</v>
      </c>
      <c r="C8" s="23" t="s">
        <v>1756</v>
      </c>
    </row>
    <row r="9" spans="1:6" ht="17.649999999999999" x14ac:dyDescent="0.5">
      <c r="A9" s="19"/>
      <c r="B9" s="2">
        <v>11112</v>
      </c>
      <c r="C9" s="23" t="s">
        <v>949</v>
      </c>
    </row>
    <row r="10" spans="1:6" ht="17.649999999999999" x14ac:dyDescent="0.5">
      <c r="A10" s="19"/>
      <c r="B10" s="2">
        <v>111120</v>
      </c>
      <c r="C10" s="23" t="s">
        <v>0</v>
      </c>
    </row>
    <row r="11" spans="1:6" ht="17.649999999999999" x14ac:dyDescent="0.5">
      <c r="A11" s="19"/>
      <c r="B11" s="2">
        <v>11113</v>
      </c>
      <c r="C11" s="23" t="s">
        <v>950</v>
      </c>
    </row>
    <row r="12" spans="1:6" ht="17.649999999999999" x14ac:dyDescent="0.5">
      <c r="A12" s="19"/>
      <c r="B12" s="2">
        <v>111130</v>
      </c>
      <c r="C12" s="23" t="s">
        <v>1</v>
      </c>
    </row>
    <row r="13" spans="1:6" ht="17.649999999999999" x14ac:dyDescent="0.5">
      <c r="A13" s="19"/>
      <c r="B13" s="2">
        <v>11114</v>
      </c>
      <c r="C13" s="23" t="s">
        <v>951</v>
      </c>
    </row>
    <row r="14" spans="1:6" ht="17.649999999999999" x14ac:dyDescent="0.5">
      <c r="A14" s="19"/>
      <c r="B14" s="2">
        <v>111140</v>
      </c>
      <c r="C14" s="23" t="s">
        <v>1757</v>
      </c>
    </row>
    <row r="15" spans="1:6" ht="17.649999999999999" x14ac:dyDescent="0.5">
      <c r="A15" s="19"/>
      <c r="B15" s="2">
        <v>11115</v>
      </c>
      <c r="C15" s="23" t="s">
        <v>952</v>
      </c>
    </row>
    <row r="16" spans="1:6" ht="17.649999999999999" x14ac:dyDescent="0.5">
      <c r="A16" s="19"/>
      <c r="B16" s="2">
        <v>111150</v>
      </c>
      <c r="C16" s="23" t="s">
        <v>2</v>
      </c>
    </row>
    <row r="17" spans="1:3" ht="17.649999999999999" x14ac:dyDescent="0.5">
      <c r="A17" s="19"/>
      <c r="B17" s="2">
        <v>11116</v>
      </c>
      <c r="C17" s="23" t="s">
        <v>953</v>
      </c>
    </row>
    <row r="18" spans="1:3" ht="17.649999999999999" x14ac:dyDescent="0.5">
      <c r="A18" s="19"/>
      <c r="B18" s="2">
        <v>111160</v>
      </c>
      <c r="C18" s="23" t="s">
        <v>1758</v>
      </c>
    </row>
    <row r="19" spans="1:3" ht="17.649999999999999" x14ac:dyDescent="0.5">
      <c r="A19" s="19"/>
      <c r="B19" s="2">
        <v>11119</v>
      </c>
      <c r="C19" s="23" t="s">
        <v>954</v>
      </c>
    </row>
    <row r="20" spans="1:3" ht="17.649999999999999" x14ac:dyDescent="0.5">
      <c r="A20" s="19"/>
      <c r="B20" s="2">
        <v>111191</v>
      </c>
      <c r="C20" s="23" t="s">
        <v>148</v>
      </c>
    </row>
    <row r="21" spans="1:3" ht="17.649999999999999" x14ac:dyDescent="0.5">
      <c r="A21" s="19"/>
      <c r="B21" s="2">
        <v>111199</v>
      </c>
      <c r="C21" s="23" t="s">
        <v>149</v>
      </c>
    </row>
    <row r="22" spans="1:3" ht="17.649999999999999" x14ac:dyDescent="0.5">
      <c r="A22" s="19"/>
      <c r="B22" s="6">
        <v>1112</v>
      </c>
      <c r="C22" s="6" t="s">
        <v>1434</v>
      </c>
    </row>
    <row r="23" spans="1:3" ht="17.649999999999999" x14ac:dyDescent="0.5">
      <c r="A23" s="19"/>
      <c r="B23" s="2">
        <v>11121</v>
      </c>
      <c r="C23" s="23" t="s">
        <v>955</v>
      </c>
    </row>
    <row r="24" spans="1:3" ht="17.649999999999999" x14ac:dyDescent="0.5">
      <c r="A24" s="19"/>
      <c r="B24" s="2">
        <v>111211</v>
      </c>
      <c r="C24" s="23" t="s">
        <v>150</v>
      </c>
    </row>
    <row r="25" spans="1:3" ht="17.649999999999999" x14ac:dyDescent="0.5">
      <c r="A25" s="19"/>
      <c r="B25" s="2">
        <v>111219</v>
      </c>
      <c r="C25" s="23" t="s">
        <v>151</v>
      </c>
    </row>
    <row r="26" spans="1:3" ht="17.649999999999999" x14ac:dyDescent="0.5">
      <c r="A26" s="19"/>
      <c r="B26" s="6">
        <v>1113</v>
      </c>
      <c r="C26" s="6" t="s">
        <v>1435</v>
      </c>
    </row>
    <row r="27" spans="1:3" ht="17.649999999999999" x14ac:dyDescent="0.5">
      <c r="A27" s="19"/>
      <c r="B27" s="2">
        <v>11131</v>
      </c>
      <c r="C27" s="23" t="s">
        <v>956</v>
      </c>
    </row>
    <row r="28" spans="1:3" ht="17.649999999999999" x14ac:dyDescent="0.5">
      <c r="A28" s="19"/>
      <c r="B28" s="2">
        <v>111310</v>
      </c>
      <c r="C28" s="23" t="s">
        <v>1759</v>
      </c>
    </row>
    <row r="29" spans="1:3" ht="17.649999999999999" x14ac:dyDescent="0.5">
      <c r="A29" s="19"/>
      <c r="B29" s="2">
        <v>11132</v>
      </c>
      <c r="C29" s="23" t="s">
        <v>957</v>
      </c>
    </row>
    <row r="30" spans="1:3" ht="17.649999999999999" x14ac:dyDescent="0.5">
      <c r="A30" s="19"/>
      <c r="B30" s="2">
        <v>111320</v>
      </c>
      <c r="C30" s="23" t="s">
        <v>3</v>
      </c>
    </row>
    <row r="31" spans="1:3" ht="17.649999999999999" x14ac:dyDescent="0.5">
      <c r="A31" s="19"/>
      <c r="B31" s="2">
        <v>11133</v>
      </c>
      <c r="C31" s="23" t="s">
        <v>958</v>
      </c>
    </row>
    <row r="32" spans="1:3" ht="17.649999999999999" x14ac:dyDescent="0.5">
      <c r="A32" s="19"/>
      <c r="B32" s="2">
        <v>111331</v>
      </c>
      <c r="C32" s="23" t="s">
        <v>152</v>
      </c>
    </row>
    <row r="33" spans="1:3" ht="17.649999999999999" x14ac:dyDescent="0.5">
      <c r="A33" s="19"/>
      <c r="B33" s="2">
        <v>111332</v>
      </c>
      <c r="C33" s="23" t="s">
        <v>153</v>
      </c>
    </row>
    <row r="34" spans="1:3" ht="17.649999999999999" x14ac:dyDescent="0.5">
      <c r="A34" s="19"/>
      <c r="B34" s="2">
        <v>111333</v>
      </c>
      <c r="C34" s="23" t="s">
        <v>154</v>
      </c>
    </row>
    <row r="35" spans="1:3" ht="17.649999999999999" x14ac:dyDescent="0.5">
      <c r="A35" s="19"/>
      <c r="B35" s="2">
        <v>111334</v>
      </c>
      <c r="C35" s="23" t="s">
        <v>155</v>
      </c>
    </row>
    <row r="36" spans="1:3" ht="17.649999999999999" x14ac:dyDescent="0.5">
      <c r="A36" s="19"/>
      <c r="B36" s="2">
        <v>111335</v>
      </c>
      <c r="C36" s="23" t="s">
        <v>156</v>
      </c>
    </row>
    <row r="37" spans="1:3" ht="17.649999999999999" x14ac:dyDescent="0.5">
      <c r="A37" s="19"/>
      <c r="B37" s="2">
        <v>111336</v>
      </c>
      <c r="C37" s="23" t="s">
        <v>157</v>
      </c>
    </row>
    <row r="38" spans="1:3" ht="17.649999999999999" x14ac:dyDescent="0.5">
      <c r="A38" s="19"/>
      <c r="B38" s="2">
        <v>111339</v>
      </c>
      <c r="C38" s="23" t="s">
        <v>158</v>
      </c>
    </row>
    <row r="39" spans="1:3" ht="17.649999999999999" x14ac:dyDescent="0.5">
      <c r="A39" s="19"/>
      <c r="B39" s="6">
        <v>1114</v>
      </c>
      <c r="C39" s="6" t="s">
        <v>1436</v>
      </c>
    </row>
    <row r="40" spans="1:3" ht="17.649999999999999" x14ac:dyDescent="0.5">
      <c r="A40" s="19"/>
      <c r="B40" s="2">
        <v>11141</v>
      </c>
      <c r="C40" s="23" t="s">
        <v>959</v>
      </c>
    </row>
    <row r="41" spans="1:3" ht="17.649999999999999" x14ac:dyDescent="0.5">
      <c r="A41" s="19"/>
      <c r="B41" s="2">
        <v>111411</v>
      </c>
      <c r="C41" s="23" t="s">
        <v>159</v>
      </c>
    </row>
    <row r="42" spans="1:3" ht="17.649999999999999" x14ac:dyDescent="0.5">
      <c r="A42" s="19"/>
      <c r="B42" s="2">
        <v>111419</v>
      </c>
      <c r="C42" s="23" t="s">
        <v>160</v>
      </c>
    </row>
    <row r="43" spans="1:3" ht="17.649999999999999" x14ac:dyDescent="0.5">
      <c r="A43" s="19"/>
      <c r="B43" s="2">
        <v>11142</v>
      </c>
      <c r="C43" s="23" t="s">
        <v>960</v>
      </c>
    </row>
    <row r="44" spans="1:3" ht="17.649999999999999" x14ac:dyDescent="0.5">
      <c r="A44" s="19"/>
      <c r="B44" s="2">
        <v>111421</v>
      </c>
      <c r="C44" s="23" t="s">
        <v>161</v>
      </c>
    </row>
    <row r="45" spans="1:3" ht="17.649999999999999" x14ac:dyDescent="0.5">
      <c r="A45" s="19"/>
      <c r="B45" s="2">
        <v>111422</v>
      </c>
      <c r="C45" s="23" t="s">
        <v>162</v>
      </c>
    </row>
    <row r="46" spans="1:3" ht="17.649999999999999" x14ac:dyDescent="0.5">
      <c r="A46" s="19"/>
      <c r="B46" s="6">
        <v>1119</v>
      </c>
      <c r="C46" s="6" t="s">
        <v>1437</v>
      </c>
    </row>
    <row r="47" spans="1:3" ht="17.649999999999999" x14ac:dyDescent="0.5">
      <c r="A47" s="19"/>
      <c r="B47" s="2">
        <v>11191</v>
      </c>
      <c r="C47" s="23" t="s">
        <v>961</v>
      </c>
    </row>
    <row r="48" spans="1:3" ht="17.649999999999999" x14ac:dyDescent="0.5">
      <c r="A48" s="19"/>
      <c r="B48" s="2">
        <v>111910</v>
      </c>
      <c r="C48" s="23" t="s">
        <v>1760</v>
      </c>
    </row>
    <row r="49" spans="1:3" ht="17.649999999999999" x14ac:dyDescent="0.5">
      <c r="A49" s="19"/>
      <c r="B49" s="2">
        <v>11192</v>
      </c>
      <c r="C49" s="23" t="s">
        <v>962</v>
      </c>
    </row>
    <row r="50" spans="1:3" ht="17.649999999999999" x14ac:dyDescent="0.5">
      <c r="A50" s="19"/>
      <c r="B50" s="2">
        <v>111920</v>
      </c>
      <c r="C50" s="23" t="s">
        <v>1761</v>
      </c>
    </row>
    <row r="51" spans="1:3" ht="17.649999999999999" x14ac:dyDescent="0.5">
      <c r="A51" s="19"/>
      <c r="B51" s="2">
        <v>11193</v>
      </c>
      <c r="C51" s="23" t="s">
        <v>963</v>
      </c>
    </row>
    <row r="52" spans="1:3" ht="17.649999999999999" x14ac:dyDescent="0.5">
      <c r="A52" s="19"/>
      <c r="B52" s="2">
        <v>111930</v>
      </c>
      <c r="C52" s="23" t="s">
        <v>1762</v>
      </c>
    </row>
    <row r="53" spans="1:3" ht="17.649999999999999" x14ac:dyDescent="0.5">
      <c r="A53" s="19"/>
      <c r="B53" s="2">
        <v>11194</v>
      </c>
      <c r="C53" s="23" t="s">
        <v>964</v>
      </c>
    </row>
    <row r="54" spans="1:3" ht="17.649999999999999" x14ac:dyDescent="0.5">
      <c r="A54" s="19"/>
      <c r="B54" s="2">
        <v>111940</v>
      </c>
      <c r="C54" s="23" t="s">
        <v>4</v>
      </c>
    </row>
    <row r="55" spans="1:3" ht="17.649999999999999" x14ac:dyDescent="0.5">
      <c r="A55" s="19"/>
      <c r="B55" s="2">
        <v>11199</v>
      </c>
      <c r="C55" s="23" t="s">
        <v>965</v>
      </c>
    </row>
    <row r="56" spans="1:3" ht="17.649999999999999" x14ac:dyDescent="0.5">
      <c r="A56" s="19"/>
      <c r="B56" s="2">
        <v>111991</v>
      </c>
      <c r="C56" s="23" t="s">
        <v>163</v>
      </c>
    </row>
    <row r="57" spans="1:3" ht="17.649999999999999" x14ac:dyDescent="0.5">
      <c r="A57" s="19"/>
      <c r="B57" s="2">
        <v>111992</v>
      </c>
      <c r="C57" s="23" t="s">
        <v>164</v>
      </c>
    </row>
    <row r="58" spans="1:3" ht="17.649999999999999" x14ac:dyDescent="0.5">
      <c r="A58" s="19"/>
      <c r="B58" s="2">
        <v>111998</v>
      </c>
      <c r="C58" s="23" t="s">
        <v>165</v>
      </c>
    </row>
    <row r="59" spans="1:3" ht="17.649999999999999" x14ac:dyDescent="0.5">
      <c r="A59" s="19" t="s">
        <v>138</v>
      </c>
      <c r="B59" s="5">
        <v>112</v>
      </c>
      <c r="C59" s="5" t="s">
        <v>1438</v>
      </c>
    </row>
    <row r="60" spans="1:3" ht="17.649999999999999" x14ac:dyDescent="0.5">
      <c r="A60" s="19"/>
      <c r="B60" s="6">
        <v>1121</v>
      </c>
      <c r="C60" s="6" t="s">
        <v>1734</v>
      </c>
    </row>
    <row r="61" spans="1:3" ht="17.649999999999999" x14ac:dyDescent="0.5">
      <c r="A61" s="19"/>
      <c r="B61" s="2">
        <v>11211</v>
      </c>
      <c r="C61" s="23" t="s">
        <v>966</v>
      </c>
    </row>
    <row r="62" spans="1:3" ht="17.649999999999999" x14ac:dyDescent="0.5">
      <c r="A62" s="19"/>
      <c r="B62" s="2">
        <v>112111</v>
      </c>
      <c r="C62" s="23" t="s">
        <v>166</v>
      </c>
    </row>
    <row r="63" spans="1:3" ht="17.649999999999999" x14ac:dyDescent="0.5">
      <c r="A63" s="19"/>
      <c r="B63" s="2">
        <v>112112</v>
      </c>
      <c r="C63" s="23" t="s">
        <v>167</v>
      </c>
    </row>
    <row r="64" spans="1:3" ht="17.649999999999999" x14ac:dyDescent="0.5">
      <c r="A64" s="19"/>
      <c r="B64" s="2">
        <v>11212</v>
      </c>
      <c r="C64" s="23" t="s">
        <v>967</v>
      </c>
    </row>
    <row r="65" spans="1:3" ht="17.649999999999999" x14ac:dyDescent="0.5">
      <c r="A65" s="19"/>
      <c r="B65" s="2">
        <v>112120</v>
      </c>
      <c r="C65" s="23" t="s">
        <v>1763</v>
      </c>
    </row>
    <row r="66" spans="1:3" ht="17.649999999999999" x14ac:dyDescent="0.5">
      <c r="A66" s="19"/>
      <c r="B66" s="2">
        <v>11213</v>
      </c>
      <c r="C66" s="23" t="s">
        <v>1970</v>
      </c>
    </row>
    <row r="67" spans="1:3" ht="17.649999999999999" x14ac:dyDescent="0.5">
      <c r="A67" s="19"/>
      <c r="B67" s="2">
        <v>112130</v>
      </c>
      <c r="C67" s="23" t="s">
        <v>168</v>
      </c>
    </row>
    <row r="68" spans="1:3" ht="17.649999999999999" x14ac:dyDescent="0.5">
      <c r="A68" s="19"/>
      <c r="B68" s="6">
        <v>1122</v>
      </c>
      <c r="C68" s="6" t="s">
        <v>1439</v>
      </c>
    </row>
    <row r="69" spans="1:3" ht="17.649999999999999" x14ac:dyDescent="0.5">
      <c r="A69" s="19"/>
      <c r="B69" s="2">
        <v>11221</v>
      </c>
      <c r="C69" s="23" t="s">
        <v>968</v>
      </c>
    </row>
    <row r="70" spans="1:3" ht="17.649999999999999" x14ac:dyDescent="0.5">
      <c r="A70" s="19"/>
      <c r="B70" s="2">
        <v>112210</v>
      </c>
      <c r="C70" s="2" t="s">
        <v>5</v>
      </c>
    </row>
    <row r="71" spans="1:3" ht="17.649999999999999" x14ac:dyDescent="0.5">
      <c r="A71" s="19"/>
      <c r="B71" s="6">
        <v>1123</v>
      </c>
      <c r="C71" s="6" t="s">
        <v>1440</v>
      </c>
    </row>
    <row r="72" spans="1:3" ht="17.649999999999999" x14ac:dyDescent="0.5">
      <c r="A72" s="19"/>
      <c r="B72" s="2">
        <v>11231</v>
      </c>
      <c r="C72" s="23" t="s">
        <v>969</v>
      </c>
    </row>
    <row r="73" spans="1:3" ht="17.649999999999999" x14ac:dyDescent="0.5">
      <c r="A73" s="19"/>
      <c r="B73" s="2">
        <v>112310</v>
      </c>
      <c r="C73" s="2" t="s">
        <v>6</v>
      </c>
    </row>
    <row r="74" spans="1:3" ht="17.649999999999999" x14ac:dyDescent="0.5">
      <c r="A74" s="19"/>
      <c r="B74" s="2">
        <v>11232</v>
      </c>
      <c r="C74" s="23" t="s">
        <v>970</v>
      </c>
    </row>
    <row r="75" spans="1:3" ht="17.649999999999999" x14ac:dyDescent="0.5">
      <c r="A75" s="19"/>
      <c r="B75" s="2">
        <v>112320</v>
      </c>
      <c r="C75" s="23" t="s">
        <v>1764</v>
      </c>
    </row>
    <row r="76" spans="1:3" ht="17.649999999999999" x14ac:dyDescent="0.5">
      <c r="A76" s="19"/>
      <c r="B76" s="2">
        <v>11233</v>
      </c>
      <c r="C76" s="23" t="s">
        <v>971</v>
      </c>
    </row>
    <row r="77" spans="1:3" ht="17.649999999999999" x14ac:dyDescent="0.5">
      <c r="A77" s="19"/>
      <c r="B77" s="2">
        <v>112330</v>
      </c>
      <c r="C77" s="23" t="s">
        <v>1765</v>
      </c>
    </row>
    <row r="78" spans="1:3" ht="17.649999999999999" x14ac:dyDescent="0.5">
      <c r="A78" s="19"/>
      <c r="B78" s="2">
        <v>11234</v>
      </c>
      <c r="C78" s="23" t="s">
        <v>972</v>
      </c>
    </row>
    <row r="79" spans="1:3" ht="17.649999999999999" x14ac:dyDescent="0.5">
      <c r="A79" s="19"/>
      <c r="B79" s="2">
        <v>112340</v>
      </c>
      <c r="C79" s="23" t="s">
        <v>1766</v>
      </c>
    </row>
    <row r="80" spans="1:3" ht="17.649999999999999" x14ac:dyDescent="0.5">
      <c r="A80" s="19"/>
      <c r="B80" s="2">
        <v>11239</v>
      </c>
      <c r="C80" s="23" t="s">
        <v>973</v>
      </c>
    </row>
    <row r="81" spans="1:3" ht="17.649999999999999" x14ac:dyDescent="0.5">
      <c r="A81" s="19"/>
      <c r="B81" s="2">
        <v>112390</v>
      </c>
      <c r="C81" s="2" t="s">
        <v>7</v>
      </c>
    </row>
    <row r="82" spans="1:3" ht="17.649999999999999" x14ac:dyDescent="0.5">
      <c r="A82" s="19"/>
      <c r="B82" s="6">
        <v>1124</v>
      </c>
      <c r="C82" s="6" t="s">
        <v>1441</v>
      </c>
    </row>
    <row r="83" spans="1:3" ht="17.649999999999999" x14ac:dyDescent="0.5">
      <c r="A83" s="19"/>
      <c r="B83" s="2">
        <v>11241</v>
      </c>
      <c r="C83" s="23" t="s">
        <v>974</v>
      </c>
    </row>
    <row r="84" spans="1:3" ht="17.649999999999999" x14ac:dyDescent="0.5">
      <c r="A84" s="19"/>
      <c r="B84" s="2">
        <v>112410</v>
      </c>
      <c r="C84" s="23" t="s">
        <v>1767</v>
      </c>
    </row>
    <row r="85" spans="1:3" ht="17.649999999999999" x14ac:dyDescent="0.5">
      <c r="A85" s="19"/>
      <c r="B85" s="2">
        <v>11242</v>
      </c>
      <c r="C85" s="23" t="s">
        <v>975</v>
      </c>
    </row>
    <row r="86" spans="1:3" ht="17.649999999999999" x14ac:dyDescent="0.5">
      <c r="A86" s="19"/>
      <c r="B86" s="2">
        <v>112420</v>
      </c>
      <c r="C86" s="23" t="s">
        <v>1768</v>
      </c>
    </row>
    <row r="87" spans="1:3" ht="17.649999999999999" x14ac:dyDescent="0.5">
      <c r="A87" s="19"/>
      <c r="B87" s="6">
        <v>1125</v>
      </c>
      <c r="C87" s="6" t="s">
        <v>1442</v>
      </c>
    </row>
    <row r="88" spans="1:3" ht="17.649999999999999" x14ac:dyDescent="0.5">
      <c r="A88" s="19"/>
      <c r="B88" s="2">
        <v>11251</v>
      </c>
      <c r="C88" s="23" t="s">
        <v>976</v>
      </c>
    </row>
    <row r="89" spans="1:3" ht="17.649999999999999" x14ac:dyDescent="0.5">
      <c r="A89" s="19"/>
      <c r="B89" s="2">
        <v>112511</v>
      </c>
      <c r="C89" s="2" t="s">
        <v>502</v>
      </c>
    </row>
    <row r="90" spans="1:3" ht="17.649999999999999" x14ac:dyDescent="0.5">
      <c r="A90" s="19"/>
      <c r="B90" s="2">
        <v>112512</v>
      </c>
      <c r="C90" s="2" t="s">
        <v>503</v>
      </c>
    </row>
    <row r="91" spans="1:3" ht="17.649999999999999" x14ac:dyDescent="0.5">
      <c r="A91" s="19"/>
      <c r="B91" s="2">
        <v>112519</v>
      </c>
      <c r="C91" s="2" t="s">
        <v>504</v>
      </c>
    </row>
    <row r="92" spans="1:3" ht="17.649999999999999" x14ac:dyDescent="0.5">
      <c r="A92" s="19"/>
      <c r="B92" s="6">
        <v>1129</v>
      </c>
      <c r="C92" s="6" t="s">
        <v>1443</v>
      </c>
    </row>
    <row r="93" spans="1:3" ht="17.649999999999999" x14ac:dyDescent="0.5">
      <c r="A93" s="19"/>
      <c r="B93" s="2">
        <v>11291</v>
      </c>
      <c r="C93" s="23" t="s">
        <v>977</v>
      </c>
    </row>
    <row r="94" spans="1:3" ht="17.649999999999999" x14ac:dyDescent="0.5">
      <c r="A94" s="19"/>
      <c r="B94" s="2">
        <v>112910</v>
      </c>
      <c r="C94" s="23" t="s">
        <v>1769</v>
      </c>
    </row>
    <row r="95" spans="1:3" ht="17.649999999999999" x14ac:dyDescent="0.5">
      <c r="A95" s="19"/>
      <c r="B95" s="2">
        <v>11292</v>
      </c>
      <c r="C95" s="23" t="s">
        <v>978</v>
      </c>
    </row>
    <row r="96" spans="1:3" ht="17.649999999999999" x14ac:dyDescent="0.5">
      <c r="A96" s="19"/>
      <c r="B96" s="2">
        <v>112920</v>
      </c>
      <c r="C96" s="23" t="s">
        <v>1770</v>
      </c>
    </row>
    <row r="97" spans="1:3" ht="17.649999999999999" x14ac:dyDescent="0.5">
      <c r="A97" s="19"/>
      <c r="B97" s="2">
        <v>11293</v>
      </c>
      <c r="C97" s="23" t="s">
        <v>979</v>
      </c>
    </row>
    <row r="98" spans="1:3" ht="17.649999999999999" x14ac:dyDescent="0.5">
      <c r="A98" s="19"/>
      <c r="B98" s="2">
        <v>112930</v>
      </c>
      <c r="C98" s="23" t="s">
        <v>1771</v>
      </c>
    </row>
    <row r="99" spans="1:3" ht="17.649999999999999" x14ac:dyDescent="0.5">
      <c r="A99" s="19"/>
      <c r="B99" s="2">
        <v>11299</v>
      </c>
      <c r="C99" s="23" t="s">
        <v>980</v>
      </c>
    </row>
    <row r="100" spans="1:3" ht="17.649999999999999" x14ac:dyDescent="0.5">
      <c r="A100" s="19"/>
      <c r="B100" s="2">
        <v>112990</v>
      </c>
      <c r="C100" s="2" t="s">
        <v>8</v>
      </c>
    </row>
    <row r="101" spans="1:3" ht="17.649999999999999" x14ac:dyDescent="0.5">
      <c r="A101" s="19"/>
      <c r="B101" s="5">
        <v>113</v>
      </c>
      <c r="C101" s="5" t="s">
        <v>1444</v>
      </c>
    </row>
    <row r="102" spans="1:3" ht="17.649999999999999" x14ac:dyDescent="0.5">
      <c r="A102" s="19"/>
      <c r="B102" s="6">
        <v>1131</v>
      </c>
      <c r="C102" s="6" t="s">
        <v>1735</v>
      </c>
    </row>
    <row r="103" spans="1:3" ht="17.649999999999999" x14ac:dyDescent="0.5">
      <c r="A103" s="19"/>
      <c r="B103" s="2">
        <v>11311</v>
      </c>
      <c r="C103" s="23" t="s">
        <v>981</v>
      </c>
    </row>
    <row r="104" spans="1:3" ht="17.649999999999999" x14ac:dyDescent="0.5">
      <c r="A104" s="19"/>
      <c r="B104" s="2">
        <v>113110</v>
      </c>
      <c r="C104" s="23" t="s">
        <v>1772</v>
      </c>
    </row>
    <row r="105" spans="1:3" ht="17.649999999999999" x14ac:dyDescent="0.5">
      <c r="A105" s="19"/>
      <c r="B105" s="6">
        <v>1132</v>
      </c>
      <c r="C105" s="6" t="s">
        <v>1445</v>
      </c>
    </row>
    <row r="106" spans="1:3" ht="17.649999999999999" x14ac:dyDescent="0.5">
      <c r="A106" s="19"/>
      <c r="B106" s="2">
        <v>11321</v>
      </c>
      <c r="C106" s="23" t="s">
        <v>1736</v>
      </c>
    </row>
    <row r="107" spans="1:3" ht="17.649999999999999" x14ac:dyDescent="0.5">
      <c r="A107" s="19"/>
      <c r="B107" s="2">
        <v>113210</v>
      </c>
      <c r="C107" s="2" t="s">
        <v>9</v>
      </c>
    </row>
    <row r="108" spans="1:3" ht="17.649999999999999" x14ac:dyDescent="0.5">
      <c r="A108" s="19"/>
      <c r="B108" s="6">
        <v>1133</v>
      </c>
      <c r="C108" s="6" t="s">
        <v>1446</v>
      </c>
    </row>
    <row r="109" spans="1:3" ht="17.649999999999999" x14ac:dyDescent="0.5">
      <c r="A109" s="19"/>
      <c r="B109" s="2">
        <v>11331</v>
      </c>
      <c r="C109" s="23" t="s">
        <v>1737</v>
      </c>
    </row>
    <row r="110" spans="1:3" ht="17.649999999999999" x14ac:dyDescent="0.5">
      <c r="A110" s="19"/>
      <c r="B110" s="2">
        <v>113310</v>
      </c>
      <c r="C110" s="2" t="s">
        <v>10</v>
      </c>
    </row>
    <row r="111" spans="1:3" ht="17.649999999999999" x14ac:dyDescent="0.5">
      <c r="A111" s="19"/>
      <c r="B111" s="5">
        <v>114</v>
      </c>
      <c r="C111" s="5" t="s">
        <v>1447</v>
      </c>
    </row>
    <row r="112" spans="1:3" ht="17.649999999999999" x14ac:dyDescent="0.5">
      <c r="A112" s="19"/>
      <c r="B112" s="6">
        <v>1141</v>
      </c>
      <c r="C112" s="6" t="s">
        <v>1448</v>
      </c>
    </row>
    <row r="113" spans="1:3" ht="17.649999999999999" x14ac:dyDescent="0.5">
      <c r="A113" s="19"/>
      <c r="B113" s="2">
        <v>11411</v>
      </c>
      <c r="C113" s="23" t="s">
        <v>982</v>
      </c>
    </row>
    <row r="114" spans="1:3" ht="17.649999999999999" x14ac:dyDescent="0.5">
      <c r="A114" s="19"/>
      <c r="B114" s="2">
        <v>114111</v>
      </c>
      <c r="C114" s="2" t="s">
        <v>505</v>
      </c>
    </row>
    <row r="115" spans="1:3" ht="17.649999999999999" x14ac:dyDescent="0.5">
      <c r="A115" s="19"/>
      <c r="B115" s="2">
        <v>114112</v>
      </c>
      <c r="C115" s="2" t="s">
        <v>506</v>
      </c>
    </row>
    <row r="116" spans="1:3" ht="17.649999999999999" x14ac:dyDescent="0.5">
      <c r="A116" s="19"/>
      <c r="B116" s="2">
        <v>114119</v>
      </c>
      <c r="C116" s="2" t="s">
        <v>507</v>
      </c>
    </row>
    <row r="117" spans="1:3" ht="17.649999999999999" x14ac:dyDescent="0.5">
      <c r="A117" s="19"/>
      <c r="B117" s="6">
        <v>1142</v>
      </c>
      <c r="C117" s="6" t="s">
        <v>1449</v>
      </c>
    </row>
    <row r="118" spans="1:3" ht="17.649999999999999" x14ac:dyDescent="0.5">
      <c r="A118" s="19"/>
      <c r="B118" s="2">
        <v>11421</v>
      </c>
      <c r="C118" s="23" t="s">
        <v>983</v>
      </c>
    </row>
    <row r="119" spans="1:3" ht="17.649999999999999" x14ac:dyDescent="0.5">
      <c r="A119" s="19"/>
      <c r="B119" s="2">
        <v>114210</v>
      </c>
      <c r="C119" s="23" t="s">
        <v>1773</v>
      </c>
    </row>
    <row r="120" spans="1:3" ht="17.649999999999999" x14ac:dyDescent="0.5">
      <c r="A120" s="19"/>
      <c r="B120" s="5">
        <v>115</v>
      </c>
      <c r="C120" s="5" t="s">
        <v>1450</v>
      </c>
    </row>
    <row r="121" spans="1:3" ht="17.649999999999999" x14ac:dyDescent="0.5">
      <c r="A121" s="19"/>
      <c r="B121" s="6">
        <v>1151</v>
      </c>
      <c r="C121" s="6" t="s">
        <v>1451</v>
      </c>
    </row>
    <row r="122" spans="1:3" ht="17.649999999999999" x14ac:dyDescent="0.5">
      <c r="A122" s="19"/>
      <c r="B122" s="2">
        <v>11511</v>
      </c>
      <c r="C122" s="23" t="s">
        <v>984</v>
      </c>
    </row>
    <row r="123" spans="1:3" ht="17.649999999999999" x14ac:dyDescent="0.5">
      <c r="A123" s="19"/>
      <c r="B123" s="2">
        <v>115111</v>
      </c>
      <c r="C123" s="2" t="s">
        <v>508</v>
      </c>
    </row>
    <row r="124" spans="1:3" ht="17.649999999999999" x14ac:dyDescent="0.5">
      <c r="A124" s="19"/>
      <c r="B124" s="2">
        <v>115112</v>
      </c>
      <c r="C124" s="2" t="s">
        <v>509</v>
      </c>
    </row>
    <row r="125" spans="1:3" ht="17.649999999999999" x14ac:dyDescent="0.5">
      <c r="A125" s="19"/>
      <c r="B125" s="2">
        <v>115113</v>
      </c>
      <c r="C125" s="2" t="s">
        <v>510</v>
      </c>
    </row>
    <row r="126" spans="1:3" ht="17.649999999999999" x14ac:dyDescent="0.5">
      <c r="A126" s="19"/>
      <c r="B126" s="2">
        <v>115114</v>
      </c>
      <c r="C126" s="2" t="s">
        <v>511</v>
      </c>
    </row>
    <row r="127" spans="1:3" ht="17.649999999999999" x14ac:dyDescent="0.5">
      <c r="A127" s="19"/>
      <c r="B127" s="2">
        <v>115115</v>
      </c>
      <c r="C127" s="2" t="s">
        <v>512</v>
      </c>
    </row>
    <row r="128" spans="1:3" ht="17.649999999999999" x14ac:dyDescent="0.5">
      <c r="A128" s="19"/>
      <c r="B128" s="2">
        <v>115116</v>
      </c>
      <c r="C128" s="2" t="s">
        <v>513</v>
      </c>
    </row>
    <row r="129" spans="1:4" ht="17.649999999999999" x14ac:dyDescent="0.5">
      <c r="A129" s="19"/>
      <c r="B129" s="6">
        <v>1152</v>
      </c>
      <c r="C129" s="6" t="s">
        <v>1452</v>
      </c>
      <c r="D129" s="13"/>
    </row>
    <row r="130" spans="1:4" ht="17.649999999999999" x14ac:dyDescent="0.5">
      <c r="A130" s="19"/>
      <c r="B130" s="2">
        <v>11521</v>
      </c>
      <c r="C130" s="23" t="s">
        <v>985</v>
      </c>
    </row>
    <row r="131" spans="1:4" ht="17.649999999999999" x14ac:dyDescent="0.5">
      <c r="A131" s="19"/>
      <c r="B131" s="2">
        <v>115210</v>
      </c>
      <c r="C131" s="23" t="s">
        <v>1774</v>
      </c>
    </row>
    <row r="132" spans="1:4" ht="17.649999999999999" x14ac:dyDescent="0.5">
      <c r="A132" s="19"/>
      <c r="B132" s="6">
        <v>1153</v>
      </c>
      <c r="C132" s="6" t="s">
        <v>1453</v>
      </c>
    </row>
    <row r="133" spans="1:4" ht="17.649999999999999" x14ac:dyDescent="0.5">
      <c r="A133" s="19"/>
      <c r="B133" s="2">
        <v>11531</v>
      </c>
      <c r="C133" s="23" t="s">
        <v>986</v>
      </c>
    </row>
    <row r="134" spans="1:4" ht="17.649999999999999" x14ac:dyDescent="0.5">
      <c r="A134" s="19"/>
      <c r="B134" s="2">
        <v>115310</v>
      </c>
      <c r="C134" s="23" t="s">
        <v>1775</v>
      </c>
    </row>
    <row r="135" spans="1:4" ht="17.649999999999999" x14ac:dyDescent="0.5">
      <c r="A135" s="19"/>
      <c r="B135" s="2"/>
      <c r="C135" s="2"/>
    </row>
    <row r="136" spans="1:4" ht="20.25" x14ac:dyDescent="0.35">
      <c r="A136" s="11"/>
      <c r="B136" s="14">
        <v>21</v>
      </c>
      <c r="C136" s="11" t="s">
        <v>1051</v>
      </c>
    </row>
    <row r="137" spans="1:4" ht="17.649999999999999" x14ac:dyDescent="0.5">
      <c r="A137" s="19"/>
      <c r="B137" s="5">
        <v>211</v>
      </c>
      <c r="C137" s="5" t="s">
        <v>1454</v>
      </c>
    </row>
    <row r="138" spans="1:4" ht="17.649999999999999" x14ac:dyDescent="0.5">
      <c r="A138" s="19"/>
      <c r="B138" s="6">
        <v>2111</v>
      </c>
      <c r="C138" s="6" t="s">
        <v>1455</v>
      </c>
    </row>
    <row r="139" spans="1:4" ht="17.649999999999999" x14ac:dyDescent="0.5">
      <c r="A139" s="19"/>
      <c r="B139" s="2">
        <v>21111</v>
      </c>
      <c r="C139" s="23" t="s">
        <v>987</v>
      </c>
    </row>
    <row r="140" spans="1:4" ht="17.649999999999999" x14ac:dyDescent="0.5">
      <c r="A140" s="19"/>
      <c r="B140" s="2">
        <v>211111</v>
      </c>
      <c r="C140" s="2" t="s">
        <v>514</v>
      </c>
    </row>
    <row r="141" spans="1:4" ht="17.649999999999999" x14ac:dyDescent="0.5">
      <c r="A141" s="19"/>
      <c r="B141" s="2">
        <v>211112</v>
      </c>
      <c r="C141" s="2" t="s">
        <v>515</v>
      </c>
    </row>
    <row r="142" spans="1:4" ht="17.649999999999999" x14ac:dyDescent="0.5">
      <c r="A142" s="19"/>
      <c r="B142" s="5">
        <v>212</v>
      </c>
      <c r="C142" s="5" t="s">
        <v>1456</v>
      </c>
    </row>
    <row r="143" spans="1:4" ht="17.649999999999999" x14ac:dyDescent="0.5">
      <c r="A143" s="19"/>
      <c r="B143" s="6">
        <v>2121</v>
      </c>
      <c r="C143" s="6" t="s">
        <v>1457</v>
      </c>
    </row>
    <row r="144" spans="1:4" ht="17.649999999999999" x14ac:dyDescent="0.5">
      <c r="A144" s="19"/>
      <c r="B144" s="2">
        <v>21211</v>
      </c>
      <c r="C144" s="23" t="s">
        <v>988</v>
      </c>
    </row>
    <row r="145" spans="1:3" ht="17.649999999999999" x14ac:dyDescent="0.5">
      <c r="A145" s="19"/>
      <c r="B145" s="2">
        <v>212111</v>
      </c>
      <c r="C145" s="23" t="s">
        <v>516</v>
      </c>
    </row>
    <row r="146" spans="1:3" ht="17.649999999999999" x14ac:dyDescent="0.5">
      <c r="A146" s="19"/>
      <c r="B146" s="2">
        <v>212112</v>
      </c>
      <c r="C146" s="23" t="s">
        <v>517</v>
      </c>
    </row>
    <row r="147" spans="1:3" ht="17.649999999999999" x14ac:dyDescent="0.5">
      <c r="A147" s="19"/>
      <c r="B147" s="2">
        <v>212113</v>
      </c>
      <c r="C147" s="2" t="s">
        <v>518</v>
      </c>
    </row>
    <row r="148" spans="1:3" ht="17.649999999999999" x14ac:dyDescent="0.5">
      <c r="A148" s="19"/>
      <c r="B148" s="6">
        <v>2122</v>
      </c>
      <c r="C148" s="6" t="s">
        <v>1458</v>
      </c>
    </row>
    <row r="149" spans="1:3" ht="17.649999999999999" x14ac:dyDescent="0.5">
      <c r="A149" s="19"/>
      <c r="B149" s="2">
        <v>21221</v>
      </c>
      <c r="C149" s="23" t="s">
        <v>989</v>
      </c>
    </row>
    <row r="150" spans="1:3" ht="17.649999999999999" x14ac:dyDescent="0.5">
      <c r="A150" s="19"/>
      <c r="B150" s="2">
        <v>212210</v>
      </c>
      <c r="C150" s="23" t="s">
        <v>1776</v>
      </c>
    </row>
    <row r="151" spans="1:3" ht="17.649999999999999" x14ac:dyDescent="0.5">
      <c r="A151" s="19"/>
      <c r="B151" s="2">
        <v>21222</v>
      </c>
      <c r="C151" s="23" t="s">
        <v>990</v>
      </c>
    </row>
    <row r="152" spans="1:3" ht="17.649999999999999" x14ac:dyDescent="0.5">
      <c r="A152" s="19"/>
      <c r="B152" s="2">
        <v>212221</v>
      </c>
      <c r="C152" s="2" t="s">
        <v>432</v>
      </c>
    </row>
    <row r="153" spans="1:3" ht="17.649999999999999" x14ac:dyDescent="0.5">
      <c r="A153" s="19"/>
      <c r="B153" s="2">
        <v>212222</v>
      </c>
      <c r="C153" s="2" t="s">
        <v>433</v>
      </c>
    </row>
    <row r="154" spans="1:3" ht="17.649999999999999" x14ac:dyDescent="0.5">
      <c r="A154" s="19"/>
      <c r="B154" s="2">
        <v>21223</v>
      </c>
      <c r="C154" s="23" t="s">
        <v>991</v>
      </c>
    </row>
    <row r="155" spans="1:3" ht="17.649999999999999" x14ac:dyDescent="0.5">
      <c r="A155" s="19"/>
      <c r="B155" s="2">
        <v>212231</v>
      </c>
      <c r="C155" s="2" t="s">
        <v>169</v>
      </c>
    </row>
    <row r="156" spans="1:3" ht="17.649999999999999" x14ac:dyDescent="0.5">
      <c r="A156" s="19"/>
      <c r="B156" s="2">
        <v>212234</v>
      </c>
      <c r="C156" s="2" t="s">
        <v>519</v>
      </c>
    </row>
    <row r="157" spans="1:3" ht="17.649999999999999" x14ac:dyDescent="0.5">
      <c r="A157" s="19"/>
      <c r="B157" s="2">
        <v>21229</v>
      </c>
      <c r="C157" s="23" t="s">
        <v>992</v>
      </c>
    </row>
    <row r="158" spans="1:3" ht="17.649999999999999" x14ac:dyDescent="0.5">
      <c r="A158" s="19"/>
      <c r="B158" s="2">
        <v>212291</v>
      </c>
      <c r="C158" s="2" t="s">
        <v>170</v>
      </c>
    </row>
    <row r="159" spans="1:3" ht="17.649999999999999" x14ac:dyDescent="0.5">
      <c r="A159" s="19"/>
      <c r="B159" s="2">
        <v>212299</v>
      </c>
      <c r="C159" s="2" t="s">
        <v>171</v>
      </c>
    </row>
    <row r="160" spans="1:3" ht="17.649999999999999" x14ac:dyDescent="0.5">
      <c r="A160" s="19"/>
      <c r="B160" s="6">
        <v>2123</v>
      </c>
      <c r="C160" s="6" t="s">
        <v>1459</v>
      </c>
    </row>
    <row r="161" spans="1:3" ht="17.649999999999999" x14ac:dyDescent="0.5">
      <c r="A161" s="19"/>
      <c r="B161" s="2">
        <v>21231</v>
      </c>
      <c r="C161" s="23" t="s">
        <v>993</v>
      </c>
    </row>
    <row r="162" spans="1:3" ht="17.649999999999999" x14ac:dyDescent="0.5">
      <c r="A162" s="19"/>
      <c r="B162" s="2">
        <v>212311</v>
      </c>
      <c r="C162" s="2" t="s">
        <v>520</v>
      </c>
    </row>
    <row r="163" spans="1:3" ht="17.649999999999999" x14ac:dyDescent="0.5">
      <c r="A163" s="19"/>
      <c r="B163" s="2">
        <v>212312</v>
      </c>
      <c r="C163" s="23" t="s">
        <v>521</v>
      </c>
    </row>
    <row r="164" spans="1:3" ht="17.649999999999999" x14ac:dyDescent="0.5">
      <c r="A164" s="19"/>
      <c r="B164" s="2">
        <v>212313</v>
      </c>
      <c r="C164" s="23" t="s">
        <v>522</v>
      </c>
    </row>
    <row r="165" spans="1:3" ht="17.649999999999999" x14ac:dyDescent="0.5">
      <c r="A165" s="19"/>
      <c r="B165" s="2">
        <v>212319</v>
      </c>
      <c r="C165" s="23" t="s">
        <v>523</v>
      </c>
    </row>
    <row r="166" spans="1:3" ht="27" x14ac:dyDescent="0.5">
      <c r="A166" s="19"/>
      <c r="B166" s="2">
        <v>21232</v>
      </c>
      <c r="C166" s="23" t="s">
        <v>994</v>
      </c>
    </row>
    <row r="167" spans="1:3" ht="17.649999999999999" x14ac:dyDescent="0.5">
      <c r="A167" s="19"/>
      <c r="B167" s="2">
        <v>212321</v>
      </c>
      <c r="C167" s="2" t="s">
        <v>434</v>
      </c>
    </row>
    <row r="168" spans="1:3" ht="17.649999999999999" x14ac:dyDescent="0.5">
      <c r="A168" s="19"/>
      <c r="B168" s="2">
        <v>212322</v>
      </c>
      <c r="C168" s="23" t="s">
        <v>524</v>
      </c>
    </row>
    <row r="169" spans="1:3" ht="17.649999999999999" x14ac:dyDescent="0.5">
      <c r="A169" s="19"/>
      <c r="B169" s="2">
        <v>212324</v>
      </c>
      <c r="C169" s="23" t="s">
        <v>525</v>
      </c>
    </row>
    <row r="170" spans="1:3" ht="17.649999999999999" x14ac:dyDescent="0.5">
      <c r="A170" s="19"/>
      <c r="B170" s="2">
        <v>212325</v>
      </c>
      <c r="C170" s="2" t="s">
        <v>526</v>
      </c>
    </row>
    <row r="171" spans="1:3" ht="17.649999999999999" x14ac:dyDescent="0.5">
      <c r="A171" s="19"/>
      <c r="B171" s="2">
        <v>21239</v>
      </c>
      <c r="C171" s="23" t="s">
        <v>995</v>
      </c>
    </row>
    <row r="172" spans="1:3" ht="17.649999999999999" x14ac:dyDescent="0.5">
      <c r="A172" s="19"/>
      <c r="B172" s="2">
        <v>212391</v>
      </c>
      <c r="C172" s="2" t="s">
        <v>527</v>
      </c>
    </row>
    <row r="173" spans="1:3" ht="17.649999999999999" x14ac:dyDescent="0.5">
      <c r="A173" s="19"/>
      <c r="B173" s="2">
        <v>212392</v>
      </c>
      <c r="C173" s="2" t="s">
        <v>528</v>
      </c>
    </row>
    <row r="174" spans="1:3" ht="17.649999999999999" x14ac:dyDescent="0.5">
      <c r="A174" s="19"/>
      <c r="B174" s="2">
        <v>212393</v>
      </c>
      <c r="C174" s="2" t="s">
        <v>529</v>
      </c>
    </row>
    <row r="175" spans="1:3" ht="17.649999999999999" x14ac:dyDescent="0.5">
      <c r="A175" s="19"/>
      <c r="B175" s="2">
        <v>212399</v>
      </c>
      <c r="C175" s="2" t="s">
        <v>530</v>
      </c>
    </row>
    <row r="176" spans="1:3" ht="17.649999999999999" x14ac:dyDescent="0.5">
      <c r="A176" s="19"/>
      <c r="B176" s="5">
        <v>213</v>
      </c>
      <c r="C176" s="5" t="s">
        <v>1460</v>
      </c>
    </row>
    <row r="177" spans="1:3" ht="17.649999999999999" x14ac:dyDescent="0.5">
      <c r="A177" s="19"/>
      <c r="B177" s="6">
        <v>2131</v>
      </c>
      <c r="C177" s="6" t="s">
        <v>1461</v>
      </c>
    </row>
    <row r="178" spans="1:3" ht="17.649999999999999" x14ac:dyDescent="0.5">
      <c r="A178" s="19"/>
      <c r="B178" s="2">
        <v>21311</v>
      </c>
      <c r="C178" s="23" t="s">
        <v>996</v>
      </c>
    </row>
    <row r="179" spans="1:3" ht="17.649999999999999" x14ac:dyDescent="0.5">
      <c r="A179" s="19"/>
      <c r="B179" s="2">
        <v>213111</v>
      </c>
      <c r="C179" s="23" t="s">
        <v>1777</v>
      </c>
    </row>
    <row r="180" spans="1:3" ht="17.649999999999999" x14ac:dyDescent="0.5">
      <c r="A180" s="19"/>
      <c r="B180" s="2">
        <v>213112</v>
      </c>
      <c r="C180" s="2" t="s">
        <v>531</v>
      </c>
    </row>
    <row r="181" spans="1:3" ht="17.649999999999999" x14ac:dyDescent="0.5">
      <c r="A181" s="19"/>
      <c r="B181" s="2">
        <v>213113</v>
      </c>
      <c r="C181" s="2" t="s">
        <v>532</v>
      </c>
    </row>
    <row r="182" spans="1:3" ht="17.649999999999999" x14ac:dyDescent="0.5">
      <c r="A182" s="19"/>
      <c r="B182" s="2">
        <v>213114</v>
      </c>
      <c r="C182" s="2" t="s">
        <v>533</v>
      </c>
    </row>
    <row r="183" spans="1:3" ht="17.649999999999999" x14ac:dyDescent="0.5">
      <c r="A183" s="19"/>
      <c r="B183" s="2">
        <v>213115</v>
      </c>
      <c r="C183" s="2" t="s">
        <v>534</v>
      </c>
    </row>
    <row r="184" spans="1:3" ht="17.649999999999999" x14ac:dyDescent="0.5">
      <c r="A184" s="19"/>
      <c r="B184" s="2"/>
      <c r="C184" s="2"/>
    </row>
    <row r="185" spans="1:3" ht="20.25" x14ac:dyDescent="0.35">
      <c r="A185" s="11"/>
      <c r="B185" s="14">
        <v>22</v>
      </c>
      <c r="C185" s="11" t="s">
        <v>997</v>
      </c>
    </row>
    <row r="186" spans="1:3" ht="17.649999999999999" x14ac:dyDescent="0.5">
      <c r="A186" s="19"/>
      <c r="B186" s="5">
        <v>221</v>
      </c>
      <c r="C186" s="5" t="s">
        <v>1462</v>
      </c>
    </row>
    <row r="187" spans="1:3" ht="17.649999999999999" x14ac:dyDescent="0.5">
      <c r="A187" s="19"/>
      <c r="B187" s="6">
        <v>2211</v>
      </c>
      <c r="C187" s="6" t="s">
        <v>1967</v>
      </c>
    </row>
    <row r="188" spans="1:3" ht="17.649999999999999" x14ac:dyDescent="0.5">
      <c r="A188" s="19"/>
      <c r="B188" s="2">
        <v>22111</v>
      </c>
      <c r="C188" s="2" t="s">
        <v>172</v>
      </c>
    </row>
    <row r="189" spans="1:3" ht="17.649999999999999" x14ac:dyDescent="0.5">
      <c r="A189" s="19"/>
      <c r="B189" s="2">
        <v>221111</v>
      </c>
      <c r="C189" s="2" t="s">
        <v>173</v>
      </c>
    </row>
    <row r="190" spans="1:3" ht="17.649999999999999" x14ac:dyDescent="0.5">
      <c r="A190" s="19"/>
      <c r="B190" s="2">
        <v>221112</v>
      </c>
      <c r="C190" s="2" t="s">
        <v>174</v>
      </c>
    </row>
    <row r="191" spans="1:3" ht="17.649999999999999" x14ac:dyDescent="0.5">
      <c r="A191" s="19"/>
      <c r="B191" s="2">
        <v>221113</v>
      </c>
      <c r="C191" s="2" t="s">
        <v>175</v>
      </c>
    </row>
    <row r="192" spans="1:3" ht="17.649999999999999" x14ac:dyDescent="0.5">
      <c r="A192" s="19" t="s">
        <v>139</v>
      </c>
      <c r="B192" s="2">
        <v>221114</v>
      </c>
      <c r="C192" s="2" t="s">
        <v>11</v>
      </c>
    </row>
    <row r="193" spans="1:3" ht="17.649999999999999" x14ac:dyDescent="0.5">
      <c r="A193" s="19" t="s">
        <v>139</v>
      </c>
      <c r="B193" s="2">
        <v>221115</v>
      </c>
      <c r="C193" s="2" t="s">
        <v>12</v>
      </c>
    </row>
    <row r="194" spans="1:3" ht="17.649999999999999" x14ac:dyDescent="0.5">
      <c r="A194" s="19" t="s">
        <v>139</v>
      </c>
      <c r="B194" s="2">
        <v>221116</v>
      </c>
      <c r="C194" s="2" t="s">
        <v>13</v>
      </c>
    </row>
    <row r="195" spans="1:3" ht="17.649999999999999" x14ac:dyDescent="0.5">
      <c r="A195" s="19" t="s">
        <v>139</v>
      </c>
      <c r="B195" s="2">
        <v>221117</v>
      </c>
      <c r="C195" s="2" t="s">
        <v>14</v>
      </c>
    </row>
    <row r="196" spans="1:3" ht="17.649999999999999" x14ac:dyDescent="0.5">
      <c r="A196" s="19" t="s">
        <v>139</v>
      </c>
      <c r="B196" s="2">
        <v>221118</v>
      </c>
      <c r="C196" s="2" t="s">
        <v>15</v>
      </c>
    </row>
    <row r="197" spans="1:3" ht="17.649999999999999" x14ac:dyDescent="0.5">
      <c r="A197" s="19"/>
      <c r="B197" s="2">
        <v>22112</v>
      </c>
      <c r="C197" s="2" t="s">
        <v>176</v>
      </c>
    </row>
    <row r="198" spans="1:3" ht="17.649999999999999" x14ac:dyDescent="0.5">
      <c r="A198" s="19"/>
      <c r="B198" s="2">
        <v>221121</v>
      </c>
      <c r="C198" s="2" t="s">
        <v>177</v>
      </c>
    </row>
    <row r="199" spans="1:3" ht="17.649999999999999" x14ac:dyDescent="0.5">
      <c r="A199" s="19"/>
      <c r="B199" s="2">
        <v>221122</v>
      </c>
      <c r="C199" s="2" t="s">
        <v>178</v>
      </c>
    </row>
    <row r="200" spans="1:3" ht="17.649999999999999" x14ac:dyDescent="0.5">
      <c r="A200" s="19"/>
      <c r="B200" s="6">
        <v>2212</v>
      </c>
      <c r="C200" s="6" t="s">
        <v>179</v>
      </c>
    </row>
    <row r="201" spans="1:3" ht="17.649999999999999" x14ac:dyDescent="0.5">
      <c r="A201" s="19"/>
      <c r="B201" s="2">
        <v>22121</v>
      </c>
      <c r="C201" s="2" t="s">
        <v>179</v>
      </c>
    </row>
    <row r="202" spans="1:3" ht="17.649999999999999" x14ac:dyDescent="0.5">
      <c r="A202" s="19"/>
      <c r="B202" s="2">
        <v>221210</v>
      </c>
      <c r="C202" s="2" t="s">
        <v>179</v>
      </c>
    </row>
    <row r="203" spans="1:3" ht="17.649999999999999" x14ac:dyDescent="0.5">
      <c r="A203" s="19"/>
      <c r="B203" s="6">
        <v>2213</v>
      </c>
      <c r="C203" s="6" t="s">
        <v>180</v>
      </c>
    </row>
    <row r="204" spans="1:3" ht="17.649999999999999" x14ac:dyDescent="0.5">
      <c r="A204" s="19"/>
      <c r="B204" s="2">
        <v>22131</v>
      </c>
      <c r="C204" s="2" t="s">
        <v>181</v>
      </c>
    </row>
    <row r="205" spans="1:3" ht="17.649999999999999" x14ac:dyDescent="0.5">
      <c r="A205" s="19"/>
      <c r="B205" s="2">
        <v>221310</v>
      </c>
      <c r="C205" s="2" t="s">
        <v>181</v>
      </c>
    </row>
    <row r="206" spans="1:3" ht="17.649999999999999" x14ac:dyDescent="0.5">
      <c r="A206" s="19"/>
      <c r="B206" s="2">
        <v>22132</v>
      </c>
      <c r="C206" s="2" t="s">
        <v>182</v>
      </c>
    </row>
    <row r="207" spans="1:3" ht="17.649999999999999" x14ac:dyDescent="0.5">
      <c r="A207" s="19"/>
      <c r="B207" s="2">
        <v>221320</v>
      </c>
      <c r="C207" s="2" t="s">
        <v>182</v>
      </c>
    </row>
    <row r="208" spans="1:3" ht="17.649999999999999" x14ac:dyDescent="0.5">
      <c r="A208" s="19"/>
      <c r="B208" s="2">
        <v>22133</v>
      </c>
      <c r="C208" s="2" t="s">
        <v>183</v>
      </c>
    </row>
    <row r="209" spans="1:3" ht="17.649999999999999" x14ac:dyDescent="0.5">
      <c r="A209" s="19"/>
      <c r="B209" s="2">
        <v>221330</v>
      </c>
      <c r="C209" s="2" t="s">
        <v>183</v>
      </c>
    </row>
    <row r="210" spans="1:3" ht="17.649999999999999" x14ac:dyDescent="0.5">
      <c r="A210" s="19"/>
      <c r="B210" s="2"/>
      <c r="C210" s="2"/>
    </row>
    <row r="211" spans="1:3" ht="20.25" x14ac:dyDescent="0.5">
      <c r="A211" s="10"/>
      <c r="B211" s="14">
        <v>23</v>
      </c>
      <c r="C211" s="14" t="s">
        <v>1463</v>
      </c>
    </row>
    <row r="212" spans="1:3" ht="17.649999999999999" x14ac:dyDescent="0.5">
      <c r="A212" s="19"/>
      <c r="B212" s="5">
        <v>236</v>
      </c>
      <c r="C212" s="5" t="s">
        <v>1464</v>
      </c>
    </row>
    <row r="213" spans="1:3" ht="17.649999999999999" x14ac:dyDescent="0.5">
      <c r="A213" s="19"/>
      <c r="B213" s="6">
        <v>2361</v>
      </c>
      <c r="C213" s="6" t="s">
        <v>1465</v>
      </c>
    </row>
    <row r="214" spans="1:3" ht="17.649999999999999" x14ac:dyDescent="0.5">
      <c r="A214" s="19"/>
      <c r="B214" s="2">
        <v>23611</v>
      </c>
      <c r="C214" s="23" t="s">
        <v>998</v>
      </c>
    </row>
    <row r="215" spans="1:3" ht="17.649999999999999" x14ac:dyDescent="0.5">
      <c r="A215" s="19" t="s">
        <v>138</v>
      </c>
      <c r="B215" s="2">
        <v>236115</v>
      </c>
      <c r="C215" s="23" t="s">
        <v>535</v>
      </c>
    </row>
    <row r="216" spans="1:3" ht="17.649999999999999" x14ac:dyDescent="0.5">
      <c r="A216" s="19" t="s">
        <v>138</v>
      </c>
      <c r="B216" s="2">
        <v>236116</v>
      </c>
      <c r="C216" s="23" t="s">
        <v>536</v>
      </c>
    </row>
    <row r="217" spans="1:3" ht="17.649999999999999" x14ac:dyDescent="0.5">
      <c r="A217" s="19" t="s">
        <v>138</v>
      </c>
      <c r="B217" s="2">
        <v>236117</v>
      </c>
      <c r="C217" s="23" t="s">
        <v>537</v>
      </c>
    </row>
    <row r="218" spans="1:3" ht="17.649999999999999" x14ac:dyDescent="0.5">
      <c r="A218" s="19"/>
      <c r="B218" s="2">
        <v>236118</v>
      </c>
      <c r="C218" s="23" t="s">
        <v>538</v>
      </c>
    </row>
    <row r="219" spans="1:3" ht="17.649999999999999" x14ac:dyDescent="0.5">
      <c r="A219" s="19"/>
      <c r="B219" s="6">
        <v>2362</v>
      </c>
      <c r="C219" s="6" t="s">
        <v>1466</v>
      </c>
    </row>
    <row r="220" spans="1:3" ht="17.649999999999999" x14ac:dyDescent="0.5">
      <c r="A220" s="19"/>
      <c r="B220" s="2">
        <v>23621</v>
      </c>
      <c r="C220" s="23" t="s">
        <v>999</v>
      </c>
    </row>
    <row r="221" spans="1:3" ht="17.649999999999999" x14ac:dyDescent="0.5">
      <c r="A221" s="19"/>
      <c r="B221" s="2">
        <v>236210</v>
      </c>
      <c r="C221" s="2" t="s">
        <v>16</v>
      </c>
    </row>
    <row r="222" spans="1:3" ht="17.649999999999999" x14ac:dyDescent="0.5">
      <c r="A222" s="19"/>
      <c r="B222" s="2">
        <v>23622</v>
      </c>
      <c r="C222" s="23" t="s">
        <v>1000</v>
      </c>
    </row>
    <row r="223" spans="1:3" ht="17.649999999999999" x14ac:dyDescent="0.5">
      <c r="A223" s="19"/>
      <c r="B223" s="2">
        <v>236220</v>
      </c>
      <c r="C223" s="2" t="s">
        <v>17</v>
      </c>
    </row>
    <row r="224" spans="1:3" ht="17.649999999999999" x14ac:dyDescent="0.5">
      <c r="A224" s="19"/>
      <c r="B224" s="5">
        <v>237</v>
      </c>
      <c r="C224" s="5" t="s">
        <v>1467</v>
      </c>
    </row>
    <row r="225" spans="1:3" ht="17.649999999999999" x14ac:dyDescent="0.5">
      <c r="A225" s="19"/>
      <c r="B225" s="6">
        <v>2371</v>
      </c>
      <c r="C225" s="6" t="s">
        <v>1738</v>
      </c>
    </row>
    <row r="226" spans="1:3" ht="17.649999999999999" x14ac:dyDescent="0.5">
      <c r="A226" s="19"/>
      <c r="B226" s="2">
        <v>23711</v>
      </c>
      <c r="C226" s="23" t="s">
        <v>1001</v>
      </c>
    </row>
    <row r="227" spans="1:3" ht="17.649999999999999" x14ac:dyDescent="0.5">
      <c r="A227" s="19"/>
      <c r="B227" s="2">
        <v>237110</v>
      </c>
      <c r="C227" s="2" t="s">
        <v>18</v>
      </c>
    </row>
    <row r="228" spans="1:3" ht="17.649999999999999" x14ac:dyDescent="0.5">
      <c r="A228" s="19"/>
      <c r="B228" s="2">
        <v>23712</v>
      </c>
      <c r="C228" s="23" t="s">
        <v>1002</v>
      </c>
    </row>
    <row r="229" spans="1:3" ht="17.649999999999999" x14ac:dyDescent="0.5">
      <c r="A229" s="19"/>
      <c r="B229" s="2">
        <v>237120</v>
      </c>
      <c r="C229" s="2" t="s">
        <v>19</v>
      </c>
    </row>
    <row r="230" spans="1:3" ht="17.649999999999999" x14ac:dyDescent="0.5">
      <c r="A230" s="19"/>
      <c r="B230" s="2">
        <v>23713</v>
      </c>
      <c r="C230" s="23" t="s">
        <v>1003</v>
      </c>
    </row>
    <row r="231" spans="1:3" ht="17.649999999999999" x14ac:dyDescent="0.5">
      <c r="A231" s="19"/>
      <c r="B231" s="2">
        <v>237130</v>
      </c>
      <c r="C231" s="2" t="s">
        <v>20</v>
      </c>
    </row>
    <row r="232" spans="1:3" ht="17.649999999999999" x14ac:dyDescent="0.5">
      <c r="A232" s="19"/>
      <c r="B232" s="6">
        <v>2372</v>
      </c>
      <c r="C232" s="6" t="s">
        <v>1468</v>
      </c>
    </row>
    <row r="233" spans="1:3" ht="17.649999999999999" x14ac:dyDescent="0.5">
      <c r="A233" s="19"/>
      <c r="B233" s="2">
        <v>23721</v>
      </c>
      <c r="C233" s="23" t="s">
        <v>1004</v>
      </c>
    </row>
    <row r="234" spans="1:3" ht="17.649999999999999" x14ac:dyDescent="0.5">
      <c r="A234" s="19"/>
      <c r="B234" s="2">
        <v>237210</v>
      </c>
      <c r="C234" s="2" t="s">
        <v>21</v>
      </c>
    </row>
    <row r="235" spans="1:3" ht="17.649999999999999" x14ac:dyDescent="0.5">
      <c r="A235" s="19"/>
      <c r="B235" s="6">
        <v>2373</v>
      </c>
      <c r="C235" s="6" t="s">
        <v>1469</v>
      </c>
    </row>
    <row r="236" spans="1:3" ht="17.649999999999999" x14ac:dyDescent="0.5">
      <c r="A236" s="19"/>
      <c r="B236" s="2">
        <v>23731</v>
      </c>
      <c r="C236" s="23" t="s">
        <v>1005</v>
      </c>
    </row>
    <row r="237" spans="1:3" ht="17.649999999999999" x14ac:dyDescent="0.5">
      <c r="A237" s="19"/>
      <c r="B237" s="2">
        <v>237310</v>
      </c>
      <c r="C237" s="2" t="s">
        <v>22</v>
      </c>
    </row>
    <row r="238" spans="1:3" ht="17.649999999999999" x14ac:dyDescent="0.5">
      <c r="A238" s="19"/>
      <c r="B238" s="6">
        <v>2379</v>
      </c>
      <c r="C238" s="6" t="s">
        <v>1470</v>
      </c>
    </row>
    <row r="239" spans="1:3" ht="17.649999999999999" x14ac:dyDescent="0.5">
      <c r="A239" s="19"/>
      <c r="B239" s="2">
        <v>23799</v>
      </c>
      <c r="C239" s="23" t="s">
        <v>1006</v>
      </c>
    </row>
    <row r="240" spans="1:3" ht="17.649999999999999" x14ac:dyDescent="0.5">
      <c r="A240" s="19"/>
      <c r="B240" s="2">
        <v>237990</v>
      </c>
      <c r="C240" s="2" t="s">
        <v>23</v>
      </c>
    </row>
    <row r="241" spans="1:3" ht="17.649999999999999" x14ac:dyDescent="0.5">
      <c r="A241" s="19"/>
      <c r="B241" s="5">
        <v>238</v>
      </c>
      <c r="C241" s="5" t="s">
        <v>1471</v>
      </c>
    </row>
    <row r="242" spans="1:3" ht="17.649999999999999" x14ac:dyDescent="0.5">
      <c r="A242" s="19"/>
      <c r="B242" s="6">
        <v>2381</v>
      </c>
      <c r="C242" s="6" t="s">
        <v>1007</v>
      </c>
    </row>
    <row r="243" spans="1:3" ht="17.649999999999999" x14ac:dyDescent="0.5">
      <c r="A243" s="19"/>
      <c r="B243" s="2">
        <v>23811</v>
      </c>
      <c r="C243" s="23" t="s">
        <v>184</v>
      </c>
    </row>
    <row r="244" spans="1:3" ht="17.649999999999999" x14ac:dyDescent="0.5">
      <c r="A244" s="19"/>
      <c r="B244" s="2">
        <v>238110</v>
      </c>
      <c r="C244" s="2" t="s">
        <v>184</v>
      </c>
    </row>
    <row r="245" spans="1:3" ht="17.649999999999999" x14ac:dyDescent="0.5">
      <c r="A245" s="19"/>
      <c r="B245" s="2">
        <v>23812</v>
      </c>
      <c r="C245" s="23" t="s">
        <v>1971</v>
      </c>
    </row>
    <row r="246" spans="1:3" ht="17.649999999999999" x14ac:dyDescent="0.5">
      <c r="A246" s="19"/>
      <c r="B246" s="2">
        <v>238120</v>
      </c>
      <c r="C246" s="2" t="s">
        <v>24</v>
      </c>
    </row>
    <row r="247" spans="1:3" ht="17.649999999999999" x14ac:dyDescent="0.5">
      <c r="A247" s="19"/>
      <c r="B247" s="2">
        <v>23813</v>
      </c>
      <c r="C247" s="2" t="s">
        <v>185</v>
      </c>
    </row>
    <row r="248" spans="1:3" ht="17.649999999999999" x14ac:dyDescent="0.5">
      <c r="A248" s="19"/>
      <c r="B248" s="2">
        <v>238130</v>
      </c>
      <c r="C248" s="2" t="s">
        <v>185</v>
      </c>
    </row>
    <row r="249" spans="1:3" ht="17.649999999999999" x14ac:dyDescent="0.5">
      <c r="A249" s="19"/>
      <c r="B249" s="2">
        <v>23814</v>
      </c>
      <c r="C249" s="2" t="s">
        <v>186</v>
      </c>
    </row>
    <row r="250" spans="1:3" ht="17.649999999999999" x14ac:dyDescent="0.5">
      <c r="A250" s="19"/>
      <c r="B250" s="2">
        <v>238140</v>
      </c>
      <c r="C250" s="2" t="s">
        <v>186</v>
      </c>
    </row>
    <row r="251" spans="1:3" ht="17.649999999999999" x14ac:dyDescent="0.5">
      <c r="A251" s="19"/>
      <c r="B251" s="2">
        <v>23815</v>
      </c>
      <c r="C251" s="2" t="s">
        <v>187</v>
      </c>
    </row>
    <row r="252" spans="1:3" ht="17.649999999999999" x14ac:dyDescent="0.5">
      <c r="A252" s="19"/>
      <c r="B252" s="2">
        <v>238150</v>
      </c>
      <c r="C252" s="2" t="s">
        <v>187</v>
      </c>
    </row>
    <row r="253" spans="1:3" ht="17.649999999999999" x14ac:dyDescent="0.5">
      <c r="A253" s="19"/>
      <c r="B253" s="2">
        <v>23816</v>
      </c>
      <c r="C253" s="2" t="s">
        <v>188</v>
      </c>
    </row>
    <row r="254" spans="1:3" ht="17.649999999999999" x14ac:dyDescent="0.5">
      <c r="A254" s="19"/>
      <c r="B254" s="2">
        <v>238160</v>
      </c>
      <c r="C254" s="2" t="s">
        <v>188</v>
      </c>
    </row>
    <row r="255" spans="1:3" ht="17.649999999999999" x14ac:dyDescent="0.5">
      <c r="A255" s="19"/>
      <c r="B255" s="2">
        <v>23817</v>
      </c>
      <c r="C255" s="2" t="s">
        <v>189</v>
      </c>
    </row>
    <row r="256" spans="1:3" ht="17.649999999999999" x14ac:dyDescent="0.5">
      <c r="A256" s="19"/>
      <c r="B256" s="2">
        <v>238170</v>
      </c>
      <c r="C256" s="2" t="s">
        <v>189</v>
      </c>
    </row>
    <row r="257" spans="1:3" ht="17.649999999999999" x14ac:dyDescent="0.5">
      <c r="A257" s="19"/>
      <c r="B257" s="2">
        <v>23819</v>
      </c>
      <c r="C257" s="2" t="s">
        <v>190</v>
      </c>
    </row>
    <row r="258" spans="1:3" ht="17.649999999999999" x14ac:dyDescent="0.5">
      <c r="A258" s="19" t="s">
        <v>141</v>
      </c>
      <c r="B258" s="2">
        <v>238190</v>
      </c>
      <c r="C258" s="2" t="s">
        <v>190</v>
      </c>
    </row>
    <row r="259" spans="1:3" ht="17.649999999999999" x14ac:dyDescent="0.5">
      <c r="A259" s="19"/>
      <c r="B259" s="6">
        <v>2382</v>
      </c>
      <c r="C259" s="6" t="s">
        <v>1472</v>
      </c>
    </row>
    <row r="260" spans="1:3" ht="17.649999999999999" x14ac:dyDescent="0.5">
      <c r="A260" s="19"/>
      <c r="B260" s="2">
        <v>23821</v>
      </c>
      <c r="C260" s="23" t="s">
        <v>1008</v>
      </c>
    </row>
    <row r="261" spans="1:3" ht="17.649999999999999" x14ac:dyDescent="0.5">
      <c r="A261" s="19"/>
      <c r="B261" s="2">
        <v>238210</v>
      </c>
      <c r="C261" s="23" t="s">
        <v>1778</v>
      </c>
    </row>
    <row r="262" spans="1:3" ht="17.649999999999999" x14ac:dyDescent="0.5">
      <c r="A262" s="19"/>
      <c r="B262" s="2">
        <v>23822</v>
      </c>
      <c r="C262" s="23" t="s">
        <v>1009</v>
      </c>
    </row>
    <row r="263" spans="1:3" ht="17.649999999999999" x14ac:dyDescent="0.5">
      <c r="A263" s="19"/>
      <c r="B263" s="2">
        <v>238220</v>
      </c>
      <c r="C263" s="2" t="s">
        <v>25</v>
      </c>
    </row>
    <row r="264" spans="1:3" ht="17.649999999999999" x14ac:dyDescent="0.5">
      <c r="A264" s="19"/>
      <c r="B264" s="2">
        <v>23829</v>
      </c>
      <c r="C264" s="23" t="s">
        <v>1010</v>
      </c>
    </row>
    <row r="265" spans="1:3" ht="17.649999999999999" x14ac:dyDescent="0.5">
      <c r="A265" s="19"/>
      <c r="B265" s="2">
        <v>238290</v>
      </c>
      <c r="C265" s="2" t="s">
        <v>26</v>
      </c>
    </row>
    <row r="266" spans="1:3" ht="17.649999999999999" x14ac:dyDescent="0.5">
      <c r="A266" s="19"/>
      <c r="B266" s="6">
        <v>2383</v>
      </c>
      <c r="C266" s="6" t="s">
        <v>1473</v>
      </c>
    </row>
    <row r="267" spans="1:3" ht="17.649999999999999" x14ac:dyDescent="0.5">
      <c r="A267" s="19"/>
      <c r="B267" s="2">
        <v>23831</v>
      </c>
      <c r="C267" s="23" t="s">
        <v>1011</v>
      </c>
    </row>
    <row r="268" spans="1:3" ht="17.649999999999999" x14ac:dyDescent="0.5">
      <c r="A268" s="19" t="s">
        <v>141</v>
      </c>
      <c r="B268" s="2">
        <v>238310</v>
      </c>
      <c r="C268" s="2" t="s">
        <v>27</v>
      </c>
    </row>
    <row r="269" spans="1:3" ht="17.649999999999999" x14ac:dyDescent="0.5">
      <c r="A269" s="19"/>
      <c r="B269" s="2">
        <v>23832</v>
      </c>
      <c r="C269" s="23" t="s">
        <v>1012</v>
      </c>
    </row>
    <row r="270" spans="1:3" ht="17.649999999999999" x14ac:dyDescent="0.5">
      <c r="A270" s="19"/>
      <c r="B270" s="2">
        <v>238320</v>
      </c>
      <c r="C270" s="23" t="s">
        <v>1779</v>
      </c>
    </row>
    <row r="271" spans="1:3" ht="17.649999999999999" x14ac:dyDescent="0.5">
      <c r="A271" s="19"/>
      <c r="B271" s="2">
        <v>23833</v>
      </c>
      <c r="C271" s="23" t="s">
        <v>1013</v>
      </c>
    </row>
    <row r="272" spans="1:3" ht="17.649999999999999" x14ac:dyDescent="0.5">
      <c r="A272" s="19" t="s">
        <v>141</v>
      </c>
      <c r="B272" s="2">
        <v>238330</v>
      </c>
      <c r="C272" s="23" t="s">
        <v>1780</v>
      </c>
    </row>
    <row r="273" spans="1:3" ht="17.649999999999999" x14ac:dyDescent="0.5">
      <c r="A273" s="19"/>
      <c r="B273" s="2">
        <v>23834</v>
      </c>
      <c r="C273" s="23" t="s">
        <v>1014</v>
      </c>
    </row>
    <row r="274" spans="1:3" ht="17.649999999999999" x14ac:dyDescent="0.5">
      <c r="A274" s="19"/>
      <c r="B274" s="2">
        <v>238340</v>
      </c>
      <c r="C274" s="23" t="s">
        <v>1781</v>
      </c>
    </row>
    <row r="275" spans="1:3" ht="17.649999999999999" x14ac:dyDescent="0.5">
      <c r="A275" s="19"/>
      <c r="B275" s="2">
        <v>23835</v>
      </c>
      <c r="C275" s="23" t="s">
        <v>1015</v>
      </c>
    </row>
    <row r="276" spans="1:3" ht="17.649999999999999" x14ac:dyDescent="0.5">
      <c r="A276" s="19"/>
      <c r="B276" s="2">
        <v>238350</v>
      </c>
      <c r="C276" s="23" t="s">
        <v>1782</v>
      </c>
    </row>
    <row r="277" spans="1:3" ht="17.649999999999999" x14ac:dyDescent="0.5">
      <c r="A277" s="19"/>
      <c r="B277" s="2">
        <v>23839</v>
      </c>
      <c r="C277" s="23" t="s">
        <v>1016</v>
      </c>
    </row>
    <row r="278" spans="1:3" ht="17.649999999999999" x14ac:dyDescent="0.5">
      <c r="A278" s="19"/>
      <c r="B278" s="2">
        <v>238390</v>
      </c>
      <c r="C278" s="23" t="s">
        <v>1783</v>
      </c>
    </row>
    <row r="279" spans="1:3" ht="17.649999999999999" x14ac:dyDescent="0.5">
      <c r="A279" s="19"/>
      <c r="B279" s="6">
        <v>2389</v>
      </c>
      <c r="C279" s="6" t="s">
        <v>1474</v>
      </c>
    </row>
    <row r="280" spans="1:3" ht="17.649999999999999" x14ac:dyDescent="0.5">
      <c r="A280" s="19"/>
      <c r="B280" s="2">
        <v>23891</v>
      </c>
      <c r="C280" s="23" t="s">
        <v>1017</v>
      </c>
    </row>
    <row r="281" spans="1:3" ht="17.649999999999999" x14ac:dyDescent="0.5">
      <c r="A281" s="19"/>
      <c r="B281" s="2">
        <v>238910</v>
      </c>
      <c r="C281" s="23" t="s">
        <v>1784</v>
      </c>
    </row>
    <row r="282" spans="1:3" ht="17.649999999999999" x14ac:dyDescent="0.5">
      <c r="A282" s="19"/>
      <c r="B282" s="2">
        <v>23899</v>
      </c>
      <c r="C282" s="23" t="s">
        <v>1018</v>
      </c>
    </row>
    <row r="283" spans="1:3" ht="17.649999999999999" x14ac:dyDescent="0.5">
      <c r="A283" s="19"/>
      <c r="B283" s="2">
        <v>238990</v>
      </c>
      <c r="C283" s="23" t="s">
        <v>1785</v>
      </c>
    </row>
    <row r="284" spans="1:3" ht="17.649999999999999" x14ac:dyDescent="0.5">
      <c r="A284" s="19"/>
      <c r="B284" s="2"/>
      <c r="C284" s="2"/>
    </row>
    <row r="285" spans="1:3" ht="20.25" x14ac:dyDescent="0.35">
      <c r="A285" s="11"/>
      <c r="B285" s="14" t="s">
        <v>145</v>
      </c>
      <c r="C285" s="14" t="s">
        <v>1052</v>
      </c>
    </row>
    <row r="286" spans="1:3" ht="17.649999999999999" x14ac:dyDescent="0.5">
      <c r="A286" s="19"/>
      <c r="B286" s="5">
        <v>311</v>
      </c>
      <c r="C286" s="5" t="s">
        <v>1475</v>
      </c>
    </row>
    <row r="287" spans="1:3" ht="17.649999999999999" x14ac:dyDescent="0.5">
      <c r="A287" s="19"/>
      <c r="B287" s="6">
        <v>3111</v>
      </c>
      <c r="C287" s="6" t="s">
        <v>1476</v>
      </c>
    </row>
    <row r="288" spans="1:3" ht="17.649999999999999" x14ac:dyDescent="0.5">
      <c r="A288" s="19"/>
      <c r="B288" s="2">
        <v>31111</v>
      </c>
      <c r="C288" s="23" t="s">
        <v>1019</v>
      </c>
    </row>
    <row r="289" spans="1:3" ht="17.649999999999999" x14ac:dyDescent="0.5">
      <c r="A289" s="19"/>
      <c r="B289" s="2">
        <v>311111</v>
      </c>
      <c r="C289" s="2" t="s">
        <v>191</v>
      </c>
    </row>
    <row r="290" spans="1:3" ht="17.649999999999999" x14ac:dyDescent="0.5">
      <c r="A290" s="19"/>
      <c r="B290" s="2">
        <v>311119</v>
      </c>
      <c r="C290" s="2" t="s">
        <v>192</v>
      </c>
    </row>
    <row r="291" spans="1:3" ht="17.649999999999999" x14ac:dyDescent="0.5">
      <c r="A291" s="19"/>
      <c r="B291" s="6">
        <v>3112</v>
      </c>
      <c r="C291" s="6" t="s">
        <v>1477</v>
      </c>
    </row>
    <row r="292" spans="1:3" ht="17.649999999999999" x14ac:dyDescent="0.5">
      <c r="A292" s="19"/>
      <c r="B292" s="2">
        <v>31121</v>
      </c>
      <c r="C292" s="23" t="s">
        <v>1020</v>
      </c>
    </row>
    <row r="293" spans="1:3" ht="17.649999999999999" x14ac:dyDescent="0.5">
      <c r="A293" s="19"/>
      <c r="B293" s="2">
        <v>311211</v>
      </c>
      <c r="C293" s="2" t="s">
        <v>193</v>
      </c>
    </row>
    <row r="294" spans="1:3" ht="17.649999999999999" x14ac:dyDescent="0.5">
      <c r="A294" s="19"/>
      <c r="B294" s="2">
        <v>311212</v>
      </c>
      <c r="C294" s="2" t="s">
        <v>539</v>
      </c>
    </row>
    <row r="295" spans="1:3" ht="17.649999999999999" x14ac:dyDescent="0.5">
      <c r="A295" s="19"/>
      <c r="B295" s="2">
        <v>311213</v>
      </c>
      <c r="C295" s="2" t="s">
        <v>540</v>
      </c>
    </row>
    <row r="296" spans="1:3" ht="17.649999999999999" x14ac:dyDescent="0.5">
      <c r="A296" s="19"/>
      <c r="B296" s="2">
        <v>31122</v>
      </c>
      <c r="C296" s="23" t="s">
        <v>1021</v>
      </c>
    </row>
    <row r="297" spans="1:3" ht="17.649999999999999" x14ac:dyDescent="0.5">
      <c r="A297" s="19"/>
      <c r="B297" s="2">
        <v>311221</v>
      </c>
      <c r="C297" s="2" t="s">
        <v>194</v>
      </c>
    </row>
    <row r="298" spans="1:3" ht="17.649999999999999" x14ac:dyDescent="0.5">
      <c r="A298" s="19" t="s">
        <v>139</v>
      </c>
      <c r="B298" s="2">
        <v>311224</v>
      </c>
      <c r="C298" s="23" t="s">
        <v>948</v>
      </c>
    </row>
    <row r="299" spans="1:3" ht="17.649999999999999" x14ac:dyDescent="0.5">
      <c r="A299" s="19"/>
      <c r="B299" s="2">
        <v>311225</v>
      </c>
      <c r="C299" s="2" t="s">
        <v>195</v>
      </c>
    </row>
    <row r="300" spans="1:3" ht="17.649999999999999" x14ac:dyDescent="0.5">
      <c r="A300" s="19"/>
      <c r="B300" s="2">
        <v>31123</v>
      </c>
      <c r="C300" s="23" t="s">
        <v>1022</v>
      </c>
    </row>
    <row r="301" spans="1:3" ht="17.649999999999999" x14ac:dyDescent="0.5">
      <c r="A301" s="19"/>
      <c r="B301" s="2">
        <v>311230</v>
      </c>
      <c r="C301" s="23" t="s">
        <v>1786</v>
      </c>
    </row>
    <row r="302" spans="1:3" ht="17.649999999999999" x14ac:dyDescent="0.5">
      <c r="A302" s="19"/>
      <c r="B302" s="6">
        <v>3113</v>
      </c>
      <c r="C302" s="6" t="s">
        <v>1478</v>
      </c>
    </row>
    <row r="303" spans="1:3" ht="17.649999999999999" x14ac:dyDescent="0.5">
      <c r="A303" s="19"/>
      <c r="B303" s="2">
        <v>31131</v>
      </c>
      <c r="C303" s="23" t="s">
        <v>1023</v>
      </c>
    </row>
    <row r="304" spans="1:3" ht="17.649999999999999" x14ac:dyDescent="0.5">
      <c r="A304" s="19"/>
      <c r="B304" s="2">
        <v>311313</v>
      </c>
      <c r="C304" s="2" t="s">
        <v>541</v>
      </c>
    </row>
    <row r="305" spans="1:3" ht="17.649999999999999" x14ac:dyDescent="0.5">
      <c r="A305" s="19" t="s">
        <v>139</v>
      </c>
      <c r="B305" s="2">
        <v>311314</v>
      </c>
      <c r="C305" s="2" t="s">
        <v>28</v>
      </c>
    </row>
    <row r="306" spans="1:3" ht="17.649999999999999" x14ac:dyDescent="0.5">
      <c r="A306" s="19"/>
      <c r="B306" s="2">
        <v>31134</v>
      </c>
      <c r="C306" s="23" t="s">
        <v>1024</v>
      </c>
    </row>
    <row r="307" spans="1:3" ht="17.649999999999999" x14ac:dyDescent="0.5">
      <c r="A307" s="19"/>
      <c r="B307" s="2">
        <v>311340</v>
      </c>
      <c r="C307" s="23" t="s">
        <v>1787</v>
      </c>
    </row>
    <row r="308" spans="1:3" ht="17.649999999999999" x14ac:dyDescent="0.5">
      <c r="A308" s="19" t="s">
        <v>139</v>
      </c>
      <c r="B308" s="2">
        <v>31135</v>
      </c>
      <c r="C308" s="23" t="s">
        <v>1968</v>
      </c>
    </row>
    <row r="309" spans="1:3" ht="17.649999999999999" x14ac:dyDescent="0.5">
      <c r="A309" s="19" t="s">
        <v>139</v>
      </c>
      <c r="B309" s="2">
        <v>311351</v>
      </c>
      <c r="C309" s="23" t="s">
        <v>1969</v>
      </c>
    </row>
    <row r="310" spans="1:3" ht="17.649999999999999" x14ac:dyDescent="0.5">
      <c r="A310" s="19" t="s">
        <v>139</v>
      </c>
      <c r="B310" s="2">
        <v>311352</v>
      </c>
      <c r="C310" s="2" t="s">
        <v>29</v>
      </c>
    </row>
    <row r="311" spans="1:3" ht="17.649999999999999" x14ac:dyDescent="0.5">
      <c r="A311" s="19"/>
      <c r="B311" s="6">
        <v>3114</v>
      </c>
      <c r="C311" s="6" t="s">
        <v>1479</v>
      </c>
    </row>
    <row r="312" spans="1:3" ht="17.649999999999999" x14ac:dyDescent="0.5">
      <c r="A312" s="19"/>
      <c r="B312" s="2">
        <v>31141</v>
      </c>
      <c r="C312" s="23" t="s">
        <v>1025</v>
      </c>
    </row>
    <row r="313" spans="1:3" ht="17.649999999999999" x14ac:dyDescent="0.5">
      <c r="A313" s="19"/>
      <c r="B313" s="2">
        <v>311411</v>
      </c>
      <c r="C313" s="2" t="s">
        <v>435</v>
      </c>
    </row>
    <row r="314" spans="1:3" ht="17.649999999999999" x14ac:dyDescent="0.5">
      <c r="A314" s="19"/>
      <c r="B314" s="2">
        <v>311412</v>
      </c>
      <c r="C314" s="2" t="s">
        <v>436</v>
      </c>
    </row>
    <row r="315" spans="1:3" ht="17.649999999999999" x14ac:dyDescent="0.5">
      <c r="A315" s="19"/>
      <c r="B315" s="2">
        <v>31142</v>
      </c>
      <c r="C315" s="23" t="s">
        <v>1026</v>
      </c>
    </row>
    <row r="316" spans="1:3" ht="17.649999999999999" x14ac:dyDescent="0.5">
      <c r="A316" s="19"/>
      <c r="B316" s="2">
        <v>311421</v>
      </c>
      <c r="C316" s="2" t="s">
        <v>542</v>
      </c>
    </row>
    <row r="317" spans="1:3" ht="17.649999999999999" x14ac:dyDescent="0.5">
      <c r="A317" s="19"/>
      <c r="B317" s="2">
        <v>311422</v>
      </c>
      <c r="C317" s="2" t="s">
        <v>543</v>
      </c>
    </row>
    <row r="318" spans="1:3" ht="17.649999999999999" x14ac:dyDescent="0.5">
      <c r="A318" s="19"/>
      <c r="B318" s="2">
        <v>311423</v>
      </c>
      <c r="C318" s="2" t="s">
        <v>544</v>
      </c>
    </row>
    <row r="319" spans="1:3" ht="17.649999999999999" x14ac:dyDescent="0.5">
      <c r="A319" s="19"/>
      <c r="B319" s="6">
        <v>3115</v>
      </c>
      <c r="C319" s="6" t="s">
        <v>1480</v>
      </c>
    </row>
    <row r="320" spans="1:3" ht="17.649999999999999" x14ac:dyDescent="0.5">
      <c r="A320" s="19"/>
      <c r="B320" s="2">
        <v>31151</v>
      </c>
      <c r="C320" s="23" t="s">
        <v>1027</v>
      </c>
    </row>
    <row r="321" spans="1:3" ht="17.649999999999999" x14ac:dyDescent="0.5">
      <c r="A321" s="19"/>
      <c r="B321" s="2">
        <v>311511</v>
      </c>
      <c r="C321" s="2" t="s">
        <v>196</v>
      </c>
    </row>
    <row r="322" spans="1:3" ht="17.649999999999999" x14ac:dyDescent="0.5">
      <c r="A322" s="19"/>
      <c r="B322" s="2">
        <v>311512</v>
      </c>
      <c r="C322" s="2" t="s">
        <v>545</v>
      </c>
    </row>
    <row r="323" spans="1:3" ht="17.649999999999999" x14ac:dyDescent="0.5">
      <c r="A323" s="19"/>
      <c r="B323" s="2">
        <v>311513</v>
      </c>
      <c r="C323" s="2" t="s">
        <v>546</v>
      </c>
    </row>
    <row r="324" spans="1:3" ht="17.649999999999999" x14ac:dyDescent="0.5">
      <c r="A324" s="19"/>
      <c r="B324" s="2">
        <v>311514</v>
      </c>
      <c r="C324" s="2" t="s">
        <v>547</v>
      </c>
    </row>
    <row r="325" spans="1:3" ht="17.649999999999999" x14ac:dyDescent="0.5">
      <c r="A325" s="19"/>
      <c r="B325" s="2">
        <v>31152</v>
      </c>
      <c r="C325" s="23" t="s">
        <v>1028</v>
      </c>
    </row>
    <row r="326" spans="1:3" ht="17.649999999999999" x14ac:dyDescent="0.5">
      <c r="A326" s="19"/>
      <c r="B326" s="2">
        <v>311520</v>
      </c>
      <c r="C326" s="23" t="s">
        <v>1788</v>
      </c>
    </row>
    <row r="327" spans="1:3" ht="17.649999999999999" x14ac:dyDescent="0.5">
      <c r="A327" s="19"/>
      <c r="B327" s="6">
        <v>3116</v>
      </c>
      <c r="C327" s="6" t="s">
        <v>1481</v>
      </c>
    </row>
    <row r="328" spans="1:3" ht="17.649999999999999" x14ac:dyDescent="0.5">
      <c r="A328" s="19"/>
      <c r="B328" s="2">
        <v>31161</v>
      </c>
      <c r="C328" s="23" t="s">
        <v>1029</v>
      </c>
    </row>
    <row r="329" spans="1:3" ht="17.649999999999999" x14ac:dyDescent="0.5">
      <c r="A329" s="19"/>
      <c r="B329" s="2">
        <v>311611</v>
      </c>
      <c r="C329" s="2" t="s">
        <v>197</v>
      </c>
    </row>
    <row r="330" spans="1:3" ht="17.649999999999999" x14ac:dyDescent="0.5">
      <c r="A330" s="19"/>
      <c r="B330" s="2">
        <v>311612</v>
      </c>
      <c r="C330" s="2" t="s">
        <v>548</v>
      </c>
    </row>
    <row r="331" spans="1:3" ht="17.649999999999999" x14ac:dyDescent="0.5">
      <c r="A331" s="19"/>
      <c r="B331" s="2">
        <v>311613</v>
      </c>
      <c r="C331" s="2" t="s">
        <v>549</v>
      </c>
    </row>
    <row r="332" spans="1:3" ht="17.649999999999999" x14ac:dyDescent="0.5">
      <c r="A332" s="19"/>
      <c r="B332" s="2">
        <v>311615</v>
      </c>
      <c r="C332" s="2" t="s">
        <v>198</v>
      </c>
    </row>
    <row r="333" spans="1:3" ht="17.649999999999999" x14ac:dyDescent="0.5">
      <c r="A333" s="19"/>
      <c r="B333" s="6">
        <v>3117</v>
      </c>
      <c r="C333" s="6" t="s">
        <v>1482</v>
      </c>
    </row>
    <row r="334" spans="1:3" ht="17.649999999999999" x14ac:dyDescent="0.5">
      <c r="A334" s="19"/>
      <c r="B334" s="2">
        <v>31171</v>
      </c>
      <c r="C334" s="23" t="s">
        <v>1030</v>
      </c>
    </row>
    <row r="335" spans="1:3" ht="17.649999999999999" x14ac:dyDescent="0.5">
      <c r="A335" s="19" t="s">
        <v>139</v>
      </c>
      <c r="B335" s="2">
        <v>311710</v>
      </c>
      <c r="C335" s="23" t="s">
        <v>1789</v>
      </c>
    </row>
    <row r="336" spans="1:3" ht="17.649999999999999" x14ac:dyDescent="0.5">
      <c r="A336" s="19"/>
      <c r="B336" s="6">
        <v>3118</v>
      </c>
      <c r="C336" s="6" t="s">
        <v>1483</v>
      </c>
    </row>
    <row r="337" spans="1:3" ht="17.649999999999999" x14ac:dyDescent="0.5">
      <c r="A337" s="19"/>
      <c r="B337" s="2">
        <v>31181</v>
      </c>
      <c r="C337" s="23" t="s">
        <v>1031</v>
      </c>
    </row>
    <row r="338" spans="1:3" ht="17.649999999999999" x14ac:dyDescent="0.5">
      <c r="A338" s="19"/>
      <c r="B338" s="2">
        <v>311811</v>
      </c>
      <c r="C338" s="2" t="s">
        <v>199</v>
      </c>
    </row>
    <row r="339" spans="1:3" ht="17.649999999999999" x14ac:dyDescent="0.5">
      <c r="A339" s="19"/>
      <c r="B339" s="2">
        <v>311812</v>
      </c>
      <c r="C339" s="2" t="s">
        <v>550</v>
      </c>
    </row>
    <row r="340" spans="1:3" ht="17.649999999999999" x14ac:dyDescent="0.5">
      <c r="A340" s="19"/>
      <c r="B340" s="2">
        <v>311813</v>
      </c>
      <c r="C340" s="2" t="s">
        <v>551</v>
      </c>
    </row>
    <row r="341" spans="1:3" ht="17.649999999999999" x14ac:dyDescent="0.5">
      <c r="A341" s="19"/>
      <c r="B341" s="2">
        <v>31182</v>
      </c>
      <c r="C341" s="23" t="s">
        <v>1032</v>
      </c>
    </row>
    <row r="342" spans="1:3" ht="17.649999999999999" x14ac:dyDescent="0.5">
      <c r="A342" s="19"/>
      <c r="B342" s="2">
        <v>311821</v>
      </c>
      <c r="C342" s="2" t="s">
        <v>200</v>
      </c>
    </row>
    <row r="343" spans="1:3" ht="17.649999999999999" x14ac:dyDescent="0.5">
      <c r="A343" s="19" t="s">
        <v>139</v>
      </c>
      <c r="B343" s="2">
        <v>311824</v>
      </c>
      <c r="C343" s="2" t="s">
        <v>201</v>
      </c>
    </row>
    <row r="344" spans="1:3" ht="17.649999999999999" x14ac:dyDescent="0.5">
      <c r="A344" s="19"/>
      <c r="B344" s="2">
        <v>31183</v>
      </c>
      <c r="C344" s="23" t="s">
        <v>1033</v>
      </c>
    </row>
    <row r="345" spans="1:3" ht="17.649999999999999" x14ac:dyDescent="0.5">
      <c r="A345" s="19"/>
      <c r="B345" s="2">
        <v>311830</v>
      </c>
      <c r="C345" s="23" t="s">
        <v>1790</v>
      </c>
    </row>
    <row r="346" spans="1:3" ht="17.649999999999999" x14ac:dyDescent="0.5">
      <c r="A346" s="19"/>
      <c r="B346" s="6">
        <v>3119</v>
      </c>
      <c r="C346" s="6" t="s">
        <v>1484</v>
      </c>
    </row>
    <row r="347" spans="1:3" ht="17.649999999999999" x14ac:dyDescent="0.5">
      <c r="A347" s="19"/>
      <c r="B347" s="2">
        <v>31191</v>
      </c>
      <c r="C347" s="23" t="s">
        <v>1034</v>
      </c>
    </row>
    <row r="348" spans="1:3" ht="17.649999999999999" x14ac:dyDescent="0.5">
      <c r="A348" s="19"/>
      <c r="B348" s="2">
        <v>311911</v>
      </c>
      <c r="C348" s="2" t="s">
        <v>202</v>
      </c>
    </row>
    <row r="349" spans="1:3" ht="17.649999999999999" x14ac:dyDescent="0.5">
      <c r="A349" s="19"/>
      <c r="B349" s="2">
        <v>311919</v>
      </c>
      <c r="C349" s="2" t="s">
        <v>203</v>
      </c>
    </row>
    <row r="350" spans="1:3" ht="17.649999999999999" x14ac:dyDescent="0.5">
      <c r="A350" s="19"/>
      <c r="B350" s="2">
        <v>31192</v>
      </c>
      <c r="C350" s="23" t="s">
        <v>1035</v>
      </c>
    </row>
    <row r="351" spans="1:3" ht="17.649999999999999" x14ac:dyDescent="0.5">
      <c r="A351" s="19"/>
      <c r="B351" s="2">
        <v>311920</v>
      </c>
      <c r="C351" s="2" t="s">
        <v>30</v>
      </c>
    </row>
    <row r="352" spans="1:3" ht="17.649999999999999" x14ac:dyDescent="0.5">
      <c r="A352" s="19"/>
      <c r="B352" s="2">
        <v>31193</v>
      </c>
      <c r="C352" s="23" t="s">
        <v>1036</v>
      </c>
    </row>
    <row r="353" spans="1:3" ht="17.649999999999999" x14ac:dyDescent="0.5">
      <c r="A353" s="19"/>
      <c r="B353" s="2">
        <v>311930</v>
      </c>
      <c r="C353" s="23" t="s">
        <v>1791</v>
      </c>
    </row>
    <row r="354" spans="1:3" ht="17.649999999999999" x14ac:dyDescent="0.5">
      <c r="A354" s="19"/>
      <c r="B354" s="2">
        <v>31194</v>
      </c>
      <c r="C354" s="23" t="s">
        <v>1037</v>
      </c>
    </row>
    <row r="355" spans="1:3" ht="17.649999999999999" x14ac:dyDescent="0.5">
      <c r="A355" s="19"/>
      <c r="B355" s="2">
        <v>311941</v>
      </c>
      <c r="C355" s="2" t="s">
        <v>552</v>
      </c>
    </row>
    <row r="356" spans="1:3" ht="17.649999999999999" x14ac:dyDescent="0.5">
      <c r="A356" s="19"/>
      <c r="B356" s="2">
        <v>311942</v>
      </c>
      <c r="C356" s="2" t="s">
        <v>553</v>
      </c>
    </row>
    <row r="357" spans="1:3" ht="17.649999999999999" x14ac:dyDescent="0.5">
      <c r="A357" s="19"/>
      <c r="B357" s="2">
        <v>31199</v>
      </c>
      <c r="C357" s="23" t="s">
        <v>1038</v>
      </c>
    </row>
    <row r="358" spans="1:3" ht="17.649999999999999" x14ac:dyDescent="0.5">
      <c r="A358" s="19"/>
      <c r="B358" s="2">
        <v>311991</v>
      </c>
      <c r="C358" s="2" t="s">
        <v>554</v>
      </c>
    </row>
    <row r="359" spans="1:3" ht="17.649999999999999" x14ac:dyDescent="0.5">
      <c r="A359" s="19"/>
      <c r="B359" s="2">
        <v>311999</v>
      </c>
      <c r="C359" s="23" t="s">
        <v>939</v>
      </c>
    </row>
    <row r="360" spans="1:3" ht="17.649999999999999" x14ac:dyDescent="0.5">
      <c r="A360" s="19"/>
      <c r="B360" s="5">
        <v>312</v>
      </c>
      <c r="C360" s="5" t="s">
        <v>1485</v>
      </c>
    </row>
    <row r="361" spans="1:3" ht="17.649999999999999" x14ac:dyDescent="0.5">
      <c r="A361" s="19"/>
      <c r="B361" s="6">
        <v>3121</v>
      </c>
      <c r="C361" s="6" t="s">
        <v>1486</v>
      </c>
    </row>
    <row r="362" spans="1:3" ht="17.649999999999999" x14ac:dyDescent="0.5">
      <c r="A362" s="19"/>
      <c r="B362" s="2">
        <v>31211</v>
      </c>
      <c r="C362" s="23" t="s">
        <v>1039</v>
      </c>
    </row>
    <row r="363" spans="1:3" ht="17.649999999999999" x14ac:dyDescent="0.5">
      <c r="A363" s="19"/>
      <c r="B363" s="2">
        <v>312111</v>
      </c>
      <c r="C363" s="2" t="s">
        <v>437</v>
      </c>
    </row>
    <row r="364" spans="1:3" ht="17.649999999999999" x14ac:dyDescent="0.5">
      <c r="A364" s="19"/>
      <c r="B364" s="2">
        <v>312112</v>
      </c>
      <c r="C364" s="2" t="s">
        <v>438</v>
      </c>
    </row>
    <row r="365" spans="1:3" ht="17.649999999999999" x14ac:dyDescent="0.5">
      <c r="A365" s="19"/>
      <c r="B365" s="2">
        <v>312113</v>
      </c>
      <c r="C365" s="2" t="s">
        <v>439</v>
      </c>
    </row>
    <row r="366" spans="1:3" ht="17.649999999999999" x14ac:dyDescent="0.5">
      <c r="A366" s="19"/>
      <c r="B366" s="2">
        <v>31212</v>
      </c>
      <c r="C366" s="23" t="s">
        <v>1040</v>
      </c>
    </row>
    <row r="367" spans="1:3" ht="17.649999999999999" x14ac:dyDescent="0.5">
      <c r="A367" s="19"/>
      <c r="B367" s="2">
        <v>312120</v>
      </c>
      <c r="C367" s="23" t="s">
        <v>1792</v>
      </c>
    </row>
    <row r="368" spans="1:3" ht="17.649999999999999" x14ac:dyDescent="0.5">
      <c r="A368" s="19"/>
      <c r="B368" s="2">
        <v>31213</v>
      </c>
      <c r="C368" s="23" t="s">
        <v>1041</v>
      </c>
    </row>
    <row r="369" spans="1:3" ht="17.649999999999999" x14ac:dyDescent="0.5">
      <c r="A369" s="19"/>
      <c r="B369" s="2">
        <v>312130</v>
      </c>
      <c r="C369" s="2" t="s">
        <v>31</v>
      </c>
    </row>
    <row r="370" spans="1:3" ht="17.649999999999999" x14ac:dyDescent="0.5">
      <c r="A370" s="19"/>
      <c r="B370" s="2">
        <v>31214</v>
      </c>
      <c r="C370" s="23" t="s">
        <v>1042</v>
      </c>
    </row>
    <row r="371" spans="1:3" ht="17.649999999999999" x14ac:dyDescent="0.5">
      <c r="A371" s="19"/>
      <c r="B371" s="2">
        <v>312140</v>
      </c>
      <c r="C371" s="2" t="s">
        <v>32</v>
      </c>
    </row>
    <row r="372" spans="1:3" ht="17.649999999999999" x14ac:dyDescent="0.5">
      <c r="A372" s="19"/>
      <c r="B372" s="6">
        <v>3122</v>
      </c>
      <c r="C372" s="6" t="s">
        <v>1487</v>
      </c>
    </row>
    <row r="373" spans="1:3" ht="17.649999999999999" x14ac:dyDescent="0.5">
      <c r="A373" s="19" t="s">
        <v>139</v>
      </c>
      <c r="B373" s="2">
        <v>31223</v>
      </c>
      <c r="C373" s="23" t="s">
        <v>1732</v>
      </c>
    </row>
    <row r="374" spans="1:3" ht="17.649999999999999" x14ac:dyDescent="0.5">
      <c r="A374" s="19" t="s">
        <v>139</v>
      </c>
      <c r="B374" s="2">
        <v>312230</v>
      </c>
      <c r="C374" s="2" t="s">
        <v>33</v>
      </c>
    </row>
    <row r="375" spans="1:3" ht="17.649999999999999" x14ac:dyDescent="0.5">
      <c r="A375" s="19"/>
      <c r="B375" s="5">
        <v>313</v>
      </c>
      <c r="C375" s="5" t="s">
        <v>1488</v>
      </c>
    </row>
    <row r="376" spans="1:3" ht="17.649999999999999" x14ac:dyDescent="0.5">
      <c r="A376" s="19"/>
      <c r="B376" s="6">
        <v>3131</v>
      </c>
      <c r="C376" s="6" t="s">
        <v>1489</v>
      </c>
    </row>
    <row r="377" spans="1:3" ht="17.649999999999999" x14ac:dyDescent="0.5">
      <c r="A377" s="19"/>
      <c r="B377" s="2">
        <v>31311</v>
      </c>
      <c r="C377" s="23" t="s">
        <v>1043</v>
      </c>
    </row>
    <row r="378" spans="1:3" ht="17.649999999999999" x14ac:dyDescent="0.5">
      <c r="A378" s="19" t="s">
        <v>139</v>
      </c>
      <c r="B378" s="2">
        <v>313110</v>
      </c>
      <c r="C378" s="23" t="s">
        <v>34</v>
      </c>
    </row>
    <row r="379" spans="1:3" ht="17.649999999999999" x14ac:dyDescent="0.5">
      <c r="A379" s="19"/>
      <c r="B379" s="6">
        <v>3132</v>
      </c>
      <c r="C379" s="6" t="s">
        <v>1490</v>
      </c>
    </row>
    <row r="380" spans="1:3" ht="17.649999999999999" x14ac:dyDescent="0.5">
      <c r="A380" s="19"/>
      <c r="B380" s="2">
        <v>31321</v>
      </c>
      <c r="C380" s="23" t="s">
        <v>1044</v>
      </c>
    </row>
    <row r="381" spans="1:3" ht="17.649999999999999" x14ac:dyDescent="0.5">
      <c r="A381" s="19"/>
      <c r="B381" s="2">
        <v>313210</v>
      </c>
      <c r="C381" s="23" t="s">
        <v>1793</v>
      </c>
    </row>
    <row r="382" spans="1:3" ht="17.649999999999999" x14ac:dyDescent="0.5">
      <c r="A382" s="19"/>
      <c r="B382" s="2">
        <v>31322</v>
      </c>
      <c r="C382" s="23" t="s">
        <v>1045</v>
      </c>
    </row>
    <row r="383" spans="1:3" ht="17.649999999999999" x14ac:dyDescent="0.5">
      <c r="A383" s="19" t="s">
        <v>139</v>
      </c>
      <c r="B383" s="2">
        <v>313220</v>
      </c>
      <c r="C383" s="23" t="s">
        <v>1794</v>
      </c>
    </row>
    <row r="384" spans="1:3" ht="17.649999999999999" x14ac:dyDescent="0.5">
      <c r="A384" s="19"/>
      <c r="B384" s="2">
        <v>31323</v>
      </c>
      <c r="C384" s="23" t="s">
        <v>1046</v>
      </c>
    </row>
    <row r="385" spans="1:3" ht="17.649999999999999" x14ac:dyDescent="0.5">
      <c r="A385" s="19"/>
      <c r="B385" s="2">
        <v>313230</v>
      </c>
      <c r="C385" s="23" t="s">
        <v>1795</v>
      </c>
    </row>
    <row r="386" spans="1:3" ht="17.649999999999999" x14ac:dyDescent="0.5">
      <c r="A386" s="19"/>
      <c r="B386" s="2">
        <v>31324</v>
      </c>
      <c r="C386" s="23" t="s">
        <v>1047</v>
      </c>
    </row>
    <row r="387" spans="1:3" ht="17.649999999999999" x14ac:dyDescent="0.5">
      <c r="A387" s="19" t="s">
        <v>139</v>
      </c>
      <c r="B387" s="2">
        <v>313240</v>
      </c>
      <c r="C387" s="23" t="s">
        <v>1796</v>
      </c>
    </row>
    <row r="388" spans="1:3" ht="17.649999999999999" x14ac:dyDescent="0.5">
      <c r="A388" s="19"/>
      <c r="B388" s="6">
        <v>3133</v>
      </c>
      <c r="C388" s="6" t="s">
        <v>1048</v>
      </c>
    </row>
    <row r="389" spans="1:3" ht="17.649999999999999" x14ac:dyDescent="0.5">
      <c r="A389" s="19"/>
      <c r="B389" s="2">
        <v>31331</v>
      </c>
      <c r="C389" s="23" t="s">
        <v>1731</v>
      </c>
    </row>
    <row r="390" spans="1:3" ht="17.649999999999999" x14ac:dyDescent="0.5">
      <c r="A390" s="19" t="s">
        <v>139</v>
      </c>
      <c r="B390" s="2">
        <v>313310</v>
      </c>
      <c r="C390" s="23" t="s">
        <v>1733</v>
      </c>
    </row>
    <row r="391" spans="1:3" ht="17.649999999999999" x14ac:dyDescent="0.5">
      <c r="A391" s="19"/>
      <c r="B391" s="2">
        <v>31332</v>
      </c>
      <c r="C391" s="23" t="s">
        <v>1049</v>
      </c>
    </row>
    <row r="392" spans="1:3" ht="17.649999999999999" x14ac:dyDescent="0.5">
      <c r="A392" s="19"/>
      <c r="B392" s="2">
        <v>313320</v>
      </c>
      <c r="C392" s="23" t="s">
        <v>1797</v>
      </c>
    </row>
    <row r="393" spans="1:3" ht="17.649999999999999" x14ac:dyDescent="0.5">
      <c r="A393" s="19"/>
      <c r="B393" s="5">
        <v>314</v>
      </c>
      <c r="C393" s="5" t="s">
        <v>1491</v>
      </c>
    </row>
    <row r="394" spans="1:3" ht="17.649999999999999" x14ac:dyDescent="0.5">
      <c r="A394" s="19"/>
      <c r="B394" s="6">
        <v>3141</v>
      </c>
      <c r="C394" s="6" t="s">
        <v>1751</v>
      </c>
    </row>
    <row r="395" spans="1:3" ht="17.649999999999999" x14ac:dyDescent="0.5">
      <c r="A395" s="19"/>
      <c r="B395" s="2">
        <v>31411</v>
      </c>
      <c r="C395" s="23" t="s">
        <v>1053</v>
      </c>
    </row>
    <row r="396" spans="1:3" ht="17.649999999999999" x14ac:dyDescent="0.5">
      <c r="A396" s="19"/>
      <c r="B396" s="2">
        <v>314110</v>
      </c>
      <c r="C396" s="23" t="s">
        <v>1798</v>
      </c>
    </row>
    <row r="397" spans="1:3" ht="17.649999999999999" x14ac:dyDescent="0.5">
      <c r="A397" s="19"/>
      <c r="B397" s="2">
        <v>31412</v>
      </c>
      <c r="C397" s="23" t="s">
        <v>1054</v>
      </c>
    </row>
    <row r="398" spans="1:3" ht="17.649999999999999" x14ac:dyDescent="0.5">
      <c r="A398" s="19" t="s">
        <v>139</v>
      </c>
      <c r="B398" s="2">
        <v>314120</v>
      </c>
      <c r="C398" s="23" t="s">
        <v>1799</v>
      </c>
    </row>
    <row r="399" spans="1:3" ht="17.649999999999999" x14ac:dyDescent="0.5">
      <c r="A399" s="19"/>
      <c r="B399" s="6">
        <v>3149</v>
      </c>
      <c r="C399" s="6" t="s">
        <v>1492</v>
      </c>
    </row>
    <row r="400" spans="1:3" ht="17.649999999999999" x14ac:dyDescent="0.5">
      <c r="A400" s="19"/>
      <c r="B400" s="2">
        <v>31491</v>
      </c>
      <c r="C400" s="23" t="s">
        <v>1055</v>
      </c>
    </row>
    <row r="401" spans="1:3" ht="17.649999999999999" x14ac:dyDescent="0.5">
      <c r="A401" s="19" t="s">
        <v>139</v>
      </c>
      <c r="B401" s="2">
        <v>314910</v>
      </c>
      <c r="C401" s="2" t="s">
        <v>35</v>
      </c>
    </row>
    <row r="402" spans="1:3" ht="17.649999999999999" x14ac:dyDescent="0.5">
      <c r="A402" s="19"/>
      <c r="B402" s="2">
        <v>31499</v>
      </c>
      <c r="C402" s="23" t="s">
        <v>1056</v>
      </c>
    </row>
    <row r="403" spans="1:3" ht="17.649999999999999" x14ac:dyDescent="0.5">
      <c r="A403" s="19" t="s">
        <v>139</v>
      </c>
      <c r="B403" s="2">
        <v>314994</v>
      </c>
      <c r="C403" s="2" t="s">
        <v>555</v>
      </c>
    </row>
    <row r="404" spans="1:3" ht="17.649999999999999" x14ac:dyDescent="0.5">
      <c r="A404" s="19"/>
      <c r="B404" s="2">
        <v>314999</v>
      </c>
      <c r="C404" s="23" t="s">
        <v>556</v>
      </c>
    </row>
    <row r="405" spans="1:3" ht="17.649999999999999" x14ac:dyDescent="0.5">
      <c r="A405" s="19"/>
      <c r="B405" s="5">
        <v>315</v>
      </c>
      <c r="C405" s="5" t="s">
        <v>1493</v>
      </c>
    </row>
    <row r="406" spans="1:3" ht="17.649999999999999" x14ac:dyDescent="0.5">
      <c r="A406" s="19"/>
      <c r="B406" s="6">
        <v>3151</v>
      </c>
      <c r="C406" s="6" t="s">
        <v>1494</v>
      </c>
    </row>
    <row r="407" spans="1:3" ht="17.649999999999999" x14ac:dyDescent="0.5">
      <c r="A407" s="19"/>
      <c r="B407" s="2">
        <v>31511</v>
      </c>
      <c r="C407" s="23" t="s">
        <v>1057</v>
      </c>
    </row>
    <row r="408" spans="1:3" ht="17.649999999999999" x14ac:dyDescent="0.5">
      <c r="A408" s="19" t="s">
        <v>139</v>
      </c>
      <c r="B408" s="2">
        <v>315110</v>
      </c>
      <c r="C408" s="23" t="s">
        <v>1800</v>
      </c>
    </row>
    <row r="409" spans="1:3" ht="17.649999999999999" x14ac:dyDescent="0.5">
      <c r="A409" s="19"/>
      <c r="B409" s="2">
        <v>31519</v>
      </c>
      <c r="C409" s="23" t="s">
        <v>1058</v>
      </c>
    </row>
    <row r="410" spans="1:3" ht="17.649999999999999" x14ac:dyDescent="0.5">
      <c r="A410" s="19" t="s">
        <v>139</v>
      </c>
      <c r="B410" s="2">
        <v>315190</v>
      </c>
      <c r="C410" s="2" t="s">
        <v>36</v>
      </c>
    </row>
    <row r="411" spans="1:3" ht="17.649999999999999" x14ac:dyDescent="0.5">
      <c r="A411" s="19"/>
      <c r="B411" s="6">
        <v>3152</v>
      </c>
      <c r="C411" s="6" t="s">
        <v>1059</v>
      </c>
    </row>
    <row r="412" spans="1:3" ht="17.649999999999999" x14ac:dyDescent="0.5">
      <c r="A412" s="19"/>
      <c r="B412" s="2">
        <v>31521</v>
      </c>
      <c r="C412" s="2" t="s">
        <v>37</v>
      </c>
    </row>
    <row r="413" spans="1:3" ht="17.649999999999999" x14ac:dyDescent="0.5">
      <c r="A413" s="19" t="s">
        <v>139</v>
      </c>
      <c r="B413" s="2">
        <v>315210</v>
      </c>
      <c r="C413" s="2" t="s">
        <v>37</v>
      </c>
    </row>
    <row r="414" spans="1:3" ht="17.649999999999999" x14ac:dyDescent="0.5">
      <c r="A414" s="19"/>
      <c r="B414" s="2">
        <v>31522</v>
      </c>
      <c r="C414" s="2" t="s">
        <v>557</v>
      </c>
    </row>
    <row r="415" spans="1:3" ht="17.649999999999999" x14ac:dyDescent="0.5">
      <c r="A415" s="19" t="s">
        <v>139</v>
      </c>
      <c r="B415" s="2">
        <v>315220</v>
      </c>
      <c r="C415" s="2" t="s">
        <v>557</v>
      </c>
    </row>
    <row r="416" spans="1:3" ht="17.649999999999999" x14ac:dyDescent="0.5">
      <c r="A416" s="19" t="s">
        <v>139</v>
      </c>
      <c r="B416" s="2">
        <v>31524</v>
      </c>
      <c r="C416" s="2" t="s">
        <v>38</v>
      </c>
    </row>
    <row r="417" spans="1:3" ht="17.649999999999999" x14ac:dyDescent="0.5">
      <c r="A417" s="19" t="s">
        <v>139</v>
      </c>
      <c r="B417" s="2">
        <v>315240</v>
      </c>
      <c r="C417" s="2" t="s">
        <v>39</v>
      </c>
    </row>
    <row r="418" spans="1:3" ht="17.649999999999999" x14ac:dyDescent="0.5">
      <c r="A418" s="19" t="s">
        <v>139</v>
      </c>
      <c r="B418" s="2">
        <v>31528</v>
      </c>
      <c r="C418" s="2" t="s">
        <v>40</v>
      </c>
    </row>
    <row r="419" spans="1:3" ht="17.649999999999999" x14ac:dyDescent="0.5">
      <c r="A419" s="19" t="s">
        <v>139</v>
      </c>
      <c r="B419" s="2">
        <v>315280</v>
      </c>
      <c r="C419" s="2" t="s">
        <v>40</v>
      </c>
    </row>
    <row r="420" spans="1:3" ht="17.649999999999999" x14ac:dyDescent="0.5">
      <c r="A420" s="19"/>
      <c r="B420" s="6">
        <v>3159</v>
      </c>
      <c r="C420" s="6" t="s">
        <v>1739</v>
      </c>
    </row>
    <row r="421" spans="1:3" ht="17.649999999999999" x14ac:dyDescent="0.5">
      <c r="A421" s="19"/>
      <c r="B421" s="2">
        <v>31599</v>
      </c>
      <c r="C421" s="23" t="s">
        <v>1060</v>
      </c>
    </row>
    <row r="422" spans="1:3" ht="17.649999999999999" x14ac:dyDescent="0.5">
      <c r="A422" s="19" t="s">
        <v>139</v>
      </c>
      <c r="B422" s="2">
        <v>315990</v>
      </c>
      <c r="C422" s="2" t="s">
        <v>41</v>
      </c>
    </row>
    <row r="423" spans="1:3" ht="17.649999999999999" x14ac:dyDescent="0.5">
      <c r="A423" s="19"/>
      <c r="B423" s="5">
        <v>316</v>
      </c>
      <c r="C423" s="5" t="s">
        <v>1495</v>
      </c>
    </row>
    <row r="424" spans="1:3" ht="17.649999999999999" x14ac:dyDescent="0.5">
      <c r="A424" s="19"/>
      <c r="B424" s="6">
        <v>3161</v>
      </c>
      <c r="C424" s="6" t="s">
        <v>1496</v>
      </c>
    </row>
    <row r="425" spans="1:3" ht="17.649999999999999" x14ac:dyDescent="0.5">
      <c r="A425" s="19"/>
      <c r="B425" s="2">
        <v>31611</v>
      </c>
      <c r="C425" s="23" t="s">
        <v>1061</v>
      </c>
    </row>
    <row r="426" spans="1:3" ht="17.649999999999999" x14ac:dyDescent="0.5">
      <c r="A426" s="19"/>
      <c r="B426" s="2">
        <v>316110</v>
      </c>
      <c r="C426" s="23" t="s">
        <v>1801</v>
      </c>
    </row>
    <row r="427" spans="1:3" ht="17.649999999999999" x14ac:dyDescent="0.5">
      <c r="A427" s="19"/>
      <c r="B427" s="6">
        <v>3162</v>
      </c>
      <c r="C427" s="6" t="s">
        <v>1497</v>
      </c>
    </row>
    <row r="428" spans="1:3" ht="17.649999999999999" x14ac:dyDescent="0.5">
      <c r="A428" s="19"/>
      <c r="B428" s="2">
        <v>31621</v>
      </c>
      <c r="C428" s="23" t="s">
        <v>1062</v>
      </c>
    </row>
    <row r="429" spans="1:3" ht="17.649999999999999" x14ac:dyDescent="0.5">
      <c r="A429" s="19" t="s">
        <v>139</v>
      </c>
      <c r="B429" s="2">
        <v>316210</v>
      </c>
      <c r="C429" s="2" t="s">
        <v>42</v>
      </c>
    </row>
    <row r="430" spans="1:3" ht="17.649999999999999" x14ac:dyDescent="0.5">
      <c r="A430" s="19"/>
      <c r="B430" s="6">
        <v>3169</v>
      </c>
      <c r="C430" s="6" t="s">
        <v>1498</v>
      </c>
    </row>
    <row r="431" spans="1:3" ht="17.649999999999999" x14ac:dyDescent="0.5">
      <c r="A431" s="19"/>
      <c r="B431" s="2">
        <v>31699</v>
      </c>
      <c r="C431" s="23" t="s">
        <v>1063</v>
      </c>
    </row>
    <row r="432" spans="1:3" ht="17.649999999999999" x14ac:dyDescent="0.5">
      <c r="A432" s="19"/>
      <c r="B432" s="2">
        <v>316992</v>
      </c>
      <c r="C432" s="2" t="s">
        <v>558</v>
      </c>
    </row>
    <row r="433" spans="1:3" ht="17.649999999999999" x14ac:dyDescent="0.5">
      <c r="A433" s="19" t="s">
        <v>139</v>
      </c>
      <c r="B433" s="2">
        <v>316998</v>
      </c>
      <c r="C433" s="2" t="s">
        <v>559</v>
      </c>
    </row>
    <row r="434" spans="1:3" ht="17.649999999999999" x14ac:dyDescent="0.5">
      <c r="A434" s="19"/>
      <c r="B434" s="5">
        <v>321</v>
      </c>
      <c r="C434" s="5" t="s">
        <v>1499</v>
      </c>
    </row>
    <row r="435" spans="1:3" ht="17.649999999999999" x14ac:dyDescent="0.5">
      <c r="A435" s="19"/>
      <c r="B435" s="6">
        <v>3211</v>
      </c>
      <c r="C435" s="6" t="s">
        <v>1500</v>
      </c>
    </row>
    <row r="436" spans="1:3" ht="17.649999999999999" x14ac:dyDescent="0.5">
      <c r="A436" s="19"/>
      <c r="B436" s="2">
        <v>32111</v>
      </c>
      <c r="C436" s="23" t="s">
        <v>1064</v>
      </c>
    </row>
    <row r="437" spans="1:3" ht="17.649999999999999" x14ac:dyDescent="0.5">
      <c r="A437" s="19"/>
      <c r="B437" s="2">
        <v>321113</v>
      </c>
      <c r="C437" s="2" t="s">
        <v>560</v>
      </c>
    </row>
    <row r="438" spans="1:3" ht="17.649999999999999" x14ac:dyDescent="0.5">
      <c r="A438" s="19"/>
      <c r="B438" s="2">
        <v>321114</v>
      </c>
      <c r="C438" s="2" t="s">
        <v>204</v>
      </c>
    </row>
    <row r="439" spans="1:3" ht="17.649999999999999" x14ac:dyDescent="0.5">
      <c r="A439" s="19"/>
      <c r="B439" s="6">
        <v>3212</v>
      </c>
      <c r="C439" s="6" t="s">
        <v>1501</v>
      </c>
    </row>
    <row r="440" spans="1:3" ht="17.649999999999999" x14ac:dyDescent="0.5">
      <c r="A440" s="19"/>
      <c r="B440" s="2">
        <v>32121</v>
      </c>
      <c r="C440" s="23" t="s">
        <v>1065</v>
      </c>
    </row>
    <row r="441" spans="1:3" ht="17.649999999999999" x14ac:dyDescent="0.5">
      <c r="A441" s="19"/>
      <c r="B441" s="2">
        <v>321211</v>
      </c>
      <c r="C441" s="2" t="s">
        <v>205</v>
      </c>
    </row>
    <row r="442" spans="1:3" ht="17.649999999999999" x14ac:dyDescent="0.5">
      <c r="A442" s="19"/>
      <c r="B442" s="2">
        <v>321212</v>
      </c>
      <c r="C442" s="2" t="s">
        <v>206</v>
      </c>
    </row>
    <row r="443" spans="1:3" ht="17.649999999999999" x14ac:dyDescent="0.5">
      <c r="A443" s="19"/>
      <c r="B443" s="2">
        <v>321213</v>
      </c>
      <c r="C443" s="23" t="s">
        <v>561</v>
      </c>
    </row>
    <row r="444" spans="1:3" ht="17.649999999999999" x14ac:dyDescent="0.5">
      <c r="A444" s="19"/>
      <c r="B444" s="2">
        <v>321214</v>
      </c>
      <c r="C444" s="23" t="s">
        <v>562</v>
      </c>
    </row>
    <row r="445" spans="1:3" ht="17.649999999999999" x14ac:dyDescent="0.5">
      <c r="A445" s="19"/>
      <c r="B445" s="2">
        <v>321219</v>
      </c>
      <c r="C445" s="2" t="s">
        <v>563</v>
      </c>
    </row>
    <row r="446" spans="1:3" ht="17.649999999999999" x14ac:dyDescent="0.5">
      <c r="A446" s="19"/>
      <c r="B446" s="6">
        <v>3219</v>
      </c>
      <c r="C446" s="6" t="s">
        <v>1502</v>
      </c>
    </row>
    <row r="447" spans="1:3" ht="17.649999999999999" x14ac:dyDescent="0.5">
      <c r="A447" s="19"/>
      <c r="B447" s="2">
        <v>32191</v>
      </c>
      <c r="C447" s="23" t="s">
        <v>1066</v>
      </c>
    </row>
    <row r="448" spans="1:3" ht="17.649999999999999" x14ac:dyDescent="0.5">
      <c r="A448" s="19"/>
      <c r="B448" s="2">
        <v>321911</v>
      </c>
      <c r="C448" s="2" t="s">
        <v>207</v>
      </c>
    </row>
    <row r="449" spans="1:3" ht="17.649999999999999" x14ac:dyDescent="0.5">
      <c r="A449" s="19"/>
      <c r="B449" s="2">
        <v>321912</v>
      </c>
      <c r="C449" s="2" t="s">
        <v>564</v>
      </c>
    </row>
    <row r="450" spans="1:3" ht="17.649999999999999" x14ac:dyDescent="0.5">
      <c r="A450" s="19"/>
      <c r="B450" s="2">
        <v>321918</v>
      </c>
      <c r="C450" s="2" t="s">
        <v>565</v>
      </c>
    </row>
    <row r="451" spans="1:3" ht="17.649999999999999" x14ac:dyDescent="0.5">
      <c r="A451" s="19"/>
      <c r="B451" s="2">
        <v>32192</v>
      </c>
      <c r="C451" s="23" t="s">
        <v>1067</v>
      </c>
    </row>
    <row r="452" spans="1:3" ht="17.649999999999999" x14ac:dyDescent="0.5">
      <c r="A452" s="19"/>
      <c r="B452" s="2">
        <v>321920</v>
      </c>
      <c r="C452" s="23" t="s">
        <v>1802</v>
      </c>
    </row>
    <row r="453" spans="1:3" ht="17.649999999999999" x14ac:dyDescent="0.5">
      <c r="A453" s="19"/>
      <c r="B453" s="2">
        <v>32199</v>
      </c>
      <c r="C453" s="23" t="s">
        <v>1068</v>
      </c>
    </row>
    <row r="454" spans="1:3" ht="17.649999999999999" x14ac:dyDescent="0.5">
      <c r="A454" s="19"/>
      <c r="B454" s="2">
        <v>321991</v>
      </c>
      <c r="C454" s="2" t="s">
        <v>208</v>
      </c>
    </row>
    <row r="455" spans="1:3" ht="17.649999999999999" x14ac:dyDescent="0.5">
      <c r="A455" s="19"/>
      <c r="B455" s="2">
        <v>321992</v>
      </c>
      <c r="C455" s="2" t="s">
        <v>209</v>
      </c>
    </row>
    <row r="456" spans="1:3" ht="17.649999999999999" x14ac:dyDescent="0.5">
      <c r="A456" s="19" t="s">
        <v>141</v>
      </c>
      <c r="B456" s="2">
        <v>321999</v>
      </c>
      <c r="C456" s="2" t="s">
        <v>210</v>
      </c>
    </row>
    <row r="457" spans="1:3" ht="17.649999999999999" x14ac:dyDescent="0.5">
      <c r="A457" s="19"/>
      <c r="B457" s="5">
        <v>322</v>
      </c>
      <c r="C457" s="5" t="s">
        <v>1503</v>
      </c>
    </row>
    <row r="458" spans="1:3" ht="17.649999999999999" x14ac:dyDescent="0.5">
      <c r="A458" s="19"/>
      <c r="B458" s="6">
        <v>3221</v>
      </c>
      <c r="C458" s="6" t="s">
        <v>1504</v>
      </c>
    </row>
    <row r="459" spans="1:3" ht="17.649999999999999" x14ac:dyDescent="0.5">
      <c r="A459" s="19"/>
      <c r="B459" s="2">
        <v>32211</v>
      </c>
      <c r="C459" s="23" t="s">
        <v>1069</v>
      </c>
    </row>
    <row r="460" spans="1:3" ht="17.649999999999999" x14ac:dyDescent="0.5">
      <c r="A460" s="19"/>
      <c r="B460" s="2">
        <v>322110</v>
      </c>
      <c r="C460" s="2" t="s">
        <v>43</v>
      </c>
    </row>
    <row r="461" spans="1:3" ht="17.649999999999999" x14ac:dyDescent="0.5">
      <c r="A461" s="19"/>
      <c r="B461" s="2">
        <v>32212</v>
      </c>
      <c r="C461" s="23" t="s">
        <v>1070</v>
      </c>
    </row>
    <row r="462" spans="1:3" ht="17.649999999999999" x14ac:dyDescent="0.5">
      <c r="A462" s="19"/>
      <c r="B462" s="2">
        <v>322121</v>
      </c>
      <c r="C462" s="2" t="s">
        <v>211</v>
      </c>
    </row>
    <row r="463" spans="1:3" ht="17.649999999999999" x14ac:dyDescent="0.5">
      <c r="A463" s="19"/>
      <c r="B463" s="2">
        <v>322122</v>
      </c>
      <c r="C463" s="2" t="s">
        <v>212</v>
      </c>
    </row>
    <row r="464" spans="1:3" ht="17.649999999999999" x14ac:dyDescent="0.5">
      <c r="A464" s="19"/>
      <c r="B464" s="2">
        <v>32213</v>
      </c>
      <c r="C464" s="23" t="s">
        <v>1071</v>
      </c>
    </row>
    <row r="465" spans="1:3" ht="17.649999999999999" x14ac:dyDescent="0.5">
      <c r="A465" s="19"/>
      <c r="B465" s="2">
        <v>322130</v>
      </c>
      <c r="C465" s="2" t="s">
        <v>44</v>
      </c>
    </row>
    <row r="466" spans="1:3" ht="17.649999999999999" x14ac:dyDescent="0.5">
      <c r="A466" s="19"/>
      <c r="B466" s="6">
        <v>3222</v>
      </c>
      <c r="C466" s="6" t="s">
        <v>1505</v>
      </c>
    </row>
    <row r="467" spans="1:3" ht="17.649999999999999" x14ac:dyDescent="0.5">
      <c r="A467" s="19"/>
      <c r="B467" s="2">
        <v>32221</v>
      </c>
      <c r="C467" s="23" t="s">
        <v>1072</v>
      </c>
    </row>
    <row r="468" spans="1:3" ht="17.649999999999999" x14ac:dyDescent="0.5">
      <c r="A468" s="19"/>
      <c r="B468" s="2">
        <v>322211</v>
      </c>
      <c r="C468" s="2" t="s">
        <v>213</v>
      </c>
    </row>
    <row r="469" spans="1:3" ht="17.649999999999999" x14ac:dyDescent="0.5">
      <c r="A469" s="19"/>
      <c r="B469" s="2">
        <v>322212</v>
      </c>
      <c r="C469" s="2" t="s">
        <v>214</v>
      </c>
    </row>
    <row r="470" spans="1:3" ht="17.649999999999999" x14ac:dyDescent="0.5">
      <c r="A470" s="19" t="s">
        <v>139</v>
      </c>
      <c r="B470" s="2">
        <v>322219</v>
      </c>
      <c r="C470" s="2" t="s">
        <v>566</v>
      </c>
    </row>
    <row r="471" spans="1:3" ht="17.649999999999999" x14ac:dyDescent="0.5">
      <c r="A471" s="19"/>
      <c r="B471" s="2">
        <v>32222</v>
      </c>
      <c r="C471" s="23" t="s">
        <v>1073</v>
      </c>
    </row>
    <row r="472" spans="1:3" ht="17.649999999999999" x14ac:dyDescent="0.5">
      <c r="A472" s="19" t="s">
        <v>139</v>
      </c>
      <c r="B472" s="2">
        <v>322220</v>
      </c>
      <c r="C472" s="23" t="s">
        <v>1803</v>
      </c>
    </row>
    <row r="473" spans="1:3" ht="17.649999999999999" x14ac:dyDescent="0.5">
      <c r="A473" s="19"/>
      <c r="B473" s="2">
        <v>32223</v>
      </c>
      <c r="C473" s="23" t="s">
        <v>1074</v>
      </c>
    </row>
    <row r="474" spans="1:3" ht="17.649999999999999" x14ac:dyDescent="0.5">
      <c r="A474" s="19" t="s">
        <v>139</v>
      </c>
      <c r="B474" s="2">
        <v>322230</v>
      </c>
      <c r="C474" s="23" t="s">
        <v>1804</v>
      </c>
    </row>
    <row r="475" spans="1:3" ht="17.649999999999999" x14ac:dyDescent="0.5">
      <c r="A475" s="19"/>
      <c r="B475" s="2">
        <v>32229</v>
      </c>
      <c r="C475" s="23" t="s">
        <v>1075</v>
      </c>
    </row>
    <row r="476" spans="1:3" ht="17.649999999999999" x14ac:dyDescent="0.5">
      <c r="A476" s="19"/>
      <c r="B476" s="2">
        <v>322291</v>
      </c>
      <c r="C476" s="2" t="s">
        <v>215</v>
      </c>
    </row>
    <row r="477" spans="1:3" ht="17.649999999999999" x14ac:dyDescent="0.5">
      <c r="A477" s="19"/>
      <c r="B477" s="2">
        <v>322299</v>
      </c>
      <c r="C477" s="2" t="s">
        <v>216</v>
      </c>
    </row>
    <row r="478" spans="1:3" ht="17.649999999999999" x14ac:dyDescent="0.5">
      <c r="A478" s="19"/>
      <c r="B478" s="5">
        <v>323</v>
      </c>
      <c r="C478" s="5" t="s">
        <v>1506</v>
      </c>
    </row>
    <row r="479" spans="1:3" ht="17.649999999999999" x14ac:dyDescent="0.5">
      <c r="A479" s="19"/>
      <c r="B479" s="6">
        <v>3231</v>
      </c>
      <c r="C479" s="6" t="s">
        <v>1507</v>
      </c>
    </row>
    <row r="480" spans="1:3" ht="17.649999999999999" x14ac:dyDescent="0.5">
      <c r="A480" s="19"/>
      <c r="B480" s="2">
        <v>32311</v>
      </c>
      <c r="C480" s="23" t="s">
        <v>1076</v>
      </c>
    </row>
    <row r="481" spans="1:3" ht="17.649999999999999" x14ac:dyDescent="0.5">
      <c r="A481" s="19" t="s">
        <v>141</v>
      </c>
      <c r="B481" s="2">
        <v>323111</v>
      </c>
      <c r="C481" s="2" t="s">
        <v>567</v>
      </c>
    </row>
    <row r="482" spans="1:3" ht="17.649999999999999" x14ac:dyDescent="0.5">
      <c r="A482" s="19"/>
      <c r="B482" s="2">
        <v>323113</v>
      </c>
      <c r="C482" s="2" t="s">
        <v>217</v>
      </c>
    </row>
    <row r="483" spans="1:3" ht="17.649999999999999" x14ac:dyDescent="0.5">
      <c r="A483" s="19"/>
      <c r="B483" s="2">
        <v>323117</v>
      </c>
      <c r="C483" s="23" t="s">
        <v>568</v>
      </c>
    </row>
    <row r="484" spans="1:3" ht="17.649999999999999" x14ac:dyDescent="0.5">
      <c r="A484" s="19"/>
      <c r="B484" s="2">
        <v>32312</v>
      </c>
      <c r="C484" s="23" t="s">
        <v>1077</v>
      </c>
    </row>
    <row r="485" spans="1:3" ht="17.649999999999999" x14ac:dyDescent="0.5">
      <c r="A485" s="19" t="s">
        <v>139</v>
      </c>
      <c r="B485" s="2">
        <v>323120</v>
      </c>
      <c r="C485" s="23" t="s">
        <v>1805</v>
      </c>
    </row>
    <row r="486" spans="1:3" ht="17.649999999999999" x14ac:dyDescent="0.5">
      <c r="A486" s="19"/>
      <c r="B486" s="5">
        <v>324</v>
      </c>
      <c r="C486" s="5" t="s">
        <v>1508</v>
      </c>
    </row>
    <row r="487" spans="1:3" ht="17.649999999999999" x14ac:dyDescent="0.5">
      <c r="A487" s="19"/>
      <c r="B487" s="6">
        <v>3241</v>
      </c>
      <c r="C487" s="6" t="s">
        <v>1509</v>
      </c>
    </row>
    <row r="488" spans="1:3" ht="17.649999999999999" x14ac:dyDescent="0.5">
      <c r="A488" s="19"/>
      <c r="B488" s="2">
        <v>32411</v>
      </c>
      <c r="C488" s="23" t="s">
        <v>1078</v>
      </c>
    </row>
    <row r="489" spans="1:3" ht="17.649999999999999" x14ac:dyDescent="0.5">
      <c r="A489" s="19"/>
      <c r="B489" s="2">
        <v>324110</v>
      </c>
      <c r="C489" s="23" t="s">
        <v>1806</v>
      </c>
    </row>
    <row r="490" spans="1:3" ht="17.649999999999999" x14ac:dyDescent="0.5">
      <c r="A490" s="19"/>
      <c r="B490" s="2">
        <v>32412</v>
      </c>
      <c r="C490" s="23" t="s">
        <v>1079</v>
      </c>
    </row>
    <row r="491" spans="1:3" ht="17.649999999999999" x14ac:dyDescent="0.5">
      <c r="A491" s="19"/>
      <c r="B491" s="2">
        <v>324121</v>
      </c>
      <c r="C491" s="2" t="s">
        <v>218</v>
      </c>
    </row>
    <row r="492" spans="1:3" ht="17.649999999999999" x14ac:dyDescent="0.5">
      <c r="A492" s="19"/>
      <c r="B492" s="2">
        <v>324122</v>
      </c>
      <c r="C492" s="2" t="s">
        <v>219</v>
      </c>
    </row>
    <row r="493" spans="1:3" ht="17.649999999999999" x14ac:dyDescent="0.5">
      <c r="A493" s="19"/>
      <c r="B493" s="2">
        <v>32419</v>
      </c>
      <c r="C493" s="23" t="s">
        <v>1080</v>
      </c>
    </row>
    <row r="494" spans="1:3" ht="17.649999999999999" x14ac:dyDescent="0.5">
      <c r="A494" s="19"/>
      <c r="B494" s="2">
        <v>324191</v>
      </c>
      <c r="C494" s="2" t="s">
        <v>440</v>
      </c>
    </row>
    <row r="495" spans="1:3" ht="17.649999999999999" x14ac:dyDescent="0.5">
      <c r="A495" s="19"/>
      <c r="B495" s="2">
        <v>324199</v>
      </c>
      <c r="C495" s="2" t="s">
        <v>441</v>
      </c>
    </row>
    <row r="496" spans="1:3" ht="17.649999999999999" x14ac:dyDescent="0.5">
      <c r="A496" s="19"/>
      <c r="B496" s="5">
        <v>325</v>
      </c>
      <c r="C496" s="5" t="s">
        <v>1510</v>
      </c>
    </row>
    <row r="497" spans="1:3" ht="17.649999999999999" x14ac:dyDescent="0.5">
      <c r="A497" s="19"/>
      <c r="B497" s="6">
        <v>3251</v>
      </c>
      <c r="C497" s="6" t="s">
        <v>1752</v>
      </c>
    </row>
    <row r="498" spans="1:3" ht="17.649999999999999" x14ac:dyDescent="0.5">
      <c r="A498" s="19"/>
      <c r="B498" s="2">
        <v>32511</v>
      </c>
      <c r="C498" s="23" t="s">
        <v>1081</v>
      </c>
    </row>
    <row r="499" spans="1:3" ht="17.649999999999999" x14ac:dyDescent="0.5">
      <c r="A499" s="19"/>
      <c r="B499" s="2">
        <v>325110</v>
      </c>
      <c r="C499" s="23" t="s">
        <v>1807</v>
      </c>
    </row>
    <row r="500" spans="1:3" ht="17.649999999999999" x14ac:dyDescent="0.5">
      <c r="A500" s="19"/>
      <c r="B500" s="2">
        <v>32512</v>
      </c>
      <c r="C500" s="23" t="s">
        <v>1082</v>
      </c>
    </row>
    <row r="501" spans="1:3" ht="17.649999999999999" x14ac:dyDescent="0.5">
      <c r="A501" s="19"/>
      <c r="B501" s="2">
        <v>325120</v>
      </c>
      <c r="C501" s="23" t="s">
        <v>1808</v>
      </c>
    </row>
    <row r="502" spans="1:3" ht="17.649999999999999" x14ac:dyDescent="0.5">
      <c r="A502" s="19"/>
      <c r="B502" s="2">
        <v>32513</v>
      </c>
      <c r="C502" s="23" t="s">
        <v>1083</v>
      </c>
    </row>
    <row r="503" spans="1:3" ht="17.649999999999999" x14ac:dyDescent="0.5">
      <c r="A503" s="19" t="s">
        <v>139</v>
      </c>
      <c r="B503" s="2">
        <v>325130</v>
      </c>
      <c r="C503" s="23" t="s">
        <v>1809</v>
      </c>
    </row>
    <row r="504" spans="1:3" ht="17.649999999999999" x14ac:dyDescent="0.5">
      <c r="A504" s="19"/>
      <c r="B504" s="2">
        <v>32518</v>
      </c>
      <c r="C504" s="23" t="s">
        <v>1084</v>
      </c>
    </row>
    <row r="505" spans="1:3" ht="17.649999999999999" x14ac:dyDescent="0.5">
      <c r="A505" s="19" t="s">
        <v>139</v>
      </c>
      <c r="B505" s="2">
        <v>325180</v>
      </c>
      <c r="C505" s="2" t="s">
        <v>45</v>
      </c>
    </row>
    <row r="506" spans="1:3" ht="17.649999999999999" x14ac:dyDescent="0.5">
      <c r="A506" s="19"/>
      <c r="B506" s="2">
        <v>32519</v>
      </c>
      <c r="C506" s="23" t="s">
        <v>1085</v>
      </c>
    </row>
    <row r="507" spans="1:3" ht="17.649999999999999" x14ac:dyDescent="0.5">
      <c r="A507" s="19"/>
      <c r="B507" s="2">
        <v>325193</v>
      </c>
      <c r="C507" s="23" t="s">
        <v>569</v>
      </c>
    </row>
    <row r="508" spans="1:3" ht="17.649999999999999" x14ac:dyDescent="0.5">
      <c r="A508" s="19" t="s">
        <v>139</v>
      </c>
      <c r="B508" s="2">
        <v>325194</v>
      </c>
      <c r="C508" s="2" t="s">
        <v>570</v>
      </c>
    </row>
    <row r="509" spans="1:3" ht="17.649999999999999" x14ac:dyDescent="0.5">
      <c r="A509" s="19"/>
      <c r="B509" s="2">
        <v>325199</v>
      </c>
      <c r="C509" s="2" t="s">
        <v>571</v>
      </c>
    </row>
    <row r="510" spans="1:3" ht="28.15" x14ac:dyDescent="0.5">
      <c r="A510" s="19"/>
      <c r="B510" s="6">
        <v>3252</v>
      </c>
      <c r="C510" s="6" t="s">
        <v>1511</v>
      </c>
    </row>
    <row r="511" spans="1:3" ht="17.649999999999999" x14ac:dyDescent="0.5">
      <c r="A511" s="19"/>
      <c r="B511" s="2">
        <v>32521</v>
      </c>
      <c r="C511" s="23" t="s">
        <v>1086</v>
      </c>
    </row>
    <row r="512" spans="1:3" ht="17.649999999999999" x14ac:dyDescent="0.5">
      <c r="A512" s="19"/>
      <c r="B512" s="2">
        <v>325211</v>
      </c>
      <c r="C512" s="2" t="s">
        <v>572</v>
      </c>
    </row>
    <row r="513" spans="1:3" ht="17.649999999999999" x14ac:dyDescent="0.5">
      <c r="A513" s="19"/>
      <c r="B513" s="2">
        <v>325212</v>
      </c>
      <c r="C513" s="2" t="s">
        <v>442</v>
      </c>
    </row>
    <row r="514" spans="1:3" ht="17.649999999999999" x14ac:dyDescent="0.5">
      <c r="A514" s="19"/>
      <c r="B514" s="2">
        <v>32522</v>
      </c>
      <c r="C514" s="23" t="s">
        <v>1087</v>
      </c>
    </row>
    <row r="515" spans="1:3" ht="17.649999999999999" x14ac:dyDescent="0.5">
      <c r="A515" s="19" t="s">
        <v>139</v>
      </c>
      <c r="B515" s="2">
        <v>325220</v>
      </c>
      <c r="C515" s="23" t="s">
        <v>1810</v>
      </c>
    </row>
    <row r="516" spans="1:3" ht="28.15" x14ac:dyDescent="0.5">
      <c r="A516" s="19"/>
      <c r="B516" s="6">
        <v>3253</v>
      </c>
      <c r="C516" s="6" t="s">
        <v>1512</v>
      </c>
    </row>
    <row r="517" spans="1:3" ht="17.649999999999999" x14ac:dyDescent="0.5">
      <c r="A517" s="19"/>
      <c r="B517" s="2">
        <v>32531</v>
      </c>
      <c r="C517" s="23" t="s">
        <v>1088</v>
      </c>
    </row>
    <row r="518" spans="1:3" ht="17.649999999999999" x14ac:dyDescent="0.5">
      <c r="A518" s="19"/>
      <c r="B518" s="2">
        <v>325311</v>
      </c>
      <c r="C518" s="23" t="s">
        <v>573</v>
      </c>
    </row>
    <row r="519" spans="1:3" ht="17.649999999999999" x14ac:dyDescent="0.5">
      <c r="A519" s="19"/>
      <c r="B519" s="2">
        <v>325312</v>
      </c>
      <c r="C519" s="2" t="s">
        <v>574</v>
      </c>
    </row>
    <row r="520" spans="1:3" ht="17.649999999999999" x14ac:dyDescent="0.5">
      <c r="A520" s="19"/>
      <c r="B520" s="2">
        <v>325314</v>
      </c>
      <c r="C520" s="2" t="s">
        <v>220</v>
      </c>
    </row>
    <row r="521" spans="1:3" ht="17.649999999999999" x14ac:dyDescent="0.5">
      <c r="A521" s="19"/>
      <c r="B521" s="2">
        <v>32532</v>
      </c>
      <c r="C521" s="23" t="s">
        <v>1089</v>
      </c>
    </row>
    <row r="522" spans="1:3" ht="17.649999999999999" x14ac:dyDescent="0.5">
      <c r="A522" s="19"/>
      <c r="B522" s="2">
        <v>325320</v>
      </c>
      <c r="C522" s="23" t="s">
        <v>1811</v>
      </c>
    </row>
    <row r="523" spans="1:3" ht="17.649999999999999" x14ac:dyDescent="0.5">
      <c r="A523" s="19"/>
      <c r="B523" s="6">
        <v>3254</v>
      </c>
      <c r="C523" s="6" t="s">
        <v>1513</v>
      </c>
    </row>
    <row r="524" spans="1:3" ht="17.649999999999999" x14ac:dyDescent="0.5">
      <c r="A524" s="19"/>
      <c r="B524" s="2">
        <v>32541</v>
      </c>
      <c r="C524" s="23" t="s">
        <v>1090</v>
      </c>
    </row>
    <row r="525" spans="1:3" ht="17.649999999999999" x14ac:dyDescent="0.5">
      <c r="A525" s="19"/>
      <c r="B525" s="2">
        <v>325411</v>
      </c>
      <c r="C525" s="2" t="s">
        <v>575</v>
      </c>
    </row>
    <row r="526" spans="1:3" ht="17.649999999999999" x14ac:dyDescent="0.5">
      <c r="A526" s="19"/>
      <c r="B526" s="2">
        <v>325412</v>
      </c>
      <c r="C526" s="2" t="s">
        <v>576</v>
      </c>
    </row>
    <row r="527" spans="1:3" ht="17.649999999999999" x14ac:dyDescent="0.5">
      <c r="A527" s="19"/>
      <c r="B527" s="2">
        <v>325413</v>
      </c>
      <c r="C527" s="2" t="s">
        <v>577</v>
      </c>
    </row>
    <row r="528" spans="1:3" ht="17.649999999999999" x14ac:dyDescent="0.5">
      <c r="A528" s="19"/>
      <c r="B528" s="2">
        <v>325414</v>
      </c>
      <c r="C528" s="2" t="s">
        <v>578</v>
      </c>
    </row>
    <row r="529" spans="1:3" ht="17.649999999999999" x14ac:dyDescent="0.5">
      <c r="A529" s="19"/>
      <c r="B529" s="6">
        <v>3255</v>
      </c>
      <c r="C529" s="6" t="s">
        <v>1514</v>
      </c>
    </row>
    <row r="530" spans="1:3" ht="17.649999999999999" x14ac:dyDescent="0.5">
      <c r="A530" s="19"/>
      <c r="B530" s="2">
        <v>32551</v>
      </c>
      <c r="C530" s="23" t="s">
        <v>1091</v>
      </c>
    </row>
    <row r="531" spans="1:3" ht="17.649999999999999" x14ac:dyDescent="0.5">
      <c r="A531" s="19"/>
      <c r="B531" s="2">
        <v>325510</v>
      </c>
      <c r="C531" s="23" t="s">
        <v>1812</v>
      </c>
    </row>
    <row r="532" spans="1:3" ht="17.649999999999999" x14ac:dyDescent="0.5">
      <c r="A532" s="19"/>
      <c r="B532" s="2">
        <v>32552</v>
      </c>
      <c r="C532" s="23" t="s">
        <v>1092</v>
      </c>
    </row>
    <row r="533" spans="1:3" ht="17.649999999999999" x14ac:dyDescent="0.5">
      <c r="A533" s="19"/>
      <c r="B533" s="2">
        <v>325520</v>
      </c>
      <c r="C533" s="23" t="s">
        <v>1813</v>
      </c>
    </row>
    <row r="534" spans="1:3" ht="17.649999999999999" x14ac:dyDescent="0.5">
      <c r="A534" s="19"/>
      <c r="B534" s="6">
        <v>3256</v>
      </c>
      <c r="C534" s="6" t="s">
        <v>1515</v>
      </c>
    </row>
    <row r="535" spans="1:3" ht="17.649999999999999" x14ac:dyDescent="0.5">
      <c r="A535" s="19"/>
      <c r="B535" s="2">
        <v>32561</v>
      </c>
      <c r="C535" s="23" t="s">
        <v>1093</v>
      </c>
    </row>
    <row r="536" spans="1:3" ht="17.649999999999999" x14ac:dyDescent="0.5">
      <c r="A536" s="19"/>
      <c r="B536" s="2">
        <v>325611</v>
      </c>
      <c r="C536" s="2" t="s">
        <v>579</v>
      </c>
    </row>
    <row r="537" spans="1:3" ht="17.649999999999999" x14ac:dyDescent="0.5">
      <c r="A537" s="19"/>
      <c r="B537" s="2">
        <v>325612</v>
      </c>
      <c r="C537" s="2" t="s">
        <v>580</v>
      </c>
    </row>
    <row r="538" spans="1:3" ht="17.649999999999999" x14ac:dyDescent="0.5">
      <c r="A538" s="19"/>
      <c r="B538" s="2">
        <v>325613</v>
      </c>
      <c r="C538" s="2" t="s">
        <v>581</v>
      </c>
    </row>
    <row r="539" spans="1:3" ht="17.649999999999999" x14ac:dyDescent="0.5">
      <c r="A539" s="19"/>
      <c r="B539" s="2">
        <v>32562</v>
      </c>
      <c r="C539" s="23" t="s">
        <v>1094</v>
      </c>
    </row>
    <row r="540" spans="1:3" ht="17.649999999999999" x14ac:dyDescent="0.5">
      <c r="A540" s="19"/>
      <c r="B540" s="2">
        <v>325620</v>
      </c>
      <c r="C540" s="23" t="s">
        <v>1814</v>
      </c>
    </row>
    <row r="541" spans="1:3" ht="17.649999999999999" x14ac:dyDescent="0.5">
      <c r="A541" s="19"/>
      <c r="B541" s="6">
        <v>3259</v>
      </c>
      <c r="C541" s="6" t="s">
        <v>1516</v>
      </c>
    </row>
    <row r="542" spans="1:3" ht="17.649999999999999" x14ac:dyDescent="0.5">
      <c r="A542" s="19"/>
      <c r="B542" s="2">
        <v>32591</v>
      </c>
      <c r="C542" s="23" t="s">
        <v>1095</v>
      </c>
    </row>
    <row r="543" spans="1:3" ht="17.649999999999999" x14ac:dyDescent="0.5">
      <c r="A543" s="19"/>
      <c r="B543" s="2">
        <v>325910</v>
      </c>
      <c r="C543" s="23" t="s">
        <v>1815</v>
      </c>
    </row>
    <row r="544" spans="1:3" ht="17.649999999999999" x14ac:dyDescent="0.5">
      <c r="A544" s="19"/>
      <c r="B544" s="2">
        <v>32592</v>
      </c>
      <c r="C544" s="23" t="s">
        <v>1096</v>
      </c>
    </row>
    <row r="545" spans="1:3" ht="17.649999999999999" x14ac:dyDescent="0.5">
      <c r="A545" s="19"/>
      <c r="B545" s="2">
        <v>325920</v>
      </c>
      <c r="C545" s="23" t="s">
        <v>1816</v>
      </c>
    </row>
    <row r="546" spans="1:3" ht="17.649999999999999" x14ac:dyDescent="0.5">
      <c r="A546" s="19"/>
      <c r="B546" s="2">
        <v>32599</v>
      </c>
      <c r="C546" s="23" t="s">
        <v>1097</v>
      </c>
    </row>
    <row r="547" spans="1:3" ht="17.649999999999999" x14ac:dyDescent="0.5">
      <c r="A547" s="19"/>
      <c r="B547" s="2">
        <v>325991</v>
      </c>
      <c r="C547" s="2" t="s">
        <v>221</v>
      </c>
    </row>
    <row r="548" spans="1:3" ht="17.649999999999999" x14ac:dyDescent="0.5">
      <c r="A548" s="19"/>
      <c r="B548" s="2">
        <v>325992</v>
      </c>
      <c r="C548" s="2" t="s">
        <v>443</v>
      </c>
    </row>
    <row r="549" spans="1:3" ht="25.5" x14ac:dyDescent="0.5">
      <c r="A549" s="19"/>
      <c r="B549" s="2">
        <v>325998</v>
      </c>
      <c r="C549" s="23" t="s">
        <v>582</v>
      </c>
    </row>
    <row r="550" spans="1:3" ht="17.649999999999999" x14ac:dyDescent="0.5">
      <c r="A550" s="19"/>
      <c r="B550" s="5">
        <v>326</v>
      </c>
      <c r="C550" s="5" t="s">
        <v>1517</v>
      </c>
    </row>
    <row r="551" spans="1:3" ht="17.649999999999999" x14ac:dyDescent="0.5">
      <c r="A551" s="19"/>
      <c r="B551" s="6">
        <v>3261</v>
      </c>
      <c r="C551" s="6" t="s">
        <v>1740</v>
      </c>
    </row>
    <row r="552" spans="1:3" ht="27" x14ac:dyDescent="0.5">
      <c r="A552" s="19"/>
      <c r="B552" s="2">
        <v>32611</v>
      </c>
      <c r="C552" s="23" t="s">
        <v>1098</v>
      </c>
    </row>
    <row r="553" spans="1:3" ht="17.649999999999999" x14ac:dyDescent="0.5">
      <c r="A553" s="19"/>
      <c r="B553" s="2">
        <v>326111</v>
      </c>
      <c r="C553" s="2" t="s">
        <v>222</v>
      </c>
    </row>
    <row r="554" spans="1:3" ht="17.649999999999999" x14ac:dyDescent="0.5">
      <c r="A554" s="19"/>
      <c r="B554" s="2">
        <v>326112</v>
      </c>
      <c r="C554" s="2" t="s">
        <v>583</v>
      </c>
    </row>
    <row r="555" spans="1:3" ht="17.649999999999999" x14ac:dyDescent="0.5">
      <c r="A555" s="19"/>
      <c r="B555" s="2">
        <v>326113</v>
      </c>
      <c r="C555" s="2" t="s">
        <v>584</v>
      </c>
    </row>
    <row r="556" spans="1:3" ht="17.649999999999999" x14ac:dyDescent="0.5">
      <c r="A556" s="19"/>
      <c r="B556" s="2">
        <v>32612</v>
      </c>
      <c r="C556" s="23" t="s">
        <v>1099</v>
      </c>
    </row>
    <row r="557" spans="1:3" ht="17.649999999999999" x14ac:dyDescent="0.5">
      <c r="A557" s="19"/>
      <c r="B557" s="2">
        <v>326121</v>
      </c>
      <c r="C557" s="2" t="s">
        <v>223</v>
      </c>
    </row>
    <row r="558" spans="1:3" ht="17.649999999999999" x14ac:dyDescent="0.5">
      <c r="A558" s="19"/>
      <c r="B558" s="2">
        <v>326122</v>
      </c>
      <c r="C558" s="2" t="s">
        <v>224</v>
      </c>
    </row>
    <row r="559" spans="1:3" ht="27" x14ac:dyDescent="0.5">
      <c r="A559" s="19"/>
      <c r="B559" s="2">
        <v>32613</v>
      </c>
      <c r="C559" s="23" t="s">
        <v>1100</v>
      </c>
    </row>
    <row r="560" spans="1:3" ht="25.5" x14ac:dyDescent="0.5">
      <c r="A560" s="19"/>
      <c r="B560" s="2">
        <v>326130</v>
      </c>
      <c r="C560" s="23" t="s">
        <v>1817</v>
      </c>
    </row>
    <row r="561" spans="1:3" ht="17.649999999999999" x14ac:dyDescent="0.5">
      <c r="A561" s="19"/>
      <c r="B561" s="2">
        <v>32614</v>
      </c>
      <c r="C561" s="23" t="s">
        <v>1101</v>
      </c>
    </row>
    <row r="562" spans="1:3" ht="17.649999999999999" x14ac:dyDescent="0.5">
      <c r="A562" s="19"/>
      <c r="B562" s="2">
        <v>326140</v>
      </c>
      <c r="C562" s="23" t="s">
        <v>1818</v>
      </c>
    </row>
    <row r="563" spans="1:3" ht="17.649999999999999" x14ac:dyDescent="0.5">
      <c r="A563" s="19"/>
      <c r="B563" s="2">
        <v>32615</v>
      </c>
      <c r="C563" s="23" t="s">
        <v>1102</v>
      </c>
    </row>
    <row r="564" spans="1:3" ht="17.649999999999999" x14ac:dyDescent="0.5">
      <c r="A564" s="19"/>
      <c r="B564" s="2">
        <v>326150</v>
      </c>
      <c r="C564" s="23" t="s">
        <v>1819</v>
      </c>
    </row>
    <row r="565" spans="1:3" ht="17.649999999999999" x14ac:dyDescent="0.5">
      <c r="A565" s="19"/>
      <c r="B565" s="2">
        <v>32616</v>
      </c>
      <c r="C565" s="23" t="s">
        <v>1103</v>
      </c>
    </row>
    <row r="566" spans="1:3" ht="17.649999999999999" x14ac:dyDescent="0.5">
      <c r="A566" s="19"/>
      <c r="B566" s="2">
        <v>326160</v>
      </c>
      <c r="C566" s="23" t="s">
        <v>1820</v>
      </c>
    </row>
    <row r="567" spans="1:3" ht="17.649999999999999" x14ac:dyDescent="0.5">
      <c r="A567" s="19"/>
      <c r="B567" s="2">
        <v>32619</v>
      </c>
      <c r="C567" s="23" t="s">
        <v>1104</v>
      </c>
    </row>
    <row r="568" spans="1:3" ht="17.649999999999999" x14ac:dyDescent="0.5">
      <c r="A568" s="19"/>
      <c r="B568" s="2">
        <v>326191</v>
      </c>
      <c r="C568" s="2" t="s">
        <v>225</v>
      </c>
    </row>
    <row r="569" spans="1:3" ht="17.649999999999999" x14ac:dyDescent="0.5">
      <c r="A569" s="19" t="s">
        <v>141</v>
      </c>
      <c r="B569" s="2">
        <v>326199</v>
      </c>
      <c r="C569" s="2" t="s">
        <v>585</v>
      </c>
    </row>
    <row r="570" spans="1:3" ht="17.649999999999999" x14ac:dyDescent="0.5">
      <c r="A570" s="19"/>
      <c r="B570" s="6">
        <v>3262</v>
      </c>
      <c r="C570" s="6" t="s">
        <v>1518</v>
      </c>
    </row>
    <row r="571" spans="1:3" ht="17.649999999999999" x14ac:dyDescent="0.5">
      <c r="A571" s="19"/>
      <c r="B571" s="2">
        <v>32621</v>
      </c>
      <c r="C571" s="23" t="s">
        <v>1105</v>
      </c>
    </row>
    <row r="572" spans="1:3" ht="17.649999999999999" x14ac:dyDescent="0.5">
      <c r="A572" s="19"/>
      <c r="B572" s="2">
        <v>326211</v>
      </c>
      <c r="C572" s="23" t="s">
        <v>444</v>
      </c>
    </row>
    <row r="573" spans="1:3" ht="17.649999999999999" x14ac:dyDescent="0.5">
      <c r="A573" s="19"/>
      <c r="B573" s="2">
        <v>326212</v>
      </c>
      <c r="C573" s="2" t="s">
        <v>445</v>
      </c>
    </row>
    <row r="574" spans="1:3" ht="17.649999999999999" x14ac:dyDescent="0.5">
      <c r="A574" s="19"/>
      <c r="B574" s="2">
        <v>32622</v>
      </c>
      <c r="C574" s="23" t="s">
        <v>1106</v>
      </c>
    </row>
    <row r="575" spans="1:3" ht="17.649999999999999" x14ac:dyDescent="0.5">
      <c r="A575" s="19"/>
      <c r="B575" s="2">
        <v>326220</v>
      </c>
      <c r="C575" s="23" t="s">
        <v>1821</v>
      </c>
    </row>
    <row r="576" spans="1:3" ht="17.649999999999999" x14ac:dyDescent="0.5">
      <c r="A576" s="19"/>
      <c r="B576" s="2">
        <v>32629</v>
      </c>
      <c r="C576" s="23" t="s">
        <v>1107</v>
      </c>
    </row>
    <row r="577" spans="1:3" ht="17.649999999999999" x14ac:dyDescent="0.5">
      <c r="A577" s="19"/>
      <c r="B577" s="2">
        <v>326291</v>
      </c>
      <c r="C577" s="23" t="s">
        <v>586</v>
      </c>
    </row>
    <row r="578" spans="1:3" ht="17.649999999999999" x14ac:dyDescent="0.5">
      <c r="A578" s="19"/>
      <c r="B578" s="2">
        <v>326299</v>
      </c>
      <c r="C578" s="2" t="s">
        <v>587</v>
      </c>
    </row>
    <row r="579" spans="1:3" ht="17.649999999999999" x14ac:dyDescent="0.5">
      <c r="A579" s="19"/>
      <c r="B579" s="5">
        <v>327</v>
      </c>
      <c r="C579" s="5" t="s">
        <v>1519</v>
      </c>
    </row>
    <row r="580" spans="1:3" ht="17.649999999999999" x14ac:dyDescent="0.5">
      <c r="A580" s="19"/>
      <c r="B580" s="6">
        <v>3271</v>
      </c>
      <c r="C580" s="6" t="s">
        <v>1520</v>
      </c>
    </row>
    <row r="581" spans="1:3" ht="17.649999999999999" x14ac:dyDescent="0.5">
      <c r="A581" s="19"/>
      <c r="B581" s="2">
        <v>32711</v>
      </c>
      <c r="C581" s="23" t="s">
        <v>1108</v>
      </c>
    </row>
    <row r="582" spans="1:3" ht="17.649999999999999" x14ac:dyDescent="0.5">
      <c r="A582" s="19" t="s">
        <v>139</v>
      </c>
      <c r="B582" s="2">
        <v>327110</v>
      </c>
      <c r="C582" s="2" t="s">
        <v>46</v>
      </c>
    </row>
    <row r="583" spans="1:3" ht="17.649999999999999" x14ac:dyDescent="0.5">
      <c r="A583" s="19"/>
      <c r="B583" s="2">
        <v>32712</v>
      </c>
      <c r="C583" s="23" t="s">
        <v>1109</v>
      </c>
    </row>
    <row r="584" spans="1:3" ht="17.649999999999999" x14ac:dyDescent="0.5">
      <c r="A584" s="19" t="s">
        <v>139</v>
      </c>
      <c r="B584" s="2">
        <v>327120</v>
      </c>
      <c r="C584" s="2" t="s">
        <v>47</v>
      </c>
    </row>
    <row r="585" spans="1:3" ht="17.649999999999999" x14ac:dyDescent="0.5">
      <c r="A585" s="19"/>
      <c r="B585" s="6">
        <v>3272</v>
      </c>
      <c r="C585" s="6" t="s">
        <v>1521</v>
      </c>
    </row>
    <row r="586" spans="1:3" ht="17.649999999999999" x14ac:dyDescent="0.5">
      <c r="A586" s="19"/>
      <c r="B586" s="2">
        <v>32721</v>
      </c>
      <c r="C586" s="23" t="s">
        <v>1741</v>
      </c>
    </row>
    <row r="587" spans="1:3" ht="17.649999999999999" x14ac:dyDescent="0.5">
      <c r="A587" s="19"/>
      <c r="B587" s="2">
        <v>327211</v>
      </c>
      <c r="C587" s="2" t="s">
        <v>446</v>
      </c>
    </row>
    <row r="588" spans="1:3" ht="17.649999999999999" x14ac:dyDescent="0.5">
      <c r="A588" s="19"/>
      <c r="B588" s="2">
        <v>327212</v>
      </c>
      <c r="C588" s="2" t="s">
        <v>588</v>
      </c>
    </row>
    <row r="589" spans="1:3" ht="17.649999999999999" x14ac:dyDescent="0.5">
      <c r="A589" s="19"/>
      <c r="B589" s="2">
        <v>327213</v>
      </c>
      <c r="C589" s="2" t="s">
        <v>589</v>
      </c>
    </row>
    <row r="590" spans="1:3" ht="17.649999999999999" x14ac:dyDescent="0.5">
      <c r="A590" s="19"/>
      <c r="B590" s="2">
        <v>327215</v>
      </c>
      <c r="C590" s="2" t="s">
        <v>226</v>
      </c>
    </row>
    <row r="591" spans="1:3" ht="17.649999999999999" x14ac:dyDescent="0.5">
      <c r="A591" s="19"/>
      <c r="B591" s="6">
        <v>3273</v>
      </c>
      <c r="C591" s="6" t="s">
        <v>1522</v>
      </c>
    </row>
    <row r="592" spans="1:3" ht="17.649999999999999" x14ac:dyDescent="0.5">
      <c r="A592" s="19"/>
      <c r="B592" s="2">
        <v>32731</v>
      </c>
      <c r="C592" s="23" t="s">
        <v>1110</v>
      </c>
    </row>
    <row r="593" spans="1:3" ht="17.649999999999999" x14ac:dyDescent="0.5">
      <c r="A593" s="19"/>
      <c r="B593" s="2">
        <v>327310</v>
      </c>
      <c r="C593" s="23" t="s">
        <v>1822</v>
      </c>
    </row>
    <row r="594" spans="1:3" ht="17.649999999999999" x14ac:dyDescent="0.5">
      <c r="A594" s="19"/>
      <c r="B594" s="2">
        <v>32732</v>
      </c>
      <c r="C594" s="23" t="s">
        <v>1111</v>
      </c>
    </row>
    <row r="595" spans="1:3" ht="17.649999999999999" x14ac:dyDescent="0.5">
      <c r="A595" s="19"/>
      <c r="B595" s="2">
        <v>327320</v>
      </c>
      <c r="C595" s="23" t="s">
        <v>1823</v>
      </c>
    </row>
    <row r="596" spans="1:3" ht="17.649999999999999" x14ac:dyDescent="0.5">
      <c r="A596" s="19"/>
      <c r="B596" s="2">
        <v>32733</v>
      </c>
      <c r="C596" s="23" t="s">
        <v>1112</v>
      </c>
    </row>
    <row r="597" spans="1:3" ht="17.649999999999999" x14ac:dyDescent="0.5">
      <c r="A597" s="19"/>
      <c r="B597" s="2">
        <v>327331</v>
      </c>
      <c r="C597" s="2" t="s">
        <v>590</v>
      </c>
    </row>
    <row r="598" spans="1:3" ht="17.649999999999999" x14ac:dyDescent="0.5">
      <c r="A598" s="19"/>
      <c r="B598" s="2">
        <v>327332</v>
      </c>
      <c r="C598" s="2" t="s">
        <v>591</v>
      </c>
    </row>
    <row r="599" spans="1:3" ht="17.649999999999999" x14ac:dyDescent="0.5">
      <c r="A599" s="19"/>
      <c r="B599" s="2">
        <v>32739</v>
      </c>
      <c r="C599" s="23" t="s">
        <v>1113</v>
      </c>
    </row>
    <row r="600" spans="1:3" ht="17.649999999999999" x14ac:dyDescent="0.5">
      <c r="A600" s="19"/>
      <c r="B600" s="2">
        <v>327390</v>
      </c>
      <c r="C600" s="2" t="s">
        <v>48</v>
      </c>
    </row>
    <row r="601" spans="1:3" ht="17.649999999999999" x14ac:dyDescent="0.5">
      <c r="A601" s="19"/>
      <c r="B601" s="6">
        <v>3274</v>
      </c>
      <c r="C601" s="6" t="s">
        <v>1523</v>
      </c>
    </row>
    <row r="602" spans="1:3" ht="17.649999999999999" x14ac:dyDescent="0.5">
      <c r="A602" s="19"/>
      <c r="B602" s="2">
        <v>32741</v>
      </c>
      <c r="C602" s="23" t="s">
        <v>1114</v>
      </c>
    </row>
    <row r="603" spans="1:3" ht="17.649999999999999" x14ac:dyDescent="0.5">
      <c r="A603" s="19"/>
      <c r="B603" s="2">
        <v>327410</v>
      </c>
      <c r="C603" s="23" t="s">
        <v>1824</v>
      </c>
    </row>
    <row r="604" spans="1:3" ht="17.649999999999999" x14ac:dyDescent="0.5">
      <c r="A604" s="19"/>
      <c r="B604" s="2">
        <v>32742</v>
      </c>
      <c r="C604" s="23" t="s">
        <v>1115</v>
      </c>
    </row>
    <row r="605" spans="1:3" ht="17.649999999999999" x14ac:dyDescent="0.5">
      <c r="A605" s="19"/>
      <c r="B605" s="2">
        <v>327420</v>
      </c>
      <c r="C605" s="23" t="s">
        <v>1825</v>
      </c>
    </row>
    <row r="606" spans="1:3" ht="17.649999999999999" x14ac:dyDescent="0.5">
      <c r="A606" s="19"/>
      <c r="B606" s="6">
        <v>3279</v>
      </c>
      <c r="C606" s="6" t="s">
        <v>1524</v>
      </c>
    </row>
    <row r="607" spans="1:3" ht="17.649999999999999" x14ac:dyDescent="0.5">
      <c r="A607" s="19"/>
      <c r="B607" s="2">
        <v>32791</v>
      </c>
      <c r="C607" s="23" t="s">
        <v>1116</v>
      </c>
    </row>
    <row r="608" spans="1:3" ht="17.649999999999999" x14ac:dyDescent="0.5">
      <c r="A608" s="19"/>
      <c r="B608" s="2">
        <v>327910</v>
      </c>
      <c r="C608" s="23" t="s">
        <v>1826</v>
      </c>
    </row>
    <row r="609" spans="1:3" ht="17.649999999999999" x14ac:dyDescent="0.5">
      <c r="A609" s="19"/>
      <c r="B609" s="2">
        <v>32799</v>
      </c>
      <c r="C609" s="23" t="s">
        <v>1117</v>
      </c>
    </row>
    <row r="610" spans="1:3" ht="17.649999999999999" x14ac:dyDescent="0.5">
      <c r="A610" s="19"/>
      <c r="B610" s="2">
        <v>327991</v>
      </c>
      <c r="C610" s="2" t="s">
        <v>592</v>
      </c>
    </row>
    <row r="611" spans="1:3" ht="17.649999999999999" x14ac:dyDescent="0.5">
      <c r="A611" s="19"/>
      <c r="B611" s="2">
        <v>327992</v>
      </c>
      <c r="C611" s="2" t="s">
        <v>593</v>
      </c>
    </row>
    <row r="612" spans="1:3" ht="17.649999999999999" x14ac:dyDescent="0.5">
      <c r="A612" s="19"/>
      <c r="B612" s="2">
        <v>327993</v>
      </c>
      <c r="C612" s="2" t="s">
        <v>594</v>
      </c>
    </row>
    <row r="613" spans="1:3" ht="17.649999999999999" x14ac:dyDescent="0.5">
      <c r="A613" s="19"/>
      <c r="B613" s="2">
        <v>327999</v>
      </c>
      <c r="C613" s="23" t="s">
        <v>595</v>
      </c>
    </row>
    <row r="614" spans="1:3" ht="17.649999999999999" x14ac:dyDescent="0.5">
      <c r="A614" s="19"/>
      <c r="B614" s="5">
        <v>331</v>
      </c>
      <c r="C614" s="5" t="s">
        <v>1525</v>
      </c>
    </row>
    <row r="615" spans="1:3" ht="17.649999999999999" x14ac:dyDescent="0.5">
      <c r="A615" s="19"/>
      <c r="B615" s="6">
        <v>3311</v>
      </c>
      <c r="C615" s="6" t="s">
        <v>1526</v>
      </c>
    </row>
    <row r="616" spans="1:3" ht="17.649999999999999" x14ac:dyDescent="0.5">
      <c r="A616" s="19"/>
      <c r="B616" s="2">
        <v>33111</v>
      </c>
      <c r="C616" s="23" t="s">
        <v>1118</v>
      </c>
    </row>
    <row r="617" spans="1:3" ht="17.649999999999999" x14ac:dyDescent="0.5">
      <c r="A617" s="19" t="s">
        <v>139</v>
      </c>
      <c r="B617" s="2">
        <v>331110</v>
      </c>
      <c r="C617" s="23" t="s">
        <v>49</v>
      </c>
    </row>
    <row r="618" spans="1:3" ht="17.649999999999999" x14ac:dyDescent="0.5">
      <c r="A618" s="19"/>
      <c r="B618" s="6">
        <v>3312</v>
      </c>
      <c r="C618" s="6" t="s">
        <v>1527</v>
      </c>
    </row>
    <row r="619" spans="1:3" ht="17.649999999999999" x14ac:dyDescent="0.5">
      <c r="A619" s="19"/>
      <c r="B619" s="2">
        <v>33121</v>
      </c>
      <c r="C619" s="23" t="s">
        <v>1119</v>
      </c>
    </row>
    <row r="620" spans="1:3" ht="17.649999999999999" x14ac:dyDescent="0.5">
      <c r="A620" s="19"/>
      <c r="B620" s="2">
        <v>331210</v>
      </c>
      <c r="C620" s="23" t="s">
        <v>1827</v>
      </c>
    </row>
    <row r="621" spans="1:3" ht="17.649999999999999" x14ac:dyDescent="0.5">
      <c r="A621" s="19"/>
      <c r="B621" s="2">
        <v>33122</v>
      </c>
      <c r="C621" s="23" t="s">
        <v>1120</v>
      </c>
    </row>
    <row r="622" spans="1:3" ht="17.649999999999999" x14ac:dyDescent="0.5">
      <c r="A622" s="19"/>
      <c r="B622" s="2">
        <v>331221</v>
      </c>
      <c r="C622" s="2" t="s">
        <v>227</v>
      </c>
    </row>
    <row r="623" spans="1:3" ht="17.649999999999999" x14ac:dyDescent="0.5">
      <c r="A623" s="19"/>
      <c r="B623" s="2">
        <v>331222</v>
      </c>
      <c r="C623" s="2" t="s">
        <v>228</v>
      </c>
    </row>
    <row r="624" spans="1:3" ht="17.649999999999999" x14ac:dyDescent="0.5">
      <c r="A624" s="19"/>
      <c r="B624" s="6">
        <v>3313</v>
      </c>
      <c r="C624" s="6" t="s">
        <v>1528</v>
      </c>
    </row>
    <row r="625" spans="1:3" ht="17.649999999999999" x14ac:dyDescent="0.5">
      <c r="A625" s="19"/>
      <c r="B625" s="2">
        <v>33131</v>
      </c>
      <c r="C625" s="23" t="s">
        <v>1121</v>
      </c>
    </row>
    <row r="626" spans="1:3" ht="17.649999999999999" x14ac:dyDescent="0.5">
      <c r="A626" s="19" t="s">
        <v>139</v>
      </c>
      <c r="B626" s="2">
        <v>331313</v>
      </c>
      <c r="C626" s="23" t="s">
        <v>1978</v>
      </c>
    </row>
    <row r="627" spans="1:3" ht="17.649999999999999" x14ac:dyDescent="0.5">
      <c r="A627" s="19"/>
      <c r="B627" s="2">
        <v>331314</v>
      </c>
      <c r="C627" s="2" t="s">
        <v>596</v>
      </c>
    </row>
    <row r="628" spans="1:3" ht="17.649999999999999" x14ac:dyDescent="0.5">
      <c r="A628" s="19"/>
      <c r="B628" s="2">
        <v>331315</v>
      </c>
      <c r="C628" s="2" t="s">
        <v>597</v>
      </c>
    </row>
    <row r="629" spans="1:3" ht="17.649999999999999" x14ac:dyDescent="0.5">
      <c r="A629" s="19" t="s">
        <v>139</v>
      </c>
      <c r="B629" s="2">
        <v>331318</v>
      </c>
      <c r="C629" s="2" t="s">
        <v>598</v>
      </c>
    </row>
    <row r="630" spans="1:3" ht="17.649999999999999" x14ac:dyDescent="0.5">
      <c r="A630" s="19"/>
      <c r="B630" s="6">
        <v>3314</v>
      </c>
      <c r="C630" s="6" t="s">
        <v>1529</v>
      </c>
    </row>
    <row r="631" spans="1:3" ht="17.649999999999999" x14ac:dyDescent="0.5">
      <c r="A631" s="19"/>
      <c r="B631" s="2">
        <v>33141</v>
      </c>
      <c r="C631" s="23" t="s">
        <v>1122</v>
      </c>
    </row>
    <row r="632" spans="1:3" ht="17.649999999999999" x14ac:dyDescent="0.5">
      <c r="A632" s="19" t="s">
        <v>139</v>
      </c>
      <c r="B632" s="2">
        <v>331410</v>
      </c>
      <c r="C632" s="2" t="s">
        <v>50</v>
      </c>
    </row>
    <row r="633" spans="1:3" ht="17.649999999999999" x14ac:dyDescent="0.5">
      <c r="A633" s="19"/>
      <c r="B633" s="2">
        <v>33142</v>
      </c>
      <c r="C633" s="23" t="s">
        <v>1123</v>
      </c>
    </row>
    <row r="634" spans="1:3" ht="17.649999999999999" x14ac:dyDescent="0.5">
      <c r="A634" s="19" t="s">
        <v>139</v>
      </c>
      <c r="B634" s="2">
        <v>331420</v>
      </c>
      <c r="C634" s="23" t="s">
        <v>1828</v>
      </c>
    </row>
    <row r="635" spans="1:3" ht="27" x14ac:dyDescent="0.5">
      <c r="A635" s="19"/>
      <c r="B635" s="2">
        <v>33149</v>
      </c>
      <c r="C635" s="23" t="s">
        <v>1124</v>
      </c>
    </row>
    <row r="636" spans="1:3" ht="25.5" x14ac:dyDescent="0.5">
      <c r="A636" s="19"/>
      <c r="B636" s="2">
        <v>331491</v>
      </c>
      <c r="C636" s="23" t="s">
        <v>599</v>
      </c>
    </row>
    <row r="637" spans="1:3" ht="25.5" x14ac:dyDescent="0.5">
      <c r="A637" s="19"/>
      <c r="B637" s="2">
        <v>331492</v>
      </c>
      <c r="C637" s="23" t="s">
        <v>600</v>
      </c>
    </row>
    <row r="638" spans="1:3" ht="17.649999999999999" x14ac:dyDescent="0.5">
      <c r="A638" s="19"/>
      <c r="B638" s="6">
        <v>3315</v>
      </c>
      <c r="C638" s="6" t="s">
        <v>1530</v>
      </c>
    </row>
    <row r="639" spans="1:3" ht="17.649999999999999" x14ac:dyDescent="0.5">
      <c r="A639" s="19"/>
      <c r="B639" s="2">
        <v>33151</v>
      </c>
      <c r="C639" s="23" t="s">
        <v>1125</v>
      </c>
    </row>
    <row r="640" spans="1:3" ht="17.649999999999999" x14ac:dyDescent="0.5">
      <c r="A640" s="19"/>
      <c r="B640" s="2">
        <v>331511</v>
      </c>
      <c r="C640" s="2" t="s">
        <v>229</v>
      </c>
    </row>
    <row r="641" spans="1:3" ht="17.649999999999999" x14ac:dyDescent="0.5">
      <c r="A641" s="19"/>
      <c r="B641" s="2">
        <v>331512</v>
      </c>
      <c r="C641" s="2" t="s">
        <v>601</v>
      </c>
    </row>
    <row r="642" spans="1:3" ht="17.649999999999999" x14ac:dyDescent="0.5">
      <c r="A642" s="19"/>
      <c r="B642" s="2">
        <v>331513</v>
      </c>
      <c r="C642" s="2" t="s">
        <v>602</v>
      </c>
    </row>
    <row r="643" spans="1:3" ht="17.649999999999999" x14ac:dyDescent="0.5">
      <c r="A643" s="19"/>
      <c r="B643" s="2">
        <v>33152</v>
      </c>
      <c r="C643" s="23" t="s">
        <v>1126</v>
      </c>
    </row>
    <row r="644" spans="1:3" ht="17.649999999999999" x14ac:dyDescent="0.5">
      <c r="A644" s="19" t="s">
        <v>139</v>
      </c>
      <c r="B644" s="2">
        <v>331523</v>
      </c>
      <c r="C644" s="23" t="s">
        <v>603</v>
      </c>
    </row>
    <row r="645" spans="1:3" ht="17.649999999999999" x14ac:dyDescent="0.5">
      <c r="A645" s="19"/>
      <c r="B645" s="2">
        <v>331524</v>
      </c>
      <c r="C645" s="2" t="s">
        <v>604</v>
      </c>
    </row>
    <row r="646" spans="1:3" ht="17.649999999999999" x14ac:dyDescent="0.5">
      <c r="A646" s="19" t="s">
        <v>139</v>
      </c>
      <c r="B646" s="2">
        <v>331529</v>
      </c>
      <c r="C646" s="23" t="s">
        <v>947</v>
      </c>
    </row>
    <row r="647" spans="1:3" ht="17.649999999999999" x14ac:dyDescent="0.5">
      <c r="A647" s="19"/>
      <c r="B647" s="5">
        <v>332</v>
      </c>
      <c r="C647" s="5" t="s">
        <v>1531</v>
      </c>
    </row>
    <row r="648" spans="1:3" ht="17.649999999999999" x14ac:dyDescent="0.5">
      <c r="A648" s="19"/>
      <c r="B648" s="6">
        <v>3321</v>
      </c>
      <c r="C648" s="6" t="s">
        <v>1532</v>
      </c>
    </row>
    <row r="649" spans="1:3" ht="17.649999999999999" x14ac:dyDescent="0.5">
      <c r="A649" s="19"/>
      <c r="B649" s="2">
        <v>33211</v>
      </c>
      <c r="C649" s="23" t="s">
        <v>1127</v>
      </c>
    </row>
    <row r="650" spans="1:3" ht="17.649999999999999" x14ac:dyDescent="0.5">
      <c r="A650" s="19"/>
      <c r="B650" s="2">
        <v>332111</v>
      </c>
      <c r="C650" s="2" t="s">
        <v>605</v>
      </c>
    </row>
    <row r="651" spans="1:3" ht="17.649999999999999" x14ac:dyDescent="0.5">
      <c r="A651" s="19"/>
      <c r="B651" s="2">
        <v>332112</v>
      </c>
      <c r="C651" s="23" t="s">
        <v>606</v>
      </c>
    </row>
    <row r="652" spans="1:3" ht="17.649999999999999" x14ac:dyDescent="0.5">
      <c r="A652" s="19"/>
      <c r="B652" s="2">
        <v>332114</v>
      </c>
      <c r="C652" s="23" t="s">
        <v>607</v>
      </c>
    </row>
    <row r="653" spans="1:3" ht="17.649999999999999" x14ac:dyDescent="0.5">
      <c r="A653" s="19"/>
      <c r="B653" s="2">
        <v>332117</v>
      </c>
      <c r="C653" s="23" t="s">
        <v>608</v>
      </c>
    </row>
    <row r="654" spans="1:3" ht="17.649999999999999" x14ac:dyDescent="0.5">
      <c r="A654" s="19" t="s">
        <v>139</v>
      </c>
      <c r="B654" s="2">
        <v>332119</v>
      </c>
      <c r="C654" s="23" t="s">
        <v>609</v>
      </c>
    </row>
    <row r="655" spans="1:3" ht="17.649999999999999" x14ac:dyDescent="0.5">
      <c r="A655" s="19"/>
      <c r="B655" s="6">
        <v>3322</v>
      </c>
      <c r="C655" s="6" t="s">
        <v>1533</v>
      </c>
    </row>
    <row r="656" spans="1:3" ht="17.649999999999999" x14ac:dyDescent="0.5">
      <c r="A656" s="19"/>
      <c r="B656" s="2">
        <v>33221</v>
      </c>
      <c r="C656" s="23" t="s">
        <v>1128</v>
      </c>
    </row>
    <row r="657" spans="1:3" ht="25.5" x14ac:dyDescent="0.5">
      <c r="A657" s="19" t="s">
        <v>139</v>
      </c>
      <c r="B657" s="2">
        <v>332215</v>
      </c>
      <c r="C657" s="23" t="s">
        <v>940</v>
      </c>
    </row>
    <row r="658" spans="1:3" ht="17.649999999999999" x14ac:dyDescent="0.5">
      <c r="A658" s="19" t="s">
        <v>139</v>
      </c>
      <c r="B658" s="2">
        <v>332216</v>
      </c>
      <c r="C658" s="2" t="s">
        <v>610</v>
      </c>
    </row>
    <row r="659" spans="1:3" ht="17.649999999999999" x14ac:dyDescent="0.5">
      <c r="A659" s="19"/>
      <c r="B659" s="6">
        <v>3323</v>
      </c>
      <c r="C659" s="6" t="s">
        <v>1534</v>
      </c>
    </row>
    <row r="660" spans="1:3" ht="17.649999999999999" x14ac:dyDescent="0.5">
      <c r="A660" s="19"/>
      <c r="B660" s="2">
        <v>33231</v>
      </c>
      <c r="C660" s="23" t="s">
        <v>1129</v>
      </c>
    </row>
    <row r="661" spans="1:3" ht="17.649999999999999" x14ac:dyDescent="0.5">
      <c r="A661" s="19"/>
      <c r="B661" s="2">
        <v>332311</v>
      </c>
      <c r="C661" s="2" t="s">
        <v>230</v>
      </c>
    </row>
    <row r="662" spans="1:3" ht="17.649999999999999" x14ac:dyDescent="0.5">
      <c r="A662" s="19"/>
      <c r="B662" s="2">
        <v>332312</v>
      </c>
      <c r="C662" s="2" t="s">
        <v>611</v>
      </c>
    </row>
    <row r="663" spans="1:3" ht="17.649999999999999" x14ac:dyDescent="0.5">
      <c r="A663" s="19"/>
      <c r="B663" s="2">
        <v>332313</v>
      </c>
      <c r="C663" s="2" t="s">
        <v>612</v>
      </c>
    </row>
    <row r="664" spans="1:3" ht="17.649999999999999" x14ac:dyDescent="0.5">
      <c r="A664" s="19"/>
      <c r="B664" s="2">
        <v>33232</v>
      </c>
      <c r="C664" s="23" t="s">
        <v>1130</v>
      </c>
    </row>
    <row r="665" spans="1:3" ht="17.649999999999999" x14ac:dyDescent="0.5">
      <c r="A665" s="19"/>
      <c r="B665" s="2">
        <v>332321</v>
      </c>
      <c r="C665" s="2" t="s">
        <v>231</v>
      </c>
    </row>
    <row r="666" spans="1:3" ht="17.649999999999999" x14ac:dyDescent="0.5">
      <c r="A666" s="19"/>
      <c r="B666" s="2">
        <v>332322</v>
      </c>
      <c r="C666" s="2" t="s">
        <v>613</v>
      </c>
    </row>
    <row r="667" spans="1:3" ht="17.649999999999999" x14ac:dyDescent="0.5">
      <c r="A667" s="19"/>
      <c r="B667" s="2">
        <v>332323</v>
      </c>
      <c r="C667" s="2" t="s">
        <v>614</v>
      </c>
    </row>
    <row r="668" spans="1:3" ht="17.649999999999999" x14ac:dyDescent="0.5">
      <c r="A668" s="19"/>
      <c r="B668" s="6">
        <v>3324</v>
      </c>
      <c r="C668" s="6" t="s">
        <v>1535</v>
      </c>
    </row>
    <row r="669" spans="1:3" ht="17.649999999999999" x14ac:dyDescent="0.5">
      <c r="A669" s="19"/>
      <c r="B669" s="2">
        <v>33241</v>
      </c>
      <c r="C669" s="23" t="s">
        <v>1131</v>
      </c>
    </row>
    <row r="670" spans="1:3" ht="17.649999999999999" x14ac:dyDescent="0.5">
      <c r="A670" s="19"/>
      <c r="B670" s="2">
        <v>332410</v>
      </c>
      <c r="C670" s="23" t="s">
        <v>1829</v>
      </c>
    </row>
    <row r="671" spans="1:3" ht="17.649999999999999" x14ac:dyDescent="0.5">
      <c r="A671" s="19"/>
      <c r="B671" s="2">
        <v>33242</v>
      </c>
      <c r="C671" s="23" t="s">
        <v>1132</v>
      </c>
    </row>
    <row r="672" spans="1:3" ht="17.649999999999999" x14ac:dyDescent="0.5">
      <c r="A672" s="19"/>
      <c r="B672" s="2">
        <v>332420</v>
      </c>
      <c r="C672" s="23" t="s">
        <v>1830</v>
      </c>
    </row>
    <row r="673" spans="1:3" ht="27" x14ac:dyDescent="0.5">
      <c r="A673" s="19"/>
      <c r="B673" s="2">
        <v>33243</v>
      </c>
      <c r="C673" s="23" t="s">
        <v>1133</v>
      </c>
    </row>
    <row r="674" spans="1:3" ht="17.649999999999999" x14ac:dyDescent="0.5">
      <c r="A674" s="19"/>
      <c r="B674" s="2">
        <v>332431</v>
      </c>
      <c r="C674" s="23" t="s">
        <v>945</v>
      </c>
    </row>
    <row r="675" spans="1:3" ht="17.649999999999999" x14ac:dyDescent="0.5">
      <c r="A675" s="19"/>
      <c r="B675" s="2">
        <v>332439</v>
      </c>
      <c r="C675" s="2" t="s">
        <v>232</v>
      </c>
    </row>
    <row r="676" spans="1:3" ht="17.649999999999999" x14ac:dyDescent="0.5">
      <c r="A676" s="19"/>
      <c r="B676" s="6">
        <v>3325</v>
      </c>
      <c r="C676" s="6" t="s">
        <v>1536</v>
      </c>
    </row>
    <row r="677" spans="1:3" ht="17.649999999999999" x14ac:dyDescent="0.5">
      <c r="A677" s="19"/>
      <c r="B677" s="2">
        <v>33251</v>
      </c>
      <c r="C677" s="23" t="s">
        <v>1134</v>
      </c>
    </row>
    <row r="678" spans="1:3" ht="17.649999999999999" x14ac:dyDescent="0.5">
      <c r="A678" s="19"/>
      <c r="B678" s="2">
        <v>332510</v>
      </c>
      <c r="C678" s="23" t="s">
        <v>1831</v>
      </c>
    </row>
    <row r="679" spans="1:3" ht="17.649999999999999" x14ac:dyDescent="0.5">
      <c r="A679" s="19"/>
      <c r="B679" s="6">
        <v>3326</v>
      </c>
      <c r="C679" s="6" t="s">
        <v>1537</v>
      </c>
    </row>
    <row r="680" spans="1:3" ht="17.649999999999999" x14ac:dyDescent="0.5">
      <c r="A680" s="19"/>
      <c r="B680" s="2">
        <v>33261</v>
      </c>
      <c r="C680" s="23" t="s">
        <v>1135</v>
      </c>
    </row>
    <row r="681" spans="1:3" ht="17.649999999999999" x14ac:dyDescent="0.5">
      <c r="A681" s="19" t="s">
        <v>139</v>
      </c>
      <c r="B681" s="2">
        <v>332613</v>
      </c>
      <c r="C681" s="2" t="s">
        <v>615</v>
      </c>
    </row>
    <row r="682" spans="1:3" ht="17.649999999999999" x14ac:dyDescent="0.5">
      <c r="A682" s="19"/>
      <c r="B682" s="2">
        <v>332618</v>
      </c>
      <c r="C682" s="2" t="s">
        <v>616</v>
      </c>
    </row>
    <row r="683" spans="1:3" ht="28.15" x14ac:dyDescent="0.5">
      <c r="A683" s="19"/>
      <c r="B683" s="6">
        <v>3327</v>
      </c>
      <c r="C683" s="6" t="s">
        <v>1538</v>
      </c>
    </row>
    <row r="684" spans="1:3" ht="17.649999999999999" x14ac:dyDescent="0.5">
      <c r="A684" s="19"/>
      <c r="B684" s="2">
        <v>33271</v>
      </c>
      <c r="C684" s="23" t="s">
        <v>1136</v>
      </c>
    </row>
    <row r="685" spans="1:3" ht="17.649999999999999" x14ac:dyDescent="0.5">
      <c r="A685" s="19"/>
      <c r="B685" s="2">
        <v>332710</v>
      </c>
      <c r="C685" s="23" t="s">
        <v>1832</v>
      </c>
    </row>
    <row r="686" spans="1:3" ht="17.649999999999999" x14ac:dyDescent="0.5">
      <c r="A686" s="19"/>
      <c r="B686" s="2">
        <v>33272</v>
      </c>
      <c r="C686" s="23" t="s">
        <v>1137</v>
      </c>
    </row>
    <row r="687" spans="1:3" ht="17.649999999999999" x14ac:dyDescent="0.5">
      <c r="A687" s="19"/>
      <c r="B687" s="2">
        <v>332721</v>
      </c>
      <c r="C687" s="2" t="s">
        <v>617</v>
      </c>
    </row>
    <row r="688" spans="1:3" ht="17.649999999999999" x14ac:dyDescent="0.5">
      <c r="A688" s="19"/>
      <c r="B688" s="2">
        <v>332722</v>
      </c>
      <c r="C688" s="2" t="s">
        <v>618</v>
      </c>
    </row>
    <row r="689" spans="1:3" ht="17.649999999999999" x14ac:dyDescent="0.5">
      <c r="A689" s="19"/>
      <c r="B689" s="6">
        <v>3328</v>
      </c>
      <c r="C689" s="6" t="s">
        <v>1539</v>
      </c>
    </row>
    <row r="690" spans="1:3" ht="17.649999999999999" x14ac:dyDescent="0.5">
      <c r="A690" s="19"/>
      <c r="B690" s="2">
        <v>33281</v>
      </c>
      <c r="C690" s="23" t="s">
        <v>1138</v>
      </c>
    </row>
    <row r="691" spans="1:3" ht="17.649999999999999" x14ac:dyDescent="0.5">
      <c r="A691" s="19"/>
      <c r="B691" s="2">
        <v>332811</v>
      </c>
      <c r="C691" s="2" t="s">
        <v>619</v>
      </c>
    </row>
    <row r="692" spans="1:3" ht="25.5" x14ac:dyDescent="0.5">
      <c r="A692" s="19"/>
      <c r="B692" s="2">
        <v>332812</v>
      </c>
      <c r="C692" s="2" t="s">
        <v>620</v>
      </c>
    </row>
    <row r="693" spans="1:3" ht="17.649999999999999" x14ac:dyDescent="0.5">
      <c r="A693" s="19"/>
      <c r="B693" s="2">
        <v>332813</v>
      </c>
      <c r="C693" s="2" t="s">
        <v>621</v>
      </c>
    </row>
    <row r="694" spans="1:3" ht="17.649999999999999" x14ac:dyDescent="0.5">
      <c r="A694" s="19"/>
      <c r="B694" s="6">
        <v>3329</v>
      </c>
      <c r="C694" s="6" t="s">
        <v>1540</v>
      </c>
    </row>
    <row r="695" spans="1:3" ht="17.649999999999999" x14ac:dyDescent="0.5">
      <c r="A695" s="19"/>
      <c r="B695" s="2">
        <v>33291</v>
      </c>
      <c r="C695" s="23" t="s">
        <v>1139</v>
      </c>
    </row>
    <row r="696" spans="1:3" ht="17.649999999999999" x14ac:dyDescent="0.5">
      <c r="A696" s="19"/>
      <c r="B696" s="2">
        <v>332911</v>
      </c>
      <c r="C696" s="23" t="s">
        <v>622</v>
      </c>
    </row>
    <row r="697" spans="1:3" ht="17.649999999999999" x14ac:dyDescent="0.5">
      <c r="A697" s="19"/>
      <c r="B697" s="2">
        <v>332912</v>
      </c>
      <c r="C697" s="23" t="s">
        <v>623</v>
      </c>
    </row>
    <row r="698" spans="1:3" ht="17.649999999999999" x14ac:dyDescent="0.5">
      <c r="A698" s="19"/>
      <c r="B698" s="2">
        <v>332913</v>
      </c>
      <c r="C698" s="23" t="s">
        <v>624</v>
      </c>
    </row>
    <row r="699" spans="1:3" ht="17.649999999999999" x14ac:dyDescent="0.5">
      <c r="A699" s="19"/>
      <c r="B699" s="2">
        <v>332919</v>
      </c>
      <c r="C699" s="23" t="s">
        <v>625</v>
      </c>
    </row>
    <row r="700" spans="1:3" ht="17.649999999999999" x14ac:dyDescent="0.5">
      <c r="A700" s="19"/>
      <c r="B700" s="2">
        <v>33299</v>
      </c>
      <c r="C700" s="23" t="s">
        <v>1140</v>
      </c>
    </row>
    <row r="701" spans="1:3" ht="17.649999999999999" x14ac:dyDescent="0.5">
      <c r="A701" s="19"/>
      <c r="B701" s="2">
        <v>332991</v>
      </c>
      <c r="C701" s="23" t="s">
        <v>1833</v>
      </c>
    </row>
    <row r="702" spans="1:3" ht="17.649999999999999" x14ac:dyDescent="0.5">
      <c r="A702" s="19"/>
      <c r="B702" s="2">
        <v>332992</v>
      </c>
      <c r="C702" s="2" t="s">
        <v>626</v>
      </c>
    </row>
    <row r="703" spans="1:3" ht="17.649999999999999" x14ac:dyDescent="0.5">
      <c r="A703" s="19"/>
      <c r="B703" s="2">
        <v>332993</v>
      </c>
      <c r="C703" s="2" t="s">
        <v>627</v>
      </c>
    </row>
    <row r="704" spans="1:3" ht="17.649999999999999" x14ac:dyDescent="0.5">
      <c r="A704" s="19" t="s">
        <v>141</v>
      </c>
      <c r="B704" s="2">
        <v>332994</v>
      </c>
      <c r="C704" s="23" t="s">
        <v>1753</v>
      </c>
    </row>
    <row r="705" spans="1:3" ht="17.649999999999999" x14ac:dyDescent="0.5">
      <c r="A705" s="19"/>
      <c r="B705" s="2">
        <v>332996</v>
      </c>
      <c r="C705" s="2" t="s">
        <v>628</v>
      </c>
    </row>
    <row r="706" spans="1:3" ht="17.649999999999999" x14ac:dyDescent="0.5">
      <c r="A706" s="21" t="s">
        <v>141</v>
      </c>
      <c r="B706" s="2">
        <v>332999</v>
      </c>
      <c r="C706" s="23" t="s">
        <v>629</v>
      </c>
    </row>
    <row r="707" spans="1:3" ht="17.649999999999999" x14ac:dyDescent="0.5">
      <c r="A707" s="19"/>
      <c r="B707" s="5">
        <v>333</v>
      </c>
      <c r="C707" s="5" t="s">
        <v>1541</v>
      </c>
    </row>
    <row r="708" spans="1:3" ht="17.649999999999999" x14ac:dyDescent="0.5">
      <c r="A708" s="19"/>
      <c r="B708" s="6">
        <v>3331</v>
      </c>
      <c r="C708" s="6" t="s">
        <v>1542</v>
      </c>
    </row>
    <row r="709" spans="1:3" ht="17.649999999999999" x14ac:dyDescent="0.5">
      <c r="A709" s="19"/>
      <c r="B709" s="2">
        <v>33311</v>
      </c>
      <c r="C709" s="23" t="s">
        <v>1141</v>
      </c>
    </row>
    <row r="710" spans="1:3" ht="17.649999999999999" x14ac:dyDescent="0.5">
      <c r="A710" s="19"/>
      <c r="B710" s="2">
        <v>333111</v>
      </c>
      <c r="C710" s="2" t="s">
        <v>630</v>
      </c>
    </row>
    <row r="711" spans="1:3" ht="25.5" x14ac:dyDescent="0.5">
      <c r="A711" s="19"/>
      <c r="B711" s="2">
        <v>333112</v>
      </c>
      <c r="C711" s="2" t="s">
        <v>631</v>
      </c>
    </row>
    <row r="712" spans="1:3" ht="17.649999999999999" x14ac:dyDescent="0.5">
      <c r="A712" s="19"/>
      <c r="B712" s="2">
        <v>33312</v>
      </c>
      <c r="C712" s="23" t="s">
        <v>1142</v>
      </c>
    </row>
    <row r="713" spans="1:3" ht="17.649999999999999" x14ac:dyDescent="0.5">
      <c r="A713" s="19"/>
      <c r="B713" s="2">
        <v>333120</v>
      </c>
      <c r="C713" s="23" t="s">
        <v>1834</v>
      </c>
    </row>
    <row r="714" spans="1:3" ht="17.649999999999999" x14ac:dyDescent="0.5">
      <c r="A714" s="19"/>
      <c r="B714" s="2">
        <v>33313</v>
      </c>
      <c r="C714" s="23" t="s">
        <v>1143</v>
      </c>
    </row>
    <row r="715" spans="1:3" ht="17.649999999999999" x14ac:dyDescent="0.5">
      <c r="A715" s="19"/>
      <c r="B715" s="2">
        <v>333131</v>
      </c>
      <c r="C715" s="2" t="s">
        <v>632</v>
      </c>
    </row>
    <row r="716" spans="1:3" ht="17.649999999999999" x14ac:dyDescent="0.5">
      <c r="A716" s="19"/>
      <c r="B716" s="2">
        <v>333132</v>
      </c>
      <c r="C716" s="2" t="s">
        <v>633</v>
      </c>
    </row>
    <row r="717" spans="1:3" ht="17.649999999999999" x14ac:dyDescent="0.5">
      <c r="A717" s="19"/>
      <c r="B717" s="6">
        <v>3332</v>
      </c>
      <c r="C717" s="6" t="s">
        <v>1543</v>
      </c>
    </row>
    <row r="718" spans="1:3" ht="17.649999999999999" x14ac:dyDescent="0.5">
      <c r="A718" s="19" t="s">
        <v>139</v>
      </c>
      <c r="B718" s="2">
        <v>33324</v>
      </c>
      <c r="C718" s="23" t="s">
        <v>1144</v>
      </c>
    </row>
    <row r="719" spans="1:3" ht="17.649999999999999" x14ac:dyDescent="0.5">
      <c r="A719" s="19" t="s">
        <v>139</v>
      </c>
      <c r="B719" s="2">
        <v>333241</v>
      </c>
      <c r="C719" s="2" t="s">
        <v>51</v>
      </c>
    </row>
    <row r="720" spans="1:3" ht="17.649999999999999" x14ac:dyDescent="0.5">
      <c r="A720" s="19" t="s">
        <v>139</v>
      </c>
      <c r="B720" s="2">
        <v>333242</v>
      </c>
      <c r="C720" s="2" t="s">
        <v>52</v>
      </c>
    </row>
    <row r="721" spans="1:3" ht="17.649999999999999" x14ac:dyDescent="0.5">
      <c r="A721" s="19" t="s">
        <v>139</v>
      </c>
      <c r="B721" s="2">
        <v>333243</v>
      </c>
      <c r="C721" s="2" t="s">
        <v>53</v>
      </c>
    </row>
    <row r="722" spans="1:3" ht="17.649999999999999" x14ac:dyDescent="0.5">
      <c r="A722" s="19" t="s">
        <v>139</v>
      </c>
      <c r="B722" s="2">
        <v>333244</v>
      </c>
      <c r="C722" s="2" t="s">
        <v>54</v>
      </c>
    </row>
    <row r="723" spans="1:3" ht="17.649999999999999" x14ac:dyDescent="0.5">
      <c r="A723" s="19" t="s">
        <v>139</v>
      </c>
      <c r="B723" s="2">
        <v>333249</v>
      </c>
      <c r="C723" s="2" t="s">
        <v>55</v>
      </c>
    </row>
    <row r="724" spans="1:3" ht="17.649999999999999" x14ac:dyDescent="0.5">
      <c r="A724" s="19"/>
      <c r="B724" s="6">
        <v>3333</v>
      </c>
      <c r="C724" s="6" t="s">
        <v>1544</v>
      </c>
    </row>
    <row r="725" spans="1:3" ht="17.649999999999999" x14ac:dyDescent="0.5">
      <c r="A725" s="19"/>
      <c r="B725" s="2">
        <v>33331</v>
      </c>
      <c r="C725" s="23" t="s">
        <v>1145</v>
      </c>
    </row>
    <row r="726" spans="1:3" ht="17.649999999999999" x14ac:dyDescent="0.5">
      <c r="A726" s="19"/>
      <c r="B726" s="2">
        <v>333314</v>
      </c>
      <c r="C726" s="2" t="s">
        <v>634</v>
      </c>
    </row>
    <row r="727" spans="1:3" ht="17.649999999999999" x14ac:dyDescent="0.5">
      <c r="A727" s="19" t="s">
        <v>139</v>
      </c>
      <c r="B727" s="2">
        <v>333316</v>
      </c>
      <c r="C727" s="2" t="s">
        <v>635</v>
      </c>
    </row>
    <row r="728" spans="1:3" ht="17.649999999999999" x14ac:dyDescent="0.5">
      <c r="A728" s="19" t="s">
        <v>139</v>
      </c>
      <c r="B728" s="2">
        <v>333318</v>
      </c>
      <c r="C728" s="23" t="s">
        <v>636</v>
      </c>
    </row>
    <row r="729" spans="1:3" ht="28.15" x14ac:dyDescent="0.5">
      <c r="A729" s="19"/>
      <c r="B729" s="6">
        <v>3334</v>
      </c>
      <c r="C729" s="6" t="s">
        <v>1545</v>
      </c>
    </row>
    <row r="730" spans="1:3" ht="27" x14ac:dyDescent="0.5">
      <c r="A730" s="19"/>
      <c r="B730" s="2">
        <v>33341</v>
      </c>
      <c r="C730" s="23" t="s">
        <v>1146</v>
      </c>
    </row>
    <row r="731" spans="1:3" ht="25.5" x14ac:dyDescent="0.5">
      <c r="A731" s="19" t="s">
        <v>139</v>
      </c>
      <c r="B731" s="2">
        <v>333413</v>
      </c>
      <c r="C731" s="2" t="s">
        <v>56</v>
      </c>
    </row>
    <row r="732" spans="1:3" ht="17.649999999999999" x14ac:dyDescent="0.5">
      <c r="A732" s="19"/>
      <c r="B732" s="2">
        <v>333414</v>
      </c>
      <c r="C732" s="2" t="s">
        <v>637</v>
      </c>
    </row>
    <row r="733" spans="1:3" ht="25.5" x14ac:dyDescent="0.5">
      <c r="A733" s="19"/>
      <c r="B733" s="2">
        <v>333415</v>
      </c>
      <c r="C733" s="23" t="s">
        <v>638</v>
      </c>
    </row>
    <row r="734" spans="1:3" ht="17.649999999999999" x14ac:dyDescent="0.5">
      <c r="A734" s="19"/>
      <c r="B734" s="6">
        <v>3335</v>
      </c>
      <c r="C734" s="6" t="s">
        <v>1546</v>
      </c>
    </row>
    <row r="735" spans="1:3" ht="17.649999999999999" x14ac:dyDescent="0.5">
      <c r="A735" s="19"/>
      <c r="B735" s="2">
        <v>33351</v>
      </c>
      <c r="C735" s="23" t="s">
        <v>1147</v>
      </c>
    </row>
    <row r="736" spans="1:3" ht="17.649999999999999" x14ac:dyDescent="0.5">
      <c r="A736" s="19"/>
      <c r="B736" s="2">
        <v>333511</v>
      </c>
      <c r="C736" s="2" t="s">
        <v>233</v>
      </c>
    </row>
    <row r="737" spans="1:3" ht="17.649999999999999" x14ac:dyDescent="0.5">
      <c r="A737" s="19"/>
      <c r="B737" s="2">
        <v>333514</v>
      </c>
      <c r="C737" s="2" t="s">
        <v>639</v>
      </c>
    </row>
    <row r="738" spans="1:3" ht="17.649999999999999" x14ac:dyDescent="0.5">
      <c r="A738" s="19"/>
      <c r="B738" s="2">
        <v>333515</v>
      </c>
      <c r="C738" s="2" t="s">
        <v>640</v>
      </c>
    </row>
    <row r="739" spans="1:3" ht="17.649999999999999" x14ac:dyDescent="0.5">
      <c r="A739" s="19" t="s">
        <v>139</v>
      </c>
      <c r="B739" s="2">
        <v>333517</v>
      </c>
      <c r="C739" s="2" t="s">
        <v>57</v>
      </c>
    </row>
    <row r="740" spans="1:3" ht="17.649999999999999" x14ac:dyDescent="0.5">
      <c r="A740" s="19" t="s">
        <v>139</v>
      </c>
      <c r="B740" s="2">
        <v>333519</v>
      </c>
      <c r="C740" s="2" t="s">
        <v>58</v>
      </c>
    </row>
    <row r="741" spans="1:3" ht="28.15" x14ac:dyDescent="0.5">
      <c r="A741" s="19"/>
      <c r="B741" s="6">
        <v>3336</v>
      </c>
      <c r="C741" s="6" t="s">
        <v>1547</v>
      </c>
    </row>
    <row r="742" spans="1:3" ht="17.649999999999999" x14ac:dyDescent="0.5">
      <c r="A742" s="19"/>
      <c r="B742" s="2">
        <v>33361</v>
      </c>
      <c r="C742" s="23" t="s">
        <v>1148</v>
      </c>
    </row>
    <row r="743" spans="1:3" ht="17.649999999999999" x14ac:dyDescent="0.5">
      <c r="A743" s="19"/>
      <c r="B743" s="2">
        <v>333611</v>
      </c>
      <c r="C743" s="2" t="s">
        <v>234</v>
      </c>
    </row>
    <row r="744" spans="1:3" ht="17.649999999999999" x14ac:dyDescent="0.5">
      <c r="A744" s="19"/>
      <c r="B744" s="2">
        <v>333612</v>
      </c>
      <c r="C744" s="23" t="s">
        <v>941</v>
      </c>
    </row>
    <row r="745" spans="1:3" ht="17.649999999999999" x14ac:dyDescent="0.5">
      <c r="A745" s="19"/>
      <c r="B745" s="2">
        <v>333613</v>
      </c>
      <c r="C745" s="2" t="s">
        <v>641</v>
      </c>
    </row>
    <row r="746" spans="1:3" ht="17.649999999999999" x14ac:dyDescent="0.5">
      <c r="A746" s="19"/>
      <c r="B746" s="2">
        <v>333618</v>
      </c>
      <c r="C746" s="2" t="s">
        <v>642</v>
      </c>
    </row>
    <row r="747" spans="1:3" ht="17.649999999999999" x14ac:dyDescent="0.5">
      <c r="A747" s="19"/>
      <c r="B747" s="6">
        <v>3339</v>
      </c>
      <c r="C747" s="6" t="s">
        <v>1548</v>
      </c>
    </row>
    <row r="748" spans="1:3" ht="17.649999999999999" x14ac:dyDescent="0.5">
      <c r="A748" s="19"/>
      <c r="B748" s="2">
        <v>33391</v>
      </c>
      <c r="C748" s="23" t="s">
        <v>1149</v>
      </c>
    </row>
    <row r="749" spans="1:3" ht="17.649999999999999" x14ac:dyDescent="0.5">
      <c r="A749" s="19"/>
      <c r="B749" s="2">
        <v>333911</v>
      </c>
      <c r="C749" s="2" t="s">
        <v>643</v>
      </c>
    </row>
    <row r="750" spans="1:3" ht="17.649999999999999" x14ac:dyDescent="0.5">
      <c r="A750" s="19"/>
      <c r="B750" s="2">
        <v>333912</v>
      </c>
      <c r="C750" s="2" t="s">
        <v>644</v>
      </c>
    </row>
    <row r="751" spans="1:3" ht="17.649999999999999" x14ac:dyDescent="0.5">
      <c r="A751" s="19"/>
      <c r="B751" s="2">
        <v>333913</v>
      </c>
      <c r="C751" s="2" t="s">
        <v>645</v>
      </c>
    </row>
    <row r="752" spans="1:3" ht="17.649999999999999" x14ac:dyDescent="0.5">
      <c r="A752" s="19"/>
      <c r="B752" s="2">
        <v>33392</v>
      </c>
      <c r="C752" s="23" t="s">
        <v>1150</v>
      </c>
    </row>
    <row r="753" spans="1:3" ht="17.649999999999999" x14ac:dyDescent="0.5">
      <c r="A753" s="19"/>
      <c r="B753" s="2">
        <v>333921</v>
      </c>
      <c r="C753" s="2" t="s">
        <v>646</v>
      </c>
    </row>
    <row r="754" spans="1:3" ht="17.649999999999999" x14ac:dyDescent="0.5">
      <c r="A754" s="19"/>
      <c r="B754" s="2">
        <v>333922</v>
      </c>
      <c r="C754" s="2" t="s">
        <v>647</v>
      </c>
    </row>
    <row r="755" spans="1:3" ht="17.649999999999999" x14ac:dyDescent="0.5">
      <c r="A755" s="19"/>
      <c r="B755" s="2">
        <v>333923</v>
      </c>
      <c r="C755" s="2" t="s">
        <v>648</v>
      </c>
    </row>
    <row r="756" spans="1:3" ht="17.649999999999999" x14ac:dyDescent="0.5">
      <c r="A756" s="19"/>
      <c r="B756" s="2">
        <v>333924</v>
      </c>
      <c r="C756" s="23" t="s">
        <v>649</v>
      </c>
    </row>
    <row r="757" spans="1:3" ht="17.649999999999999" x14ac:dyDescent="0.5">
      <c r="A757" s="19"/>
      <c r="B757" s="2">
        <v>33399</v>
      </c>
      <c r="C757" s="23" t="s">
        <v>1151</v>
      </c>
    </row>
    <row r="758" spans="1:3" ht="17.649999999999999" x14ac:dyDescent="0.5">
      <c r="A758" s="19"/>
      <c r="B758" s="2">
        <v>333991</v>
      </c>
      <c r="C758" s="2" t="s">
        <v>650</v>
      </c>
    </row>
    <row r="759" spans="1:3" ht="17.649999999999999" x14ac:dyDescent="0.5">
      <c r="A759" s="19"/>
      <c r="B759" s="2">
        <v>333992</v>
      </c>
      <c r="C759" s="2" t="s">
        <v>651</v>
      </c>
    </row>
    <row r="760" spans="1:3" ht="17.649999999999999" x14ac:dyDescent="0.5">
      <c r="A760" s="19"/>
      <c r="B760" s="2">
        <v>333993</v>
      </c>
      <c r="C760" s="2" t="s">
        <v>652</v>
      </c>
    </row>
    <row r="761" spans="1:3" ht="17.649999999999999" x14ac:dyDescent="0.5">
      <c r="A761" s="19"/>
      <c r="B761" s="2">
        <v>333994</v>
      </c>
      <c r="C761" s="23" t="s">
        <v>653</v>
      </c>
    </row>
    <row r="762" spans="1:3" ht="17.649999999999999" x14ac:dyDescent="0.5">
      <c r="A762" s="19"/>
      <c r="B762" s="2">
        <v>333995</v>
      </c>
      <c r="C762" s="23" t="s">
        <v>654</v>
      </c>
    </row>
    <row r="763" spans="1:3" ht="17.649999999999999" x14ac:dyDescent="0.5">
      <c r="A763" s="19"/>
      <c r="B763" s="2">
        <v>333996</v>
      </c>
      <c r="C763" s="23" t="s">
        <v>655</v>
      </c>
    </row>
    <row r="764" spans="1:3" ht="17.649999999999999" x14ac:dyDescent="0.5">
      <c r="A764" s="19"/>
      <c r="B764" s="2">
        <v>333997</v>
      </c>
      <c r="C764" s="23" t="s">
        <v>656</v>
      </c>
    </row>
    <row r="765" spans="1:3" ht="17.649999999999999" x14ac:dyDescent="0.5">
      <c r="A765" s="19"/>
      <c r="B765" s="2">
        <v>333999</v>
      </c>
      <c r="C765" s="23" t="s">
        <v>657</v>
      </c>
    </row>
    <row r="766" spans="1:3" ht="17.649999999999999" x14ac:dyDescent="0.5">
      <c r="A766" s="19"/>
      <c r="B766" s="5">
        <v>334</v>
      </c>
      <c r="C766" s="5" t="s">
        <v>1549</v>
      </c>
    </row>
    <row r="767" spans="1:3" ht="17.649999999999999" x14ac:dyDescent="0.5">
      <c r="A767" s="19"/>
      <c r="B767" s="6">
        <v>3341</v>
      </c>
      <c r="C767" s="6" t="s">
        <v>1550</v>
      </c>
    </row>
    <row r="768" spans="1:3" ht="17.649999999999999" x14ac:dyDescent="0.5">
      <c r="A768" s="19"/>
      <c r="B768" s="2">
        <v>33411</v>
      </c>
      <c r="C768" s="23" t="s">
        <v>1152</v>
      </c>
    </row>
    <row r="769" spans="1:3" ht="17.649999999999999" x14ac:dyDescent="0.5">
      <c r="A769" s="19"/>
      <c r="B769" s="2">
        <v>334111</v>
      </c>
      <c r="C769" s="2" t="s">
        <v>658</v>
      </c>
    </row>
    <row r="770" spans="1:3" ht="17.649999999999999" x14ac:dyDescent="0.5">
      <c r="A770" s="19"/>
      <c r="B770" s="2">
        <v>334112</v>
      </c>
      <c r="C770" s="2" t="s">
        <v>659</v>
      </c>
    </row>
    <row r="771" spans="1:3" ht="25.5" x14ac:dyDescent="0.5">
      <c r="A771" s="19" t="s">
        <v>139</v>
      </c>
      <c r="B771" s="2">
        <v>334118</v>
      </c>
      <c r="C771" s="2" t="s">
        <v>59</v>
      </c>
    </row>
    <row r="772" spans="1:3" ht="17.649999999999999" x14ac:dyDescent="0.5">
      <c r="A772" s="19"/>
      <c r="B772" s="6">
        <v>3342</v>
      </c>
      <c r="C772" s="6" t="s">
        <v>1551</v>
      </c>
    </row>
    <row r="773" spans="1:3" ht="17.649999999999999" x14ac:dyDescent="0.5">
      <c r="A773" s="19"/>
      <c r="B773" s="2">
        <v>33421</v>
      </c>
      <c r="C773" s="23" t="s">
        <v>1153</v>
      </c>
    </row>
    <row r="774" spans="1:3" ht="17.649999999999999" x14ac:dyDescent="0.5">
      <c r="A774" s="19"/>
      <c r="B774" s="2">
        <v>334210</v>
      </c>
      <c r="C774" s="23" t="s">
        <v>1835</v>
      </c>
    </row>
    <row r="775" spans="1:3" ht="27" x14ac:dyDescent="0.5">
      <c r="A775" s="19"/>
      <c r="B775" s="2">
        <v>33422</v>
      </c>
      <c r="C775" s="23" t="s">
        <v>1154</v>
      </c>
    </row>
    <row r="776" spans="1:3" ht="25.5" x14ac:dyDescent="0.5">
      <c r="A776" s="19"/>
      <c r="B776" s="2">
        <v>334220</v>
      </c>
      <c r="C776" s="23" t="s">
        <v>1836</v>
      </c>
    </row>
    <row r="777" spans="1:3" ht="17.649999999999999" x14ac:dyDescent="0.5">
      <c r="A777" s="19"/>
      <c r="B777" s="2">
        <v>33429</v>
      </c>
      <c r="C777" s="23" t="s">
        <v>1155</v>
      </c>
    </row>
    <row r="778" spans="1:3" ht="17.649999999999999" x14ac:dyDescent="0.5">
      <c r="A778" s="19"/>
      <c r="B778" s="2">
        <v>334290</v>
      </c>
      <c r="C778" s="23" t="s">
        <v>1837</v>
      </c>
    </row>
    <row r="779" spans="1:3" ht="17.649999999999999" x14ac:dyDescent="0.5">
      <c r="A779" s="19"/>
      <c r="B779" s="6">
        <v>3343</v>
      </c>
      <c r="C779" s="6" t="s">
        <v>1552</v>
      </c>
    </row>
    <row r="780" spans="1:3" ht="17.649999999999999" x14ac:dyDescent="0.5">
      <c r="A780" s="19"/>
      <c r="B780" s="2">
        <v>33431</v>
      </c>
      <c r="C780" s="23" t="s">
        <v>1156</v>
      </c>
    </row>
    <row r="781" spans="1:3" ht="17.649999999999999" x14ac:dyDescent="0.5">
      <c r="A781" s="19"/>
      <c r="B781" s="2">
        <v>334310</v>
      </c>
      <c r="C781" s="23" t="s">
        <v>1838</v>
      </c>
    </row>
    <row r="782" spans="1:3" ht="17.649999999999999" x14ac:dyDescent="0.5">
      <c r="A782" s="19"/>
      <c r="B782" s="6">
        <v>3344</v>
      </c>
      <c r="C782" s="6" t="s">
        <v>1553</v>
      </c>
    </row>
    <row r="783" spans="1:3" ht="17.649999999999999" x14ac:dyDescent="0.5">
      <c r="A783" s="19"/>
      <c r="B783" s="2">
        <v>33441</v>
      </c>
      <c r="C783" s="23" t="s">
        <v>1157</v>
      </c>
    </row>
    <row r="784" spans="1:3" ht="17.649999999999999" x14ac:dyDescent="0.5">
      <c r="A784" s="19"/>
      <c r="B784" s="2">
        <v>334412</v>
      </c>
      <c r="C784" s="2" t="s">
        <v>660</v>
      </c>
    </row>
    <row r="785" spans="1:3" ht="17.649999999999999" x14ac:dyDescent="0.5">
      <c r="A785" s="19"/>
      <c r="B785" s="2">
        <v>334413</v>
      </c>
      <c r="C785" s="2" t="s">
        <v>661</v>
      </c>
    </row>
    <row r="786" spans="1:3" ht="17.649999999999999" x14ac:dyDescent="0.5">
      <c r="A786" s="19" t="s">
        <v>141</v>
      </c>
      <c r="B786" s="2">
        <v>334416</v>
      </c>
      <c r="C786" s="2" t="s">
        <v>662</v>
      </c>
    </row>
    <row r="787" spans="1:3" ht="17.649999999999999" x14ac:dyDescent="0.5">
      <c r="A787" s="19"/>
      <c r="B787" s="2">
        <v>334417</v>
      </c>
      <c r="C787" s="2" t="s">
        <v>663</v>
      </c>
    </row>
    <row r="788" spans="1:3" ht="17.649999999999999" x14ac:dyDescent="0.5">
      <c r="A788" s="19"/>
      <c r="B788" s="2">
        <v>334418</v>
      </c>
      <c r="C788" s="2" t="s">
        <v>664</v>
      </c>
    </row>
    <row r="789" spans="1:3" ht="17.649999999999999" x14ac:dyDescent="0.5">
      <c r="A789" s="19" t="s">
        <v>141</v>
      </c>
      <c r="B789" s="2">
        <v>334419</v>
      </c>
      <c r="C789" s="2" t="s">
        <v>665</v>
      </c>
    </row>
    <row r="790" spans="1:3" ht="28.15" x14ac:dyDescent="0.5">
      <c r="A790" s="19"/>
      <c r="B790" s="6">
        <v>3345</v>
      </c>
      <c r="C790" s="6" t="s">
        <v>1554</v>
      </c>
    </row>
    <row r="791" spans="1:3" ht="27" x14ac:dyDescent="0.5">
      <c r="A791" s="19"/>
      <c r="B791" s="2">
        <v>33451</v>
      </c>
      <c r="C791" s="23" t="s">
        <v>1158</v>
      </c>
    </row>
    <row r="792" spans="1:3" ht="17.649999999999999" x14ac:dyDescent="0.5">
      <c r="A792" s="19"/>
      <c r="B792" s="2">
        <v>334510</v>
      </c>
      <c r="C792" s="23" t="s">
        <v>666</v>
      </c>
    </row>
    <row r="793" spans="1:3" ht="25.5" x14ac:dyDescent="0.5">
      <c r="A793" s="19"/>
      <c r="B793" s="2">
        <v>334511</v>
      </c>
      <c r="C793" s="2" t="s">
        <v>235</v>
      </c>
    </row>
    <row r="794" spans="1:3" ht="25.5" x14ac:dyDescent="0.5">
      <c r="A794" s="19"/>
      <c r="B794" s="2">
        <v>334512</v>
      </c>
      <c r="C794" s="23" t="s">
        <v>673</v>
      </c>
    </row>
    <row r="795" spans="1:3" ht="25.5" x14ac:dyDescent="0.5">
      <c r="A795" s="19"/>
      <c r="B795" s="2">
        <v>334513</v>
      </c>
      <c r="C795" s="23" t="s">
        <v>667</v>
      </c>
    </row>
    <row r="796" spans="1:3" ht="17.649999999999999" x14ac:dyDescent="0.5">
      <c r="A796" s="19"/>
      <c r="B796" s="2">
        <v>334514</v>
      </c>
      <c r="C796" s="23" t="s">
        <v>668</v>
      </c>
    </row>
    <row r="797" spans="1:3" ht="25.5" x14ac:dyDescent="0.5">
      <c r="A797" s="19"/>
      <c r="B797" s="2">
        <v>334515</v>
      </c>
      <c r="C797" s="23" t="s">
        <v>669</v>
      </c>
    </row>
    <row r="798" spans="1:3" ht="17.649999999999999" x14ac:dyDescent="0.5">
      <c r="A798" s="19"/>
      <c r="B798" s="2">
        <v>334516</v>
      </c>
      <c r="C798" s="23" t="s">
        <v>670</v>
      </c>
    </row>
    <row r="799" spans="1:3" ht="17.649999999999999" x14ac:dyDescent="0.5">
      <c r="A799" s="19"/>
      <c r="B799" s="2">
        <v>334517</v>
      </c>
      <c r="C799" s="23" t="s">
        <v>671</v>
      </c>
    </row>
    <row r="800" spans="1:3" ht="17.649999999999999" x14ac:dyDescent="0.5">
      <c r="A800" s="21" t="s">
        <v>141</v>
      </c>
      <c r="B800" s="2">
        <v>334519</v>
      </c>
      <c r="C800" s="23" t="s">
        <v>672</v>
      </c>
    </row>
    <row r="801" spans="1:3" ht="17.649999999999999" x14ac:dyDescent="0.5">
      <c r="A801" s="19"/>
      <c r="B801" s="6">
        <v>3346</v>
      </c>
      <c r="C801" s="6" t="s">
        <v>1555</v>
      </c>
    </row>
    <row r="802" spans="1:3" ht="17.649999999999999" x14ac:dyDescent="0.5">
      <c r="A802" s="19"/>
      <c r="B802" s="2">
        <v>33461</v>
      </c>
      <c r="C802" s="23" t="s">
        <v>1159</v>
      </c>
    </row>
    <row r="803" spans="1:3" ht="17.649999999999999" x14ac:dyDescent="0.5">
      <c r="A803" s="19" t="s">
        <v>138</v>
      </c>
      <c r="B803" s="2">
        <v>334613</v>
      </c>
      <c r="C803" s="2" t="s">
        <v>674</v>
      </c>
    </row>
    <row r="804" spans="1:3" ht="25.5" x14ac:dyDescent="0.5">
      <c r="A804" s="19" t="s">
        <v>139</v>
      </c>
      <c r="B804" s="2">
        <v>334614</v>
      </c>
      <c r="C804" s="2" t="s">
        <v>60</v>
      </c>
    </row>
    <row r="805" spans="1:3" ht="31.9" x14ac:dyDescent="0.5">
      <c r="A805" s="19"/>
      <c r="B805" s="5">
        <v>335</v>
      </c>
      <c r="C805" s="5" t="s">
        <v>1556</v>
      </c>
    </row>
    <row r="806" spans="1:3" ht="17.649999999999999" x14ac:dyDescent="0.5">
      <c r="A806" s="19"/>
      <c r="B806" s="6">
        <v>3351</v>
      </c>
      <c r="C806" s="6" t="s">
        <v>1557</v>
      </c>
    </row>
    <row r="807" spans="1:3" ht="17.649999999999999" x14ac:dyDescent="0.5">
      <c r="A807" s="19"/>
      <c r="B807" s="2">
        <v>33511</v>
      </c>
      <c r="C807" s="23" t="s">
        <v>1160</v>
      </c>
    </row>
    <row r="808" spans="1:3" ht="17.649999999999999" x14ac:dyDescent="0.5">
      <c r="A808" s="19"/>
      <c r="B808" s="2">
        <v>335110</v>
      </c>
      <c r="C808" s="23" t="s">
        <v>1839</v>
      </c>
    </row>
    <row r="809" spans="1:3" ht="17.649999999999999" x14ac:dyDescent="0.5">
      <c r="A809" s="19"/>
      <c r="B809" s="2">
        <v>33512</v>
      </c>
      <c r="C809" s="23" t="s">
        <v>1161</v>
      </c>
    </row>
    <row r="810" spans="1:3" ht="17.649999999999999" x14ac:dyDescent="0.5">
      <c r="A810" s="19"/>
      <c r="B810" s="2">
        <v>335121</v>
      </c>
      <c r="C810" s="2" t="s">
        <v>675</v>
      </c>
    </row>
    <row r="811" spans="1:3" ht="25.5" x14ac:dyDescent="0.5">
      <c r="A811" s="19"/>
      <c r="B811" s="2">
        <v>335122</v>
      </c>
      <c r="C811" s="23" t="s">
        <v>676</v>
      </c>
    </row>
    <row r="812" spans="1:3" ht="17.649999999999999" x14ac:dyDescent="0.5">
      <c r="A812" s="19"/>
      <c r="B812" s="2">
        <v>335129</v>
      </c>
      <c r="C812" s="2" t="s">
        <v>677</v>
      </c>
    </row>
    <row r="813" spans="1:3" ht="17.649999999999999" x14ac:dyDescent="0.5">
      <c r="A813" s="19"/>
      <c r="B813" s="6">
        <v>3352</v>
      </c>
      <c r="C813" s="6" t="s">
        <v>1558</v>
      </c>
    </row>
    <row r="814" spans="1:3" ht="17.649999999999999" x14ac:dyDescent="0.5">
      <c r="A814" s="19"/>
      <c r="B814" s="2">
        <v>33521</v>
      </c>
      <c r="C814" s="23" t="s">
        <v>1162</v>
      </c>
    </row>
    <row r="815" spans="1:3" ht="17.649999999999999" x14ac:dyDescent="0.5">
      <c r="A815" s="19" t="s">
        <v>139</v>
      </c>
      <c r="B815" s="2">
        <v>335210</v>
      </c>
      <c r="C815" s="23" t="s">
        <v>1840</v>
      </c>
    </row>
    <row r="816" spans="1:3" ht="17.649999999999999" x14ac:dyDescent="0.5">
      <c r="A816" s="19"/>
      <c r="B816" s="2">
        <v>33522</v>
      </c>
      <c r="C816" s="23" t="s">
        <v>1163</v>
      </c>
    </row>
    <row r="817" spans="1:3" ht="17.649999999999999" x14ac:dyDescent="0.5">
      <c r="A817" s="19"/>
      <c r="B817" s="2">
        <v>335221</v>
      </c>
      <c r="C817" s="23" t="s">
        <v>678</v>
      </c>
    </row>
    <row r="818" spans="1:3" ht="17.649999999999999" x14ac:dyDescent="0.5">
      <c r="A818" s="19"/>
      <c r="B818" s="2">
        <v>335222</v>
      </c>
      <c r="C818" s="23" t="s">
        <v>679</v>
      </c>
    </row>
    <row r="819" spans="1:3" ht="17.649999999999999" x14ac:dyDescent="0.5">
      <c r="A819" s="19"/>
      <c r="B819" s="2">
        <v>335224</v>
      </c>
      <c r="C819" s="23" t="s">
        <v>680</v>
      </c>
    </row>
    <row r="820" spans="1:3" ht="17.649999999999999" x14ac:dyDescent="0.5">
      <c r="A820" s="19"/>
      <c r="B820" s="2">
        <v>335228</v>
      </c>
      <c r="C820" s="23" t="s">
        <v>681</v>
      </c>
    </row>
    <row r="821" spans="1:3" ht="17.649999999999999" x14ac:dyDescent="0.5">
      <c r="A821" s="19"/>
      <c r="B821" s="6">
        <v>3353</v>
      </c>
      <c r="C821" s="6" t="s">
        <v>1559</v>
      </c>
    </row>
    <row r="822" spans="1:3" ht="17.649999999999999" x14ac:dyDescent="0.5">
      <c r="A822" s="19"/>
      <c r="B822" s="2">
        <v>33531</v>
      </c>
      <c r="C822" s="23" t="s">
        <v>1164</v>
      </c>
    </row>
    <row r="823" spans="1:3" ht="17.649999999999999" x14ac:dyDescent="0.5">
      <c r="A823" s="19"/>
      <c r="B823" s="2">
        <v>335311</v>
      </c>
      <c r="C823" s="2" t="s">
        <v>236</v>
      </c>
    </row>
    <row r="824" spans="1:3" ht="17.649999999999999" x14ac:dyDescent="0.5">
      <c r="A824" s="19"/>
      <c r="B824" s="2">
        <v>335312</v>
      </c>
      <c r="C824" s="2" t="s">
        <v>237</v>
      </c>
    </row>
    <row r="825" spans="1:3" ht="17.649999999999999" x14ac:dyDescent="0.5">
      <c r="A825" s="19"/>
      <c r="B825" s="2">
        <v>335313</v>
      </c>
      <c r="C825" s="23" t="s">
        <v>682</v>
      </c>
    </row>
    <row r="826" spans="1:3" ht="17.649999999999999" x14ac:dyDescent="0.5">
      <c r="A826" s="19"/>
      <c r="B826" s="2">
        <v>335314</v>
      </c>
      <c r="C826" s="23" t="s">
        <v>683</v>
      </c>
    </row>
    <row r="827" spans="1:3" ht="17.649999999999999" x14ac:dyDescent="0.5">
      <c r="A827" s="19"/>
      <c r="B827" s="6">
        <v>3359</v>
      </c>
      <c r="C827" s="6" t="s">
        <v>1560</v>
      </c>
    </row>
    <row r="828" spans="1:3" ht="17.649999999999999" x14ac:dyDescent="0.5">
      <c r="A828" s="19"/>
      <c r="B828" s="2">
        <v>33591</v>
      </c>
      <c r="C828" s="23" t="s">
        <v>1165</v>
      </c>
    </row>
    <row r="829" spans="1:3" ht="17.649999999999999" x14ac:dyDescent="0.5">
      <c r="A829" s="19"/>
      <c r="B829" s="2">
        <v>335911</v>
      </c>
      <c r="C829" s="2" t="s">
        <v>684</v>
      </c>
    </row>
    <row r="830" spans="1:3" ht="17.649999999999999" x14ac:dyDescent="0.5">
      <c r="A830" s="19"/>
      <c r="B830" s="2">
        <v>335912</v>
      </c>
      <c r="C830" s="2" t="s">
        <v>685</v>
      </c>
    </row>
    <row r="831" spans="1:3" ht="17.649999999999999" x14ac:dyDescent="0.5">
      <c r="A831" s="19"/>
      <c r="B831" s="2">
        <v>33592</v>
      </c>
      <c r="C831" s="23" t="s">
        <v>1166</v>
      </c>
    </row>
    <row r="832" spans="1:3" ht="17.649999999999999" x14ac:dyDescent="0.5">
      <c r="A832" s="19"/>
      <c r="B832" s="2">
        <v>335921</v>
      </c>
      <c r="C832" s="2" t="s">
        <v>686</v>
      </c>
    </row>
    <row r="833" spans="1:3" ht="17.649999999999999" x14ac:dyDescent="0.5">
      <c r="A833" s="19"/>
      <c r="B833" s="2">
        <v>335929</v>
      </c>
      <c r="C833" s="2" t="s">
        <v>687</v>
      </c>
    </row>
    <row r="834" spans="1:3" ht="17.649999999999999" x14ac:dyDescent="0.5">
      <c r="A834" s="19"/>
      <c r="B834" s="2">
        <v>33593</v>
      </c>
      <c r="C834" s="23" t="s">
        <v>1167</v>
      </c>
    </row>
    <row r="835" spans="1:3" ht="17.649999999999999" x14ac:dyDescent="0.5">
      <c r="A835" s="19"/>
      <c r="B835" s="2">
        <v>335931</v>
      </c>
      <c r="C835" s="2" t="s">
        <v>688</v>
      </c>
    </row>
    <row r="836" spans="1:3" ht="17.649999999999999" x14ac:dyDescent="0.5">
      <c r="A836" s="19"/>
      <c r="B836" s="2">
        <v>335932</v>
      </c>
      <c r="C836" s="2" t="s">
        <v>689</v>
      </c>
    </row>
    <row r="837" spans="1:3" ht="17.649999999999999" x14ac:dyDescent="0.5">
      <c r="A837" s="19"/>
      <c r="B837" s="2">
        <v>33599</v>
      </c>
      <c r="C837" s="23" t="s">
        <v>1168</v>
      </c>
    </row>
    <row r="838" spans="1:3" ht="17.649999999999999" x14ac:dyDescent="0.5">
      <c r="A838" s="19"/>
      <c r="B838" s="2">
        <v>335991</v>
      </c>
      <c r="C838" s="2" t="s">
        <v>447</v>
      </c>
    </row>
    <row r="839" spans="1:3" ht="25.5" x14ac:dyDescent="0.5">
      <c r="A839" s="19"/>
      <c r="B839" s="2">
        <v>335999</v>
      </c>
      <c r="C839" s="2" t="s">
        <v>448</v>
      </c>
    </row>
    <row r="840" spans="1:3" ht="17.649999999999999" x14ac:dyDescent="0.5">
      <c r="A840" s="19"/>
      <c r="B840" s="5">
        <v>336</v>
      </c>
      <c r="C840" s="5" t="s">
        <v>1561</v>
      </c>
    </row>
    <row r="841" spans="1:3" ht="17.649999999999999" x14ac:dyDescent="0.5">
      <c r="A841" s="19"/>
      <c r="B841" s="6">
        <v>3361</v>
      </c>
      <c r="C841" s="6" t="s">
        <v>1742</v>
      </c>
    </row>
    <row r="842" spans="1:3" ht="17.649999999999999" x14ac:dyDescent="0.5">
      <c r="A842" s="19"/>
      <c r="B842" s="2">
        <v>33611</v>
      </c>
      <c r="C842" s="23" t="s">
        <v>1169</v>
      </c>
    </row>
    <row r="843" spans="1:3" ht="17.649999999999999" x14ac:dyDescent="0.5">
      <c r="A843" s="19"/>
      <c r="B843" s="2">
        <v>336111</v>
      </c>
      <c r="C843" s="2" t="s">
        <v>690</v>
      </c>
    </row>
    <row r="844" spans="1:3" ht="17.649999999999999" x14ac:dyDescent="0.5">
      <c r="A844" s="19"/>
      <c r="B844" s="2">
        <v>336112</v>
      </c>
      <c r="C844" s="2" t="s">
        <v>691</v>
      </c>
    </row>
    <row r="845" spans="1:3" ht="17.649999999999999" x14ac:dyDescent="0.5">
      <c r="A845" s="19"/>
      <c r="B845" s="2">
        <v>33612</v>
      </c>
      <c r="C845" s="23" t="s">
        <v>1170</v>
      </c>
    </row>
    <row r="846" spans="1:3" ht="17.649999999999999" x14ac:dyDescent="0.5">
      <c r="A846" s="19"/>
      <c r="B846" s="2">
        <v>336120</v>
      </c>
      <c r="C846" s="23" t="s">
        <v>1841</v>
      </c>
    </row>
    <row r="847" spans="1:3" ht="17.649999999999999" x14ac:dyDescent="0.5">
      <c r="A847" s="19"/>
      <c r="B847" s="6">
        <v>3362</v>
      </c>
      <c r="C847" s="6" t="s">
        <v>1562</v>
      </c>
    </row>
    <row r="848" spans="1:3" ht="17.649999999999999" x14ac:dyDescent="0.5">
      <c r="A848" s="19"/>
      <c r="B848" s="2">
        <v>33621</v>
      </c>
      <c r="C848" s="23" t="s">
        <v>1171</v>
      </c>
    </row>
    <row r="849" spans="1:3" ht="17.649999999999999" x14ac:dyDescent="0.5">
      <c r="A849" s="19"/>
      <c r="B849" s="2">
        <v>336211</v>
      </c>
      <c r="C849" s="2" t="s">
        <v>238</v>
      </c>
    </row>
    <row r="850" spans="1:3" ht="17.649999999999999" x14ac:dyDescent="0.5">
      <c r="A850" s="19"/>
      <c r="B850" s="2">
        <v>336212</v>
      </c>
      <c r="C850" s="2" t="s">
        <v>239</v>
      </c>
    </row>
    <row r="851" spans="1:3" ht="17.649999999999999" x14ac:dyDescent="0.5">
      <c r="A851" s="19"/>
      <c r="B851" s="2">
        <v>336213</v>
      </c>
      <c r="C851" s="2" t="s">
        <v>692</v>
      </c>
    </row>
    <row r="852" spans="1:3" ht="17.649999999999999" x14ac:dyDescent="0.5">
      <c r="A852" s="19"/>
      <c r="B852" s="2">
        <v>336214</v>
      </c>
      <c r="C852" s="2" t="s">
        <v>693</v>
      </c>
    </row>
    <row r="853" spans="1:3" ht="17.649999999999999" x14ac:dyDescent="0.5">
      <c r="A853" s="19"/>
      <c r="B853" s="6">
        <v>3363</v>
      </c>
      <c r="C853" s="6" t="s">
        <v>1563</v>
      </c>
    </row>
    <row r="854" spans="1:3" ht="17.649999999999999" x14ac:dyDescent="0.5">
      <c r="A854" s="19"/>
      <c r="B854" s="2">
        <v>33631</v>
      </c>
      <c r="C854" s="23" t="s">
        <v>1172</v>
      </c>
    </row>
    <row r="855" spans="1:3" ht="17.649999999999999" x14ac:dyDescent="0.5">
      <c r="A855" s="19" t="s">
        <v>139</v>
      </c>
      <c r="B855" s="2">
        <v>336310</v>
      </c>
      <c r="C855" s="23" t="s">
        <v>1842</v>
      </c>
    </row>
    <row r="856" spans="1:3" ht="17.649999999999999" x14ac:dyDescent="0.5">
      <c r="A856" s="19"/>
      <c r="B856" s="2">
        <v>33632</v>
      </c>
      <c r="C856" s="23" t="s">
        <v>1173</v>
      </c>
    </row>
    <row r="857" spans="1:3" ht="17.649999999999999" x14ac:dyDescent="0.5">
      <c r="A857" s="19" t="s">
        <v>139</v>
      </c>
      <c r="B857" s="2">
        <v>336320</v>
      </c>
      <c r="C857" s="23" t="s">
        <v>1843</v>
      </c>
    </row>
    <row r="858" spans="1:3" ht="27" x14ac:dyDescent="0.5">
      <c r="A858" s="19"/>
      <c r="B858" s="2">
        <v>33633</v>
      </c>
      <c r="C858" s="23" t="s">
        <v>1174</v>
      </c>
    </row>
    <row r="859" spans="1:3" ht="25.5" x14ac:dyDescent="0.5">
      <c r="A859" s="19"/>
      <c r="B859" s="2">
        <v>336330</v>
      </c>
      <c r="C859" s="23" t="s">
        <v>1844</v>
      </c>
    </row>
    <row r="860" spans="1:3" ht="17.649999999999999" x14ac:dyDescent="0.5">
      <c r="A860" s="19"/>
      <c r="B860" s="2">
        <v>33634</v>
      </c>
      <c r="C860" s="23" t="s">
        <v>1175</v>
      </c>
    </row>
    <row r="861" spans="1:3" ht="17.649999999999999" x14ac:dyDescent="0.5">
      <c r="A861" s="19"/>
      <c r="B861" s="2">
        <v>336340</v>
      </c>
      <c r="C861" s="23" t="s">
        <v>1845</v>
      </c>
    </row>
    <row r="862" spans="1:3" ht="17.649999999999999" x14ac:dyDescent="0.5">
      <c r="A862" s="19"/>
      <c r="B862" s="2">
        <v>33635</v>
      </c>
      <c r="C862" s="23" t="s">
        <v>1176</v>
      </c>
    </row>
    <row r="863" spans="1:3" ht="17.649999999999999" x14ac:dyDescent="0.5">
      <c r="A863" s="19"/>
      <c r="B863" s="2">
        <v>336350</v>
      </c>
      <c r="C863" s="23" t="s">
        <v>1846</v>
      </c>
    </row>
    <row r="864" spans="1:3" ht="17.649999999999999" x14ac:dyDescent="0.5">
      <c r="A864" s="19"/>
      <c r="B864" s="2">
        <v>33636</v>
      </c>
      <c r="C864" s="23" t="s">
        <v>1177</v>
      </c>
    </row>
    <row r="865" spans="1:3" ht="17.649999999999999" x14ac:dyDescent="0.5">
      <c r="A865" s="19"/>
      <c r="B865" s="2">
        <v>336360</v>
      </c>
      <c r="C865" s="23" t="s">
        <v>1847</v>
      </c>
    </row>
    <row r="866" spans="1:3" ht="17.649999999999999" x14ac:dyDescent="0.5">
      <c r="A866" s="19"/>
      <c r="B866" s="2">
        <v>33637</v>
      </c>
      <c r="C866" s="23" t="s">
        <v>1178</v>
      </c>
    </row>
    <row r="867" spans="1:3" ht="17.649999999999999" x14ac:dyDescent="0.5">
      <c r="A867" s="19"/>
      <c r="B867" s="2">
        <v>336370</v>
      </c>
      <c r="C867" s="23" t="s">
        <v>1848</v>
      </c>
    </row>
    <row r="868" spans="1:3" ht="17.649999999999999" x14ac:dyDescent="0.5">
      <c r="A868" s="19"/>
      <c r="B868" s="2">
        <v>33639</v>
      </c>
      <c r="C868" s="23" t="s">
        <v>1179</v>
      </c>
    </row>
    <row r="869" spans="1:3" ht="17.649999999999999" x14ac:dyDescent="0.5">
      <c r="A869" s="19" t="s">
        <v>139</v>
      </c>
      <c r="B869" s="2">
        <v>336390</v>
      </c>
      <c r="C869" s="23" t="s">
        <v>1849</v>
      </c>
    </row>
    <row r="870" spans="1:3" ht="17.649999999999999" x14ac:dyDescent="0.5">
      <c r="A870" s="19"/>
      <c r="B870" s="6">
        <v>3364</v>
      </c>
      <c r="C870" s="6" t="s">
        <v>1564</v>
      </c>
    </row>
    <row r="871" spans="1:3" ht="17.649999999999999" x14ac:dyDescent="0.5">
      <c r="A871" s="19"/>
      <c r="B871" s="2">
        <v>33641</v>
      </c>
      <c r="C871" s="23" t="s">
        <v>1180</v>
      </c>
    </row>
    <row r="872" spans="1:3" ht="17.649999999999999" x14ac:dyDescent="0.5">
      <c r="A872" s="19"/>
      <c r="B872" s="2">
        <v>336411</v>
      </c>
      <c r="C872" s="2" t="s">
        <v>694</v>
      </c>
    </row>
    <row r="873" spans="1:3" ht="17.649999999999999" x14ac:dyDescent="0.5">
      <c r="A873" s="19"/>
      <c r="B873" s="2">
        <v>336412</v>
      </c>
      <c r="C873" s="2" t="s">
        <v>695</v>
      </c>
    </row>
    <row r="874" spans="1:3" ht="17.649999999999999" x14ac:dyDescent="0.5">
      <c r="A874" s="19"/>
      <c r="B874" s="2">
        <v>336413</v>
      </c>
      <c r="C874" s="2" t="s">
        <v>696</v>
      </c>
    </row>
    <row r="875" spans="1:3" ht="17.649999999999999" x14ac:dyDescent="0.5">
      <c r="A875" s="19"/>
      <c r="B875" s="2">
        <v>336414</v>
      </c>
      <c r="C875" s="2" t="s">
        <v>697</v>
      </c>
    </row>
    <row r="876" spans="1:3" ht="25.5" x14ac:dyDescent="0.5">
      <c r="A876" s="19"/>
      <c r="B876" s="2">
        <v>336415</v>
      </c>
      <c r="C876" s="2" t="s">
        <v>698</v>
      </c>
    </row>
    <row r="877" spans="1:3" ht="25.5" x14ac:dyDescent="0.5">
      <c r="A877" s="19"/>
      <c r="B877" s="2">
        <v>336419</v>
      </c>
      <c r="C877" s="2" t="s">
        <v>699</v>
      </c>
    </row>
    <row r="878" spans="1:3" ht="17.649999999999999" x14ac:dyDescent="0.5">
      <c r="A878" s="19"/>
      <c r="B878" s="6">
        <v>3365</v>
      </c>
      <c r="C878" s="6" t="s">
        <v>1565</v>
      </c>
    </row>
    <row r="879" spans="1:3" ht="17.649999999999999" x14ac:dyDescent="0.5">
      <c r="A879" s="19"/>
      <c r="B879" s="2">
        <v>33651</v>
      </c>
      <c r="C879" s="23" t="s">
        <v>1181</v>
      </c>
    </row>
    <row r="880" spans="1:3" ht="17.649999999999999" x14ac:dyDescent="0.5">
      <c r="A880" s="19"/>
      <c r="B880" s="2">
        <v>336510</v>
      </c>
      <c r="C880" s="23" t="s">
        <v>1850</v>
      </c>
    </row>
    <row r="881" spans="1:3" ht="17.649999999999999" x14ac:dyDescent="0.5">
      <c r="A881" s="19"/>
      <c r="B881" s="6">
        <v>3366</v>
      </c>
      <c r="C881" s="6" t="s">
        <v>1566</v>
      </c>
    </row>
    <row r="882" spans="1:3" ht="17.649999999999999" x14ac:dyDescent="0.5">
      <c r="A882" s="19"/>
      <c r="B882" s="2">
        <v>33661</v>
      </c>
      <c r="C882" s="23" t="s">
        <v>1182</v>
      </c>
    </row>
    <row r="883" spans="1:3" ht="17.649999999999999" x14ac:dyDescent="0.5">
      <c r="A883" s="19"/>
      <c r="B883" s="2">
        <v>336611</v>
      </c>
      <c r="C883" s="2" t="s">
        <v>240</v>
      </c>
    </row>
    <row r="884" spans="1:3" ht="17.649999999999999" x14ac:dyDescent="0.5">
      <c r="A884" s="19"/>
      <c r="B884" s="2">
        <v>336612</v>
      </c>
      <c r="C884" s="2" t="s">
        <v>241</v>
      </c>
    </row>
    <row r="885" spans="1:3" ht="17.649999999999999" x14ac:dyDescent="0.5">
      <c r="A885" s="19"/>
      <c r="B885" s="6">
        <v>3369</v>
      </c>
      <c r="C885" s="6" t="s">
        <v>1567</v>
      </c>
    </row>
    <row r="886" spans="1:3" ht="17.649999999999999" x14ac:dyDescent="0.5">
      <c r="A886" s="19"/>
      <c r="B886" s="2">
        <v>33699</v>
      </c>
      <c r="C886" s="23" t="s">
        <v>1183</v>
      </c>
    </row>
    <row r="887" spans="1:3" ht="17.649999999999999" x14ac:dyDescent="0.5">
      <c r="A887" s="19"/>
      <c r="B887" s="2">
        <v>336991</v>
      </c>
      <c r="C887" s="2" t="s">
        <v>700</v>
      </c>
    </row>
    <row r="888" spans="1:3" ht="17.649999999999999" x14ac:dyDescent="0.5">
      <c r="A888" s="19"/>
      <c r="B888" s="2">
        <v>336992</v>
      </c>
      <c r="C888" s="2" t="s">
        <v>701</v>
      </c>
    </row>
    <row r="889" spans="1:3" ht="17.649999999999999" x14ac:dyDescent="0.5">
      <c r="A889" s="19"/>
      <c r="B889" s="2">
        <v>336999</v>
      </c>
      <c r="C889" s="2" t="s">
        <v>702</v>
      </c>
    </row>
    <row r="890" spans="1:3" ht="17.649999999999999" x14ac:dyDescent="0.5">
      <c r="A890" s="19"/>
      <c r="B890" s="5">
        <v>337</v>
      </c>
      <c r="C890" s="5" t="s">
        <v>1568</v>
      </c>
    </row>
    <row r="891" spans="1:3" ht="28.15" x14ac:dyDescent="0.5">
      <c r="A891" s="19"/>
      <c r="B891" s="6">
        <v>3371</v>
      </c>
      <c r="C891" s="6" t="s">
        <v>1569</v>
      </c>
    </row>
    <row r="892" spans="1:3" ht="17.649999999999999" x14ac:dyDescent="0.5">
      <c r="A892" s="19"/>
      <c r="B892" s="2">
        <v>33711</v>
      </c>
      <c r="C892" s="23" t="s">
        <v>1184</v>
      </c>
    </row>
    <row r="893" spans="1:3" ht="17.649999999999999" x14ac:dyDescent="0.5">
      <c r="A893" s="19"/>
      <c r="B893" s="2">
        <v>337110</v>
      </c>
      <c r="C893" s="23" t="s">
        <v>1851</v>
      </c>
    </row>
    <row r="894" spans="1:3" ht="17.649999999999999" x14ac:dyDescent="0.5">
      <c r="A894" s="19"/>
      <c r="B894" s="2">
        <v>33712</v>
      </c>
      <c r="C894" s="23" t="s">
        <v>1185</v>
      </c>
    </row>
    <row r="895" spans="1:3" ht="17.649999999999999" x14ac:dyDescent="0.5">
      <c r="A895" s="19"/>
      <c r="B895" s="2">
        <v>337121</v>
      </c>
      <c r="C895" s="2" t="s">
        <v>242</v>
      </c>
    </row>
    <row r="896" spans="1:3" ht="17.649999999999999" x14ac:dyDescent="0.5">
      <c r="A896" s="19"/>
      <c r="B896" s="2">
        <v>337122</v>
      </c>
      <c r="C896" s="23" t="s">
        <v>703</v>
      </c>
    </row>
    <row r="897" spans="1:3" ht="17.649999999999999" x14ac:dyDescent="0.5">
      <c r="A897" s="19"/>
      <c r="B897" s="2">
        <v>337124</v>
      </c>
      <c r="C897" s="23" t="s">
        <v>704</v>
      </c>
    </row>
    <row r="898" spans="1:3" ht="17.649999999999999" x14ac:dyDescent="0.5">
      <c r="A898" s="19"/>
      <c r="B898" s="2">
        <v>337125</v>
      </c>
      <c r="C898" s="23" t="s">
        <v>705</v>
      </c>
    </row>
    <row r="899" spans="1:3" ht="17.649999999999999" x14ac:dyDescent="0.5">
      <c r="A899" s="19"/>
      <c r="B899" s="2">
        <v>337127</v>
      </c>
      <c r="C899" s="2" t="s">
        <v>243</v>
      </c>
    </row>
    <row r="900" spans="1:3" ht="17.649999999999999" x14ac:dyDescent="0.5">
      <c r="A900" s="19"/>
      <c r="B900" s="6">
        <v>3372</v>
      </c>
      <c r="C900" s="6" t="s">
        <v>1570</v>
      </c>
    </row>
    <row r="901" spans="1:3" ht="17.649999999999999" x14ac:dyDescent="0.5">
      <c r="A901" s="19"/>
      <c r="B901" s="2">
        <v>33721</v>
      </c>
      <c r="C901" s="23" t="s">
        <v>1186</v>
      </c>
    </row>
    <row r="902" spans="1:3" ht="17.649999999999999" x14ac:dyDescent="0.5">
      <c r="A902" s="19"/>
      <c r="B902" s="2">
        <v>337211</v>
      </c>
      <c r="C902" s="2" t="s">
        <v>706</v>
      </c>
    </row>
    <row r="903" spans="1:3" ht="17.649999999999999" x14ac:dyDescent="0.5">
      <c r="A903" s="19"/>
      <c r="B903" s="2">
        <v>337212</v>
      </c>
      <c r="C903" s="23" t="s">
        <v>707</v>
      </c>
    </row>
    <row r="904" spans="1:3" ht="17.649999999999999" x14ac:dyDescent="0.5">
      <c r="A904" s="19"/>
      <c r="B904" s="2">
        <v>337214</v>
      </c>
      <c r="C904" s="2" t="s">
        <v>244</v>
      </c>
    </row>
    <row r="905" spans="1:3" ht="17.649999999999999" x14ac:dyDescent="0.5">
      <c r="A905" s="19"/>
      <c r="B905" s="2">
        <v>337215</v>
      </c>
      <c r="C905" s="2" t="s">
        <v>245</v>
      </c>
    </row>
    <row r="906" spans="1:3" ht="17.649999999999999" x14ac:dyDescent="0.5">
      <c r="A906" s="19"/>
      <c r="B906" s="6">
        <v>3379</v>
      </c>
      <c r="C906" s="6" t="s">
        <v>1571</v>
      </c>
    </row>
    <row r="907" spans="1:3" ht="17.649999999999999" x14ac:dyDescent="0.5">
      <c r="A907" s="19"/>
      <c r="B907" s="2">
        <v>33791</v>
      </c>
      <c r="C907" s="23" t="s">
        <v>1187</v>
      </c>
    </row>
    <row r="908" spans="1:3" ht="17.649999999999999" x14ac:dyDescent="0.5">
      <c r="A908" s="19"/>
      <c r="B908" s="2">
        <v>337910</v>
      </c>
      <c r="C908" s="23" t="s">
        <v>1852</v>
      </c>
    </row>
    <row r="909" spans="1:3" ht="17.649999999999999" x14ac:dyDescent="0.5">
      <c r="A909" s="19"/>
      <c r="B909" s="2">
        <v>33792</v>
      </c>
      <c r="C909" s="23" t="s">
        <v>1188</v>
      </c>
    </row>
    <row r="910" spans="1:3" ht="17.649999999999999" x14ac:dyDescent="0.5">
      <c r="A910" s="19"/>
      <c r="B910" s="2">
        <v>337920</v>
      </c>
      <c r="C910" s="23" t="s">
        <v>1853</v>
      </c>
    </row>
    <row r="911" spans="1:3" ht="17.649999999999999" x14ac:dyDescent="0.5">
      <c r="A911" s="19"/>
      <c r="B911" s="5">
        <v>339</v>
      </c>
      <c r="C911" s="5" t="s">
        <v>1572</v>
      </c>
    </row>
    <row r="912" spans="1:3" ht="17.649999999999999" x14ac:dyDescent="0.5">
      <c r="A912" s="19"/>
      <c r="B912" s="6">
        <v>3391</v>
      </c>
      <c r="C912" s="6" t="s">
        <v>1573</v>
      </c>
    </row>
    <row r="913" spans="1:3" ht="17.649999999999999" x14ac:dyDescent="0.5">
      <c r="A913" s="19"/>
      <c r="B913" s="2">
        <v>33911</v>
      </c>
      <c r="C913" s="23" t="s">
        <v>1189</v>
      </c>
    </row>
    <row r="914" spans="1:3" ht="17.649999999999999" x14ac:dyDescent="0.5">
      <c r="A914" s="19"/>
      <c r="B914" s="2">
        <v>339112</v>
      </c>
      <c r="C914" s="2" t="s">
        <v>708</v>
      </c>
    </row>
    <row r="915" spans="1:3" ht="17.649999999999999" x14ac:dyDescent="0.5">
      <c r="A915" s="19"/>
      <c r="B915" s="2">
        <v>339113</v>
      </c>
      <c r="C915" s="2" t="s">
        <v>709</v>
      </c>
    </row>
    <row r="916" spans="1:3" ht="17.649999999999999" x14ac:dyDescent="0.5">
      <c r="A916" s="19"/>
      <c r="B916" s="2">
        <v>339114</v>
      </c>
      <c r="C916" s="2" t="s">
        <v>710</v>
      </c>
    </row>
    <row r="917" spans="1:3" ht="17.649999999999999" x14ac:dyDescent="0.5">
      <c r="A917" s="19"/>
      <c r="B917" s="2">
        <v>339115</v>
      </c>
      <c r="C917" s="2" t="s">
        <v>711</v>
      </c>
    </row>
    <row r="918" spans="1:3" ht="17.649999999999999" x14ac:dyDescent="0.5">
      <c r="A918" s="19"/>
      <c r="B918" s="2">
        <v>339116</v>
      </c>
      <c r="C918" s="2" t="s">
        <v>712</v>
      </c>
    </row>
    <row r="919" spans="1:3" ht="17.649999999999999" x14ac:dyDescent="0.5">
      <c r="A919" s="19"/>
      <c r="B919" s="6">
        <v>3399</v>
      </c>
      <c r="C919" s="6" t="s">
        <v>1574</v>
      </c>
    </row>
    <row r="920" spans="1:3" ht="17.649999999999999" x14ac:dyDescent="0.5">
      <c r="A920" s="19"/>
      <c r="B920" s="2">
        <v>33991</v>
      </c>
      <c r="C920" s="23" t="s">
        <v>1190</v>
      </c>
    </row>
    <row r="921" spans="1:3" ht="17.649999999999999" x14ac:dyDescent="0.5">
      <c r="A921" s="19" t="s">
        <v>139</v>
      </c>
      <c r="B921" s="2">
        <v>339910</v>
      </c>
      <c r="C921" s="2" t="s">
        <v>61</v>
      </c>
    </row>
    <row r="922" spans="1:3" ht="17.649999999999999" x14ac:dyDescent="0.5">
      <c r="A922" s="19"/>
      <c r="B922" s="2">
        <v>33992</v>
      </c>
      <c r="C922" s="23" t="s">
        <v>1191</v>
      </c>
    </row>
    <row r="923" spans="1:3" ht="17.649999999999999" x14ac:dyDescent="0.5">
      <c r="A923" s="19"/>
      <c r="B923" s="2">
        <v>339920</v>
      </c>
      <c r="C923" s="23" t="s">
        <v>1854</v>
      </c>
    </row>
    <row r="924" spans="1:3" ht="17.649999999999999" x14ac:dyDescent="0.5">
      <c r="A924" s="19"/>
      <c r="B924" s="2">
        <v>33993</v>
      </c>
      <c r="C924" s="23" t="s">
        <v>1192</v>
      </c>
    </row>
    <row r="925" spans="1:3" ht="17.649999999999999" x14ac:dyDescent="0.5">
      <c r="A925" s="19" t="s">
        <v>139</v>
      </c>
      <c r="B925" s="2">
        <v>339930</v>
      </c>
      <c r="C925" s="23" t="s">
        <v>1855</v>
      </c>
    </row>
    <row r="926" spans="1:3" ht="17.649999999999999" x14ac:dyDescent="0.5">
      <c r="A926" s="19"/>
      <c r="B926" s="2">
        <v>33994</v>
      </c>
      <c r="C926" s="23" t="s">
        <v>1193</v>
      </c>
    </row>
    <row r="927" spans="1:3" ht="17.649999999999999" x14ac:dyDescent="0.5">
      <c r="A927" s="19" t="s">
        <v>139</v>
      </c>
      <c r="B927" s="2">
        <v>339940</v>
      </c>
      <c r="C927" s="23" t="s">
        <v>1856</v>
      </c>
    </row>
    <row r="928" spans="1:3" ht="17.649999999999999" x14ac:dyDescent="0.5">
      <c r="A928" s="19"/>
      <c r="B928" s="2">
        <v>33995</v>
      </c>
      <c r="C928" s="23" t="s">
        <v>1194</v>
      </c>
    </row>
    <row r="929" spans="1:3" ht="17.649999999999999" x14ac:dyDescent="0.5">
      <c r="A929" s="19"/>
      <c r="B929" s="2">
        <v>339950</v>
      </c>
      <c r="C929" s="23" t="s">
        <v>1857</v>
      </c>
    </row>
    <row r="930" spans="1:3" ht="17.649999999999999" x14ac:dyDescent="0.5">
      <c r="A930" s="19"/>
      <c r="B930" s="2">
        <v>33999</v>
      </c>
      <c r="C930" s="23" t="s">
        <v>1195</v>
      </c>
    </row>
    <row r="931" spans="1:3" ht="17.649999999999999" x14ac:dyDescent="0.5">
      <c r="A931" s="19"/>
      <c r="B931" s="2">
        <v>339991</v>
      </c>
      <c r="C931" s="2" t="s">
        <v>713</v>
      </c>
    </row>
    <row r="932" spans="1:3" ht="17.649999999999999" x14ac:dyDescent="0.5">
      <c r="A932" s="19"/>
      <c r="B932" s="2">
        <v>339992</v>
      </c>
      <c r="C932" s="23" t="s">
        <v>942</v>
      </c>
    </row>
    <row r="933" spans="1:3" ht="17.649999999999999" x14ac:dyDescent="0.5">
      <c r="A933" s="19"/>
      <c r="B933" s="2">
        <v>339993</v>
      </c>
      <c r="C933" s="2" t="s">
        <v>714</v>
      </c>
    </row>
    <row r="934" spans="1:3" ht="17.649999999999999" x14ac:dyDescent="0.5">
      <c r="A934" s="19"/>
      <c r="B934" s="2">
        <v>339994</v>
      </c>
      <c r="C934" s="23" t="s">
        <v>715</v>
      </c>
    </row>
    <row r="935" spans="1:3" ht="17.649999999999999" x14ac:dyDescent="0.5">
      <c r="A935" s="19"/>
      <c r="B935" s="2">
        <v>339995</v>
      </c>
      <c r="C935" s="2" t="s">
        <v>449</v>
      </c>
    </row>
    <row r="936" spans="1:3" ht="17.649999999999999" x14ac:dyDescent="0.5">
      <c r="A936" s="19"/>
      <c r="B936" s="2">
        <v>339999</v>
      </c>
      <c r="C936" s="23" t="s">
        <v>62</v>
      </c>
    </row>
    <row r="937" spans="1:3" ht="17.649999999999999" x14ac:dyDescent="0.5">
      <c r="A937" s="19"/>
      <c r="B937" s="2"/>
      <c r="C937" s="2"/>
    </row>
    <row r="938" spans="1:3" ht="20.25" x14ac:dyDescent="0.5">
      <c r="A938" s="10"/>
      <c r="B938" s="20">
        <v>42</v>
      </c>
      <c r="C938" s="20" t="s">
        <v>1972</v>
      </c>
    </row>
    <row r="939" spans="1:3" ht="17.649999999999999" x14ac:dyDescent="0.5">
      <c r="A939" s="19"/>
      <c r="B939" s="5">
        <v>423</v>
      </c>
      <c r="C939" s="5" t="s">
        <v>716</v>
      </c>
    </row>
    <row r="940" spans="1:3" ht="26.25" x14ac:dyDescent="0.5">
      <c r="A940" s="19"/>
      <c r="B940" s="6">
        <v>4231</v>
      </c>
      <c r="C940" s="6" t="s">
        <v>717</v>
      </c>
    </row>
    <row r="941" spans="1:3" ht="17.649999999999999" x14ac:dyDescent="0.5">
      <c r="A941" s="19"/>
      <c r="B941" s="2">
        <v>42311</v>
      </c>
      <c r="C941" s="2" t="s">
        <v>718</v>
      </c>
    </row>
    <row r="942" spans="1:3" ht="17.649999999999999" x14ac:dyDescent="0.5">
      <c r="A942" s="19"/>
      <c r="B942" s="2">
        <v>423110</v>
      </c>
      <c r="C942" s="2" t="s">
        <v>718</v>
      </c>
    </row>
    <row r="943" spans="1:3" ht="17.649999999999999" x14ac:dyDescent="0.5">
      <c r="A943" s="19"/>
      <c r="B943" s="2">
        <v>42312</v>
      </c>
      <c r="C943" s="2" t="s">
        <v>719</v>
      </c>
    </row>
    <row r="944" spans="1:3" ht="17.649999999999999" x14ac:dyDescent="0.5">
      <c r="A944" s="19"/>
      <c r="B944" s="2">
        <v>423120</v>
      </c>
      <c r="C944" s="2" t="s">
        <v>719</v>
      </c>
    </row>
    <row r="945" spans="1:3" ht="17.649999999999999" x14ac:dyDescent="0.5">
      <c r="A945" s="19"/>
      <c r="B945" s="2">
        <v>42313</v>
      </c>
      <c r="C945" s="2" t="s">
        <v>720</v>
      </c>
    </row>
    <row r="946" spans="1:3" ht="17.649999999999999" x14ac:dyDescent="0.5">
      <c r="A946" s="19"/>
      <c r="B946" s="2">
        <v>423130</v>
      </c>
      <c r="C946" s="2" t="s">
        <v>720</v>
      </c>
    </row>
    <row r="947" spans="1:3" ht="17.649999999999999" x14ac:dyDescent="0.5">
      <c r="A947" s="19"/>
      <c r="B947" s="2">
        <v>42314</v>
      </c>
      <c r="C947" s="23" t="s">
        <v>946</v>
      </c>
    </row>
    <row r="948" spans="1:3" ht="17.649999999999999" x14ac:dyDescent="0.5">
      <c r="A948" s="19"/>
      <c r="B948" s="2">
        <v>423140</v>
      </c>
      <c r="C948" s="23" t="s">
        <v>946</v>
      </c>
    </row>
    <row r="949" spans="1:3" ht="17.649999999999999" x14ac:dyDescent="0.5">
      <c r="A949" s="19"/>
      <c r="B949" s="6">
        <v>4232</v>
      </c>
      <c r="C949" s="6" t="s">
        <v>721</v>
      </c>
    </row>
    <row r="950" spans="1:3" ht="17.649999999999999" x14ac:dyDescent="0.5">
      <c r="A950" s="19"/>
      <c r="B950" s="2">
        <v>42321</v>
      </c>
      <c r="C950" s="2" t="s">
        <v>722</v>
      </c>
    </row>
    <row r="951" spans="1:3" ht="17.649999999999999" x14ac:dyDescent="0.5">
      <c r="A951" s="19"/>
      <c r="B951" s="2">
        <v>423210</v>
      </c>
      <c r="C951" s="2" t="s">
        <v>722</v>
      </c>
    </row>
    <row r="952" spans="1:3" ht="17.649999999999999" x14ac:dyDescent="0.5">
      <c r="A952" s="19"/>
      <c r="B952" s="2">
        <v>42322</v>
      </c>
      <c r="C952" s="2" t="s">
        <v>723</v>
      </c>
    </row>
    <row r="953" spans="1:3" ht="17.649999999999999" x14ac:dyDescent="0.5">
      <c r="A953" s="19"/>
      <c r="B953" s="2">
        <v>423220</v>
      </c>
      <c r="C953" s="2" t="s">
        <v>723</v>
      </c>
    </row>
    <row r="954" spans="1:3" ht="17.649999999999999" x14ac:dyDescent="0.5">
      <c r="A954" s="19"/>
      <c r="B954" s="6">
        <v>4233</v>
      </c>
      <c r="C954" s="6" t="s">
        <v>724</v>
      </c>
    </row>
    <row r="955" spans="1:3" ht="17.649999999999999" x14ac:dyDescent="0.5">
      <c r="A955" s="19"/>
      <c r="B955" s="2">
        <v>42331</v>
      </c>
      <c r="C955" s="2" t="s">
        <v>725</v>
      </c>
    </row>
    <row r="956" spans="1:3" ht="17.649999999999999" x14ac:dyDescent="0.5">
      <c r="A956" s="19"/>
      <c r="B956" s="2">
        <v>423310</v>
      </c>
      <c r="C956" s="2" t="s">
        <v>725</v>
      </c>
    </row>
    <row r="957" spans="1:3" ht="17.649999999999999" x14ac:dyDescent="0.5">
      <c r="A957" s="19"/>
      <c r="B957" s="2">
        <v>42332</v>
      </c>
      <c r="C957" s="2" t="s">
        <v>726</v>
      </c>
    </row>
    <row r="958" spans="1:3" ht="17.649999999999999" x14ac:dyDescent="0.5">
      <c r="A958" s="19"/>
      <c r="B958" s="2">
        <v>423320</v>
      </c>
      <c r="C958" s="2" t="s">
        <v>726</v>
      </c>
    </row>
    <row r="959" spans="1:3" ht="17.649999999999999" x14ac:dyDescent="0.5">
      <c r="A959" s="19"/>
      <c r="B959" s="2">
        <v>42333</v>
      </c>
      <c r="C959" s="2" t="s">
        <v>727</v>
      </c>
    </row>
    <row r="960" spans="1:3" ht="17.649999999999999" x14ac:dyDescent="0.5">
      <c r="A960" s="19"/>
      <c r="B960" s="2">
        <v>423330</v>
      </c>
      <c r="C960" s="2" t="s">
        <v>727</v>
      </c>
    </row>
    <row r="961" spans="1:3" ht="17.649999999999999" x14ac:dyDescent="0.5">
      <c r="A961" s="19"/>
      <c r="B961" s="2">
        <v>42339</v>
      </c>
      <c r="C961" s="2" t="s">
        <v>728</v>
      </c>
    </row>
    <row r="962" spans="1:3" ht="17.649999999999999" x14ac:dyDescent="0.5">
      <c r="A962" s="19"/>
      <c r="B962" s="2">
        <v>423390</v>
      </c>
      <c r="C962" s="2" t="s">
        <v>728</v>
      </c>
    </row>
    <row r="963" spans="1:3" ht="26.25" x14ac:dyDescent="0.5">
      <c r="A963" s="19"/>
      <c r="B963" s="6">
        <v>4234</v>
      </c>
      <c r="C963" s="6" t="s">
        <v>729</v>
      </c>
    </row>
    <row r="964" spans="1:3" ht="17.649999999999999" x14ac:dyDescent="0.5">
      <c r="A964" s="19"/>
      <c r="B964" s="2">
        <v>42341</v>
      </c>
      <c r="C964" s="2" t="s">
        <v>730</v>
      </c>
    </row>
    <row r="965" spans="1:3" ht="17.649999999999999" x14ac:dyDescent="0.5">
      <c r="A965" s="19"/>
      <c r="B965" s="2">
        <v>423410</v>
      </c>
      <c r="C965" s="2" t="s">
        <v>730</v>
      </c>
    </row>
    <row r="966" spans="1:3" ht="17.649999999999999" x14ac:dyDescent="0.5">
      <c r="A966" s="19"/>
      <c r="B966" s="2">
        <v>42342</v>
      </c>
      <c r="C966" s="2" t="s">
        <v>731</v>
      </c>
    </row>
    <row r="967" spans="1:3" ht="17.649999999999999" x14ac:dyDescent="0.5">
      <c r="A967" s="19"/>
      <c r="B967" s="2">
        <v>423420</v>
      </c>
      <c r="C967" s="2" t="s">
        <v>731</v>
      </c>
    </row>
    <row r="968" spans="1:3" ht="25.5" x14ac:dyDescent="0.5">
      <c r="A968" s="19"/>
      <c r="B968" s="2">
        <v>42343</v>
      </c>
      <c r="C968" s="2" t="s">
        <v>732</v>
      </c>
    </row>
    <row r="969" spans="1:3" ht="25.5" x14ac:dyDescent="0.5">
      <c r="A969" s="19"/>
      <c r="B969" s="2">
        <v>423430</v>
      </c>
      <c r="C969" s="2" t="s">
        <v>732</v>
      </c>
    </row>
    <row r="970" spans="1:3" ht="17.649999999999999" x14ac:dyDescent="0.5">
      <c r="A970" s="19"/>
      <c r="B970" s="2">
        <v>42344</v>
      </c>
      <c r="C970" s="2" t="s">
        <v>733</v>
      </c>
    </row>
    <row r="971" spans="1:3" ht="17.649999999999999" x14ac:dyDescent="0.5">
      <c r="A971" s="19"/>
      <c r="B971" s="2">
        <v>423440</v>
      </c>
      <c r="C971" s="2" t="s">
        <v>733</v>
      </c>
    </row>
    <row r="972" spans="1:3" ht="25.5" x14ac:dyDescent="0.5">
      <c r="A972" s="19"/>
      <c r="B972" s="2">
        <v>42345</v>
      </c>
      <c r="C972" s="2" t="s">
        <v>734</v>
      </c>
    </row>
    <row r="973" spans="1:3" ht="25.5" x14ac:dyDescent="0.5">
      <c r="A973" s="19"/>
      <c r="B973" s="2">
        <v>423450</v>
      </c>
      <c r="C973" s="2" t="s">
        <v>734</v>
      </c>
    </row>
    <row r="974" spans="1:3" ht="17.649999999999999" x14ac:dyDescent="0.5">
      <c r="A974" s="19"/>
      <c r="B974" s="2">
        <v>42346</v>
      </c>
      <c r="C974" s="2" t="s">
        <v>735</v>
      </c>
    </row>
    <row r="975" spans="1:3" ht="17.649999999999999" x14ac:dyDescent="0.5">
      <c r="A975" s="19"/>
      <c r="B975" s="2">
        <v>423460</v>
      </c>
      <c r="C975" s="2" t="s">
        <v>735</v>
      </c>
    </row>
    <row r="976" spans="1:3" ht="17.649999999999999" x14ac:dyDescent="0.5">
      <c r="A976" s="19"/>
      <c r="B976" s="2">
        <v>42349</v>
      </c>
      <c r="C976" s="2" t="s">
        <v>736</v>
      </c>
    </row>
    <row r="977" spans="1:5" ht="17.649999999999999" x14ac:dyDescent="0.5">
      <c r="A977" s="19"/>
      <c r="B977" s="2">
        <v>423490</v>
      </c>
      <c r="C977" s="2" t="s">
        <v>736</v>
      </c>
    </row>
    <row r="978" spans="1:5" ht="17.649999999999999" x14ac:dyDescent="0.5">
      <c r="A978" s="19"/>
      <c r="B978" s="6">
        <v>4235</v>
      </c>
      <c r="C978" s="6" t="s">
        <v>737</v>
      </c>
    </row>
    <row r="979" spans="1:5" ht="17.649999999999999" x14ac:dyDescent="0.5">
      <c r="A979" s="19"/>
      <c r="B979" s="2">
        <v>42351</v>
      </c>
      <c r="C979" s="2" t="s">
        <v>738</v>
      </c>
    </row>
    <row r="980" spans="1:5" ht="17.649999999999999" x14ac:dyDescent="0.5">
      <c r="A980" s="19"/>
      <c r="B980" s="2">
        <v>423510</v>
      </c>
      <c r="C980" s="2" t="s">
        <v>738</v>
      </c>
    </row>
    <row r="981" spans="1:5" ht="17.649999999999999" x14ac:dyDescent="0.5">
      <c r="A981" s="19"/>
      <c r="B981" s="2">
        <v>42352</v>
      </c>
      <c r="C981" s="2" t="s">
        <v>739</v>
      </c>
    </row>
    <row r="982" spans="1:5" ht="17.649999999999999" x14ac:dyDescent="0.5">
      <c r="A982" s="19"/>
      <c r="B982" s="2">
        <v>423520</v>
      </c>
      <c r="C982" s="2" t="s">
        <v>739</v>
      </c>
    </row>
    <row r="983" spans="1:5" ht="26.25" x14ac:dyDescent="0.5">
      <c r="A983" s="19" t="s">
        <v>138</v>
      </c>
      <c r="B983" s="7">
        <v>4236</v>
      </c>
      <c r="C983" s="7" t="s">
        <v>740</v>
      </c>
      <c r="D983" s="8"/>
      <c r="E983" s="26"/>
    </row>
    <row r="984" spans="1:5" ht="25.5" x14ac:dyDescent="0.5">
      <c r="A984" s="19"/>
      <c r="B984" s="2">
        <v>42361</v>
      </c>
      <c r="C984" s="23" t="s">
        <v>741</v>
      </c>
      <c r="E984" s="26"/>
    </row>
    <row r="985" spans="1:5" ht="25.5" x14ac:dyDescent="0.5">
      <c r="A985" s="19"/>
      <c r="B985" s="2">
        <v>423610</v>
      </c>
      <c r="C985" s="23" t="s">
        <v>741</v>
      </c>
    </row>
    <row r="986" spans="1:5" ht="25.5" x14ac:dyDescent="0.5">
      <c r="A986" s="19" t="s">
        <v>138</v>
      </c>
      <c r="B986" s="2">
        <v>42362</v>
      </c>
      <c r="C986" s="23" t="s">
        <v>63</v>
      </c>
    </row>
    <row r="987" spans="1:5" ht="25.5" x14ac:dyDescent="0.5">
      <c r="A987" s="19" t="s">
        <v>141</v>
      </c>
      <c r="B987" s="2">
        <v>423620</v>
      </c>
      <c r="C987" s="2" t="s">
        <v>63</v>
      </c>
    </row>
    <row r="988" spans="1:5" ht="17.649999999999999" x14ac:dyDescent="0.5">
      <c r="A988" s="19"/>
      <c r="B988" s="2">
        <v>42369</v>
      </c>
      <c r="C988" s="2" t="s">
        <v>742</v>
      </c>
    </row>
    <row r="989" spans="1:5" ht="17.649999999999999" x14ac:dyDescent="0.5">
      <c r="A989" s="19"/>
      <c r="B989" s="2">
        <v>423690</v>
      </c>
      <c r="C989" s="2" t="s">
        <v>742</v>
      </c>
    </row>
    <row r="990" spans="1:5" ht="26.25" x14ac:dyDescent="0.5">
      <c r="A990" s="19"/>
      <c r="B990" s="6">
        <v>4237</v>
      </c>
      <c r="C990" s="6" t="s">
        <v>743</v>
      </c>
    </row>
    <row r="991" spans="1:5" ht="17.649999999999999" x14ac:dyDescent="0.5">
      <c r="A991" s="19"/>
      <c r="B991" s="2">
        <v>42371</v>
      </c>
      <c r="C991" s="2" t="s">
        <v>744</v>
      </c>
    </row>
    <row r="992" spans="1:5" ht="17.649999999999999" x14ac:dyDescent="0.5">
      <c r="A992" s="19"/>
      <c r="B992" s="2">
        <v>423710</v>
      </c>
      <c r="C992" s="2" t="s">
        <v>744</v>
      </c>
    </row>
    <row r="993" spans="1:3" ht="25.5" x14ac:dyDescent="0.5">
      <c r="A993" s="19"/>
      <c r="B993" s="2">
        <v>42372</v>
      </c>
      <c r="C993" s="2" t="s">
        <v>745</v>
      </c>
    </row>
    <row r="994" spans="1:3" ht="25.5" x14ac:dyDescent="0.5">
      <c r="A994" s="19" t="s">
        <v>141</v>
      </c>
      <c r="B994" s="2">
        <v>423720</v>
      </c>
      <c r="C994" s="23" t="s">
        <v>745</v>
      </c>
    </row>
    <row r="995" spans="1:3" ht="25.5" x14ac:dyDescent="0.5">
      <c r="A995" s="19"/>
      <c r="B995" s="2">
        <v>42373</v>
      </c>
      <c r="C995" s="2" t="s">
        <v>746</v>
      </c>
    </row>
    <row r="996" spans="1:3" ht="25.5" x14ac:dyDescent="0.5">
      <c r="A996" s="19"/>
      <c r="B996" s="2">
        <v>423730</v>
      </c>
      <c r="C996" s="2" t="s">
        <v>746</v>
      </c>
    </row>
    <row r="997" spans="1:3" ht="17.649999999999999" x14ac:dyDescent="0.5">
      <c r="A997" s="19"/>
      <c r="B997" s="2">
        <v>42374</v>
      </c>
      <c r="C997" s="2" t="s">
        <v>747</v>
      </c>
    </row>
    <row r="998" spans="1:3" ht="17.649999999999999" x14ac:dyDescent="0.5">
      <c r="A998" s="19"/>
      <c r="B998" s="2">
        <v>423740</v>
      </c>
      <c r="C998" s="2" t="s">
        <v>747</v>
      </c>
    </row>
    <row r="999" spans="1:3" ht="17.649999999999999" x14ac:dyDescent="0.5">
      <c r="A999" s="19"/>
      <c r="B999" s="6">
        <v>4238</v>
      </c>
      <c r="C999" s="6" t="s">
        <v>748</v>
      </c>
    </row>
    <row r="1000" spans="1:3" ht="25.5" x14ac:dyDescent="0.5">
      <c r="A1000" s="19"/>
      <c r="B1000" s="2">
        <v>42381</v>
      </c>
      <c r="C1000" s="2" t="s">
        <v>749</v>
      </c>
    </row>
    <row r="1001" spans="1:3" ht="25.5" x14ac:dyDescent="0.5">
      <c r="A1001" s="19"/>
      <c r="B1001" s="2">
        <v>423810</v>
      </c>
      <c r="C1001" s="2" t="s">
        <v>749</v>
      </c>
    </row>
    <row r="1002" spans="1:3" ht="17.649999999999999" x14ac:dyDescent="0.5">
      <c r="A1002" s="19"/>
      <c r="B1002" s="2">
        <v>42382</v>
      </c>
      <c r="C1002" s="2" t="s">
        <v>750</v>
      </c>
    </row>
    <row r="1003" spans="1:3" ht="17.649999999999999" x14ac:dyDescent="0.5">
      <c r="A1003" s="19"/>
      <c r="B1003" s="2">
        <v>423820</v>
      </c>
      <c r="C1003" s="2" t="s">
        <v>750</v>
      </c>
    </row>
    <row r="1004" spans="1:3" ht="17.649999999999999" x14ac:dyDescent="0.5">
      <c r="A1004" s="19"/>
      <c r="B1004" s="2">
        <v>42383</v>
      </c>
      <c r="C1004" s="23" t="s">
        <v>751</v>
      </c>
    </row>
    <row r="1005" spans="1:3" ht="17.649999999999999" x14ac:dyDescent="0.5">
      <c r="A1005" s="19"/>
      <c r="B1005" s="2">
        <v>423830</v>
      </c>
      <c r="C1005" s="23" t="s">
        <v>751</v>
      </c>
    </row>
    <row r="1006" spans="1:3" ht="17.649999999999999" x14ac:dyDescent="0.5">
      <c r="A1006" s="19"/>
      <c r="B1006" s="2">
        <v>42384</v>
      </c>
      <c r="C1006" s="23" t="s">
        <v>752</v>
      </c>
    </row>
    <row r="1007" spans="1:3" ht="17.649999999999999" x14ac:dyDescent="0.5">
      <c r="A1007" s="19"/>
      <c r="B1007" s="2">
        <v>423840</v>
      </c>
      <c r="C1007" s="23" t="s">
        <v>753</v>
      </c>
    </row>
    <row r="1008" spans="1:3" ht="17.649999999999999" x14ac:dyDescent="0.5">
      <c r="A1008" s="19"/>
      <c r="B1008" s="2">
        <v>42385</v>
      </c>
      <c r="C1008" s="23" t="s">
        <v>754</v>
      </c>
    </row>
    <row r="1009" spans="1:3" ht="17.649999999999999" x14ac:dyDescent="0.5">
      <c r="A1009" s="19"/>
      <c r="B1009" s="2">
        <v>423850</v>
      </c>
      <c r="C1009" s="23" t="s">
        <v>754</v>
      </c>
    </row>
    <row r="1010" spans="1:3" ht="25.5" x14ac:dyDescent="0.5">
      <c r="A1010" s="19"/>
      <c r="B1010" s="2">
        <v>42386</v>
      </c>
      <c r="C1010" s="23" t="s">
        <v>755</v>
      </c>
    </row>
    <row r="1011" spans="1:3" ht="25.5" x14ac:dyDescent="0.5">
      <c r="A1011" s="19"/>
      <c r="B1011" s="2">
        <v>423860</v>
      </c>
      <c r="C1011" s="23" t="s">
        <v>755</v>
      </c>
    </row>
    <row r="1012" spans="1:3" ht="17.649999999999999" x14ac:dyDescent="0.5">
      <c r="A1012" s="19"/>
      <c r="B1012" s="6">
        <v>4239</v>
      </c>
      <c r="C1012" s="6" t="s">
        <v>756</v>
      </c>
    </row>
    <row r="1013" spans="1:3" ht="17.649999999999999" x14ac:dyDescent="0.5">
      <c r="A1013" s="19"/>
      <c r="B1013" s="2">
        <v>42391</v>
      </c>
      <c r="C1013" s="23" t="s">
        <v>757</v>
      </c>
    </row>
    <row r="1014" spans="1:3" ht="17.649999999999999" x14ac:dyDescent="0.5">
      <c r="A1014" s="19"/>
      <c r="B1014" s="2">
        <v>423910</v>
      </c>
      <c r="C1014" s="23" t="s">
        <v>758</v>
      </c>
    </row>
    <row r="1015" spans="1:3" ht="17.649999999999999" x14ac:dyDescent="0.5">
      <c r="A1015" s="19"/>
      <c r="B1015" s="2">
        <v>42392</v>
      </c>
      <c r="C1015" s="23" t="s">
        <v>759</v>
      </c>
    </row>
    <row r="1016" spans="1:3" ht="17.649999999999999" x14ac:dyDescent="0.5">
      <c r="A1016" s="19"/>
      <c r="B1016" s="2">
        <v>423920</v>
      </c>
      <c r="C1016" s="23" t="s">
        <v>759</v>
      </c>
    </row>
    <row r="1017" spans="1:3" ht="17.649999999999999" x14ac:dyDescent="0.5">
      <c r="A1017" s="19"/>
      <c r="B1017" s="2">
        <v>42393</v>
      </c>
      <c r="C1017" s="2" t="s">
        <v>760</v>
      </c>
    </row>
    <row r="1018" spans="1:3" ht="17.649999999999999" x14ac:dyDescent="0.5">
      <c r="A1018" s="19"/>
      <c r="B1018" s="2">
        <v>423930</v>
      </c>
      <c r="C1018" s="2" t="s">
        <v>760</v>
      </c>
    </row>
    <row r="1019" spans="1:3" ht="25.5" x14ac:dyDescent="0.5">
      <c r="A1019" s="19"/>
      <c r="B1019" s="2">
        <v>42394</v>
      </c>
      <c r="C1019" s="23" t="s">
        <v>761</v>
      </c>
    </row>
    <row r="1020" spans="1:3" ht="25.5" x14ac:dyDescent="0.5">
      <c r="A1020" s="19"/>
      <c r="B1020" s="2">
        <v>423940</v>
      </c>
      <c r="C1020" s="23" t="s">
        <v>761</v>
      </c>
    </row>
    <row r="1021" spans="1:3" ht="17.649999999999999" x14ac:dyDescent="0.5">
      <c r="A1021" s="19"/>
      <c r="B1021" s="2">
        <v>42399</v>
      </c>
      <c r="C1021" s="23" t="s">
        <v>762</v>
      </c>
    </row>
    <row r="1022" spans="1:3" ht="17.649999999999999" x14ac:dyDescent="0.5">
      <c r="A1022" s="19"/>
      <c r="B1022" s="2">
        <v>423990</v>
      </c>
      <c r="C1022" s="23" t="s">
        <v>762</v>
      </c>
    </row>
    <row r="1023" spans="1:3" ht="17.649999999999999" x14ac:dyDescent="0.5">
      <c r="A1023" s="19"/>
      <c r="B1023" s="5">
        <v>424</v>
      </c>
      <c r="C1023" s="5" t="s">
        <v>763</v>
      </c>
    </row>
    <row r="1024" spans="1:3" ht="17.649999999999999" x14ac:dyDescent="0.5">
      <c r="A1024" s="19"/>
      <c r="B1024" s="6">
        <v>4241</v>
      </c>
      <c r="C1024" s="6" t="s">
        <v>764</v>
      </c>
    </row>
    <row r="1025" spans="1:3" ht="17.649999999999999" x14ac:dyDescent="0.5">
      <c r="A1025" s="19"/>
      <c r="B1025" s="2">
        <v>42411</v>
      </c>
      <c r="C1025" s="23" t="s">
        <v>765</v>
      </c>
    </row>
    <row r="1026" spans="1:3" ht="17.649999999999999" x14ac:dyDescent="0.5">
      <c r="A1026" s="19"/>
      <c r="B1026" s="2">
        <v>424110</v>
      </c>
      <c r="C1026" s="23" t="s">
        <v>765</v>
      </c>
    </row>
    <row r="1027" spans="1:3" ht="17.649999999999999" x14ac:dyDescent="0.5">
      <c r="A1027" s="19"/>
      <c r="B1027" s="2">
        <v>42412</v>
      </c>
      <c r="C1027" s="23" t="s">
        <v>766</v>
      </c>
    </row>
    <row r="1028" spans="1:3" ht="17.649999999999999" x14ac:dyDescent="0.5">
      <c r="A1028" s="19"/>
      <c r="B1028" s="2">
        <v>424120</v>
      </c>
      <c r="C1028" s="23" t="s">
        <v>766</v>
      </c>
    </row>
    <row r="1029" spans="1:3" ht="17.649999999999999" x14ac:dyDescent="0.5">
      <c r="A1029" s="19"/>
      <c r="B1029" s="2">
        <v>42413</v>
      </c>
      <c r="C1029" s="23" t="s">
        <v>767</v>
      </c>
    </row>
    <row r="1030" spans="1:3" ht="17.649999999999999" x14ac:dyDescent="0.5">
      <c r="A1030" s="19"/>
      <c r="B1030" s="2">
        <v>424130</v>
      </c>
      <c r="C1030" s="23" t="s">
        <v>767</v>
      </c>
    </row>
    <row r="1031" spans="1:3" ht="17.649999999999999" x14ac:dyDescent="0.5">
      <c r="A1031" s="19"/>
      <c r="B1031" s="6">
        <v>4242</v>
      </c>
      <c r="C1031" s="6" t="s">
        <v>768</v>
      </c>
    </row>
    <row r="1032" spans="1:3" ht="17.649999999999999" x14ac:dyDescent="0.5">
      <c r="A1032" s="19"/>
      <c r="B1032" s="2">
        <v>42421</v>
      </c>
      <c r="C1032" s="23" t="s">
        <v>768</v>
      </c>
    </row>
    <row r="1033" spans="1:3" ht="17.649999999999999" x14ac:dyDescent="0.5">
      <c r="A1033" s="19"/>
      <c r="B1033" s="2">
        <v>424210</v>
      </c>
      <c r="C1033" s="23" t="s">
        <v>768</v>
      </c>
    </row>
    <row r="1034" spans="1:3" ht="17.649999999999999" x14ac:dyDescent="0.5">
      <c r="A1034" s="19"/>
      <c r="B1034" s="6">
        <v>4243</v>
      </c>
      <c r="C1034" s="6" t="s">
        <v>769</v>
      </c>
    </row>
    <row r="1035" spans="1:3" ht="17.649999999999999" x14ac:dyDescent="0.5">
      <c r="A1035" s="19"/>
      <c r="B1035" s="2">
        <v>42431</v>
      </c>
      <c r="C1035" s="23" t="s">
        <v>770</v>
      </c>
    </row>
    <row r="1036" spans="1:3" ht="17.649999999999999" x14ac:dyDescent="0.5">
      <c r="A1036" s="19"/>
      <c r="B1036" s="2">
        <v>424310</v>
      </c>
      <c r="C1036" s="23" t="s">
        <v>770</v>
      </c>
    </row>
    <row r="1037" spans="1:3" ht="17.649999999999999" x14ac:dyDescent="0.5">
      <c r="A1037" s="19"/>
      <c r="B1037" s="2">
        <v>42432</v>
      </c>
      <c r="C1037" s="23" t="s">
        <v>771</v>
      </c>
    </row>
    <row r="1038" spans="1:3" ht="17.649999999999999" x14ac:dyDescent="0.5">
      <c r="A1038" s="19"/>
      <c r="B1038" s="2">
        <v>424320</v>
      </c>
      <c r="C1038" s="23" t="s">
        <v>771</v>
      </c>
    </row>
    <row r="1039" spans="1:3" ht="25.5" x14ac:dyDescent="0.5">
      <c r="A1039" s="19"/>
      <c r="B1039" s="2">
        <v>42433</v>
      </c>
      <c r="C1039" s="23" t="s">
        <v>772</v>
      </c>
    </row>
    <row r="1040" spans="1:3" ht="25.5" x14ac:dyDescent="0.5">
      <c r="A1040" s="19"/>
      <c r="B1040" s="2">
        <v>424330</v>
      </c>
      <c r="C1040" s="23" t="s">
        <v>772</v>
      </c>
    </row>
    <row r="1041" spans="1:3" ht="17.649999999999999" x14ac:dyDescent="0.5">
      <c r="A1041" s="19"/>
      <c r="B1041" s="2">
        <v>42434</v>
      </c>
      <c r="C1041" s="23" t="s">
        <v>773</v>
      </c>
    </row>
    <row r="1042" spans="1:3" ht="17.649999999999999" x14ac:dyDescent="0.5">
      <c r="A1042" s="19"/>
      <c r="B1042" s="2">
        <v>424340</v>
      </c>
      <c r="C1042" s="23" t="s">
        <v>773</v>
      </c>
    </row>
    <row r="1043" spans="1:3" ht="17.649999999999999" x14ac:dyDescent="0.5">
      <c r="A1043" s="19"/>
      <c r="B1043" s="6">
        <v>4244</v>
      </c>
      <c r="C1043" s="6" t="s">
        <v>774</v>
      </c>
    </row>
    <row r="1044" spans="1:3" ht="17.649999999999999" x14ac:dyDescent="0.5">
      <c r="A1044" s="19"/>
      <c r="B1044" s="2">
        <v>42441</v>
      </c>
      <c r="C1044" s="23" t="s">
        <v>775</v>
      </c>
    </row>
    <row r="1045" spans="1:3" ht="17.649999999999999" x14ac:dyDescent="0.5">
      <c r="A1045" s="19"/>
      <c r="B1045" s="2">
        <v>424410</v>
      </c>
      <c r="C1045" s="23" t="s">
        <v>775</v>
      </c>
    </row>
    <row r="1046" spans="1:3" ht="17.649999999999999" x14ac:dyDescent="0.5">
      <c r="A1046" s="19"/>
      <c r="B1046" s="2">
        <v>42442</v>
      </c>
      <c r="C1046" s="23" t="s">
        <v>776</v>
      </c>
    </row>
    <row r="1047" spans="1:3" ht="17.649999999999999" x14ac:dyDescent="0.5">
      <c r="A1047" s="19"/>
      <c r="B1047" s="2">
        <v>424420</v>
      </c>
      <c r="C1047" s="23" t="s">
        <v>776</v>
      </c>
    </row>
    <row r="1048" spans="1:3" ht="17.649999999999999" x14ac:dyDescent="0.5">
      <c r="A1048" s="19"/>
      <c r="B1048" s="2">
        <v>42443</v>
      </c>
      <c r="C1048" s="23" t="s">
        <v>777</v>
      </c>
    </row>
    <row r="1049" spans="1:3" ht="17.649999999999999" x14ac:dyDescent="0.5">
      <c r="A1049" s="19"/>
      <c r="B1049" s="2">
        <v>424430</v>
      </c>
      <c r="C1049" s="23" t="s">
        <v>777</v>
      </c>
    </row>
    <row r="1050" spans="1:3" ht="17.649999999999999" x14ac:dyDescent="0.5">
      <c r="A1050" s="19"/>
      <c r="B1050" s="2">
        <v>42444</v>
      </c>
      <c r="C1050" s="23" t="s">
        <v>778</v>
      </c>
    </row>
    <row r="1051" spans="1:3" ht="17.649999999999999" x14ac:dyDescent="0.5">
      <c r="A1051" s="19"/>
      <c r="B1051" s="2">
        <v>424440</v>
      </c>
      <c r="C1051" s="2" t="s">
        <v>778</v>
      </c>
    </row>
    <row r="1052" spans="1:3" ht="17.649999999999999" x14ac:dyDescent="0.5">
      <c r="A1052" s="19"/>
      <c r="B1052" s="2">
        <v>42445</v>
      </c>
      <c r="C1052" s="2" t="s">
        <v>779</v>
      </c>
    </row>
    <row r="1053" spans="1:3" ht="17.649999999999999" x14ac:dyDescent="0.5">
      <c r="A1053" s="19"/>
      <c r="B1053" s="2">
        <v>424450</v>
      </c>
      <c r="C1053" s="2" t="s">
        <v>779</v>
      </c>
    </row>
    <row r="1054" spans="1:3" ht="17.649999999999999" x14ac:dyDescent="0.5">
      <c r="A1054" s="19"/>
      <c r="B1054" s="2">
        <v>42446</v>
      </c>
      <c r="C1054" s="2" t="s">
        <v>780</v>
      </c>
    </row>
    <row r="1055" spans="1:3" ht="17.649999999999999" x14ac:dyDescent="0.5">
      <c r="A1055" s="19"/>
      <c r="B1055" s="2">
        <v>424460</v>
      </c>
      <c r="C1055" s="2" t="s">
        <v>780</v>
      </c>
    </row>
    <row r="1056" spans="1:3" ht="17.649999999999999" x14ac:dyDescent="0.5">
      <c r="A1056" s="19"/>
      <c r="B1056" s="2">
        <v>42447</v>
      </c>
      <c r="C1056" s="2" t="s">
        <v>781</v>
      </c>
    </row>
    <row r="1057" spans="1:3" ht="17.649999999999999" x14ac:dyDescent="0.5">
      <c r="A1057" s="19"/>
      <c r="B1057" s="2">
        <v>424470</v>
      </c>
      <c r="C1057" s="2" t="s">
        <v>781</v>
      </c>
    </row>
    <row r="1058" spans="1:3" ht="17.649999999999999" x14ac:dyDescent="0.5">
      <c r="A1058" s="19"/>
      <c r="B1058" s="2">
        <v>42448</v>
      </c>
      <c r="C1058" s="2" t="s">
        <v>782</v>
      </c>
    </row>
    <row r="1059" spans="1:3" ht="17.649999999999999" x14ac:dyDescent="0.5">
      <c r="A1059" s="19"/>
      <c r="B1059" s="2">
        <v>424480</v>
      </c>
      <c r="C1059" s="2" t="s">
        <v>782</v>
      </c>
    </row>
    <row r="1060" spans="1:3" ht="17.649999999999999" x14ac:dyDescent="0.5">
      <c r="A1060" s="19"/>
      <c r="B1060" s="2">
        <v>42449</v>
      </c>
      <c r="C1060" s="2" t="s">
        <v>783</v>
      </c>
    </row>
    <row r="1061" spans="1:3" ht="17.649999999999999" x14ac:dyDescent="0.5">
      <c r="A1061" s="19"/>
      <c r="B1061" s="2">
        <v>424490</v>
      </c>
      <c r="C1061" s="2" t="s">
        <v>783</v>
      </c>
    </row>
    <row r="1062" spans="1:3" ht="17.649999999999999" x14ac:dyDescent="0.5">
      <c r="A1062" s="19"/>
      <c r="B1062" s="6">
        <v>4245</v>
      </c>
      <c r="C1062" s="6" t="s">
        <v>784</v>
      </c>
    </row>
    <row r="1063" spans="1:3" ht="17.649999999999999" x14ac:dyDescent="0.5">
      <c r="A1063" s="19"/>
      <c r="B1063" s="2">
        <v>42451</v>
      </c>
      <c r="C1063" s="2" t="s">
        <v>785</v>
      </c>
    </row>
    <row r="1064" spans="1:3" ht="17.649999999999999" x14ac:dyDescent="0.5">
      <c r="A1064" s="19"/>
      <c r="B1064" s="2">
        <v>424510</v>
      </c>
      <c r="C1064" s="2" t="s">
        <v>785</v>
      </c>
    </row>
    <row r="1065" spans="1:3" ht="17.649999999999999" x14ac:dyDescent="0.5">
      <c r="A1065" s="19"/>
      <c r="B1065" s="2">
        <v>42452</v>
      </c>
      <c r="C1065" s="2" t="s">
        <v>786</v>
      </c>
    </row>
    <row r="1066" spans="1:3" ht="17.649999999999999" x14ac:dyDescent="0.5">
      <c r="A1066" s="19"/>
      <c r="B1066" s="2">
        <v>424520</v>
      </c>
      <c r="C1066" s="2" t="s">
        <v>786</v>
      </c>
    </row>
    <row r="1067" spans="1:3" ht="17.649999999999999" x14ac:dyDescent="0.5">
      <c r="A1067" s="19"/>
      <c r="B1067" s="2">
        <v>42459</v>
      </c>
      <c r="C1067" s="2" t="s">
        <v>787</v>
      </c>
    </row>
    <row r="1068" spans="1:3" ht="17.649999999999999" x14ac:dyDescent="0.5">
      <c r="A1068" s="19"/>
      <c r="B1068" s="2">
        <v>424590</v>
      </c>
      <c r="C1068" s="2" t="s">
        <v>787</v>
      </c>
    </row>
    <row r="1069" spans="1:3" ht="17.649999999999999" x14ac:dyDescent="0.5">
      <c r="A1069" s="19"/>
      <c r="B1069" s="6">
        <v>4246</v>
      </c>
      <c r="C1069" s="6" t="s">
        <v>788</v>
      </c>
    </row>
    <row r="1070" spans="1:3" ht="17.649999999999999" x14ac:dyDescent="0.5">
      <c r="A1070" s="19"/>
      <c r="B1070" s="2">
        <v>42461</v>
      </c>
      <c r="C1070" s="2" t="s">
        <v>789</v>
      </c>
    </row>
    <row r="1071" spans="1:3" ht="17.649999999999999" x14ac:dyDescent="0.5">
      <c r="A1071" s="19"/>
      <c r="B1071" s="2">
        <v>424610</v>
      </c>
      <c r="C1071" s="2" t="s">
        <v>789</v>
      </c>
    </row>
    <row r="1072" spans="1:3" ht="17.649999999999999" x14ac:dyDescent="0.5">
      <c r="A1072" s="19"/>
      <c r="B1072" s="2">
        <v>42469</v>
      </c>
      <c r="C1072" s="2" t="s">
        <v>790</v>
      </c>
    </row>
    <row r="1073" spans="1:3" ht="17.649999999999999" x14ac:dyDescent="0.5">
      <c r="A1073" s="19"/>
      <c r="B1073" s="2">
        <v>424690</v>
      </c>
      <c r="C1073" s="2" t="s">
        <v>790</v>
      </c>
    </row>
    <row r="1074" spans="1:3" ht="17.649999999999999" x14ac:dyDescent="0.5">
      <c r="A1074" s="19"/>
      <c r="B1074" s="6">
        <v>4247</v>
      </c>
      <c r="C1074" s="6" t="s">
        <v>791</v>
      </c>
    </row>
    <row r="1075" spans="1:3" ht="17.649999999999999" x14ac:dyDescent="0.5">
      <c r="A1075" s="19"/>
      <c r="B1075" s="2">
        <v>42471</v>
      </c>
      <c r="C1075" s="2" t="s">
        <v>792</v>
      </c>
    </row>
    <row r="1076" spans="1:3" ht="17.649999999999999" x14ac:dyDescent="0.5">
      <c r="A1076" s="19"/>
      <c r="B1076" s="2">
        <v>424710</v>
      </c>
      <c r="C1076" s="2" t="s">
        <v>792</v>
      </c>
    </row>
    <row r="1077" spans="1:3" ht="25.5" x14ac:dyDescent="0.5">
      <c r="A1077" s="19"/>
      <c r="B1077" s="2">
        <v>42472</v>
      </c>
      <c r="C1077" s="2" t="s">
        <v>793</v>
      </c>
    </row>
    <row r="1078" spans="1:3" ht="25.5" x14ac:dyDescent="0.5">
      <c r="A1078" s="19"/>
      <c r="B1078" s="2">
        <v>424720</v>
      </c>
      <c r="C1078" s="2" t="s">
        <v>793</v>
      </c>
    </row>
    <row r="1079" spans="1:3" ht="17.649999999999999" x14ac:dyDescent="0.5">
      <c r="A1079" s="19"/>
      <c r="B1079" s="6">
        <v>4248</v>
      </c>
      <c r="C1079" s="6" t="s">
        <v>794</v>
      </c>
    </row>
    <row r="1080" spans="1:3" ht="17.649999999999999" x14ac:dyDescent="0.5">
      <c r="A1080" s="19"/>
      <c r="B1080" s="2">
        <v>42481</v>
      </c>
      <c r="C1080" s="2" t="s">
        <v>795</v>
      </c>
    </row>
    <row r="1081" spans="1:3" ht="17.649999999999999" x14ac:dyDescent="0.5">
      <c r="A1081" s="19"/>
      <c r="B1081" s="2">
        <v>424810</v>
      </c>
      <c r="C1081" s="2" t="s">
        <v>795</v>
      </c>
    </row>
    <row r="1082" spans="1:3" ht="17.649999999999999" x14ac:dyDescent="0.5">
      <c r="A1082" s="19"/>
      <c r="B1082" s="2">
        <v>42482</v>
      </c>
      <c r="C1082" s="2" t="s">
        <v>796</v>
      </c>
    </row>
    <row r="1083" spans="1:3" ht="17.649999999999999" x14ac:dyDescent="0.5">
      <c r="A1083" s="19"/>
      <c r="B1083" s="2">
        <v>424820</v>
      </c>
      <c r="C1083" s="2" t="s">
        <v>796</v>
      </c>
    </row>
    <row r="1084" spans="1:3" ht="17.649999999999999" x14ac:dyDescent="0.5">
      <c r="A1084" s="19"/>
      <c r="B1084" s="6">
        <v>4249</v>
      </c>
      <c r="C1084" s="6" t="s">
        <v>797</v>
      </c>
    </row>
    <row r="1085" spans="1:3" ht="17.649999999999999" x14ac:dyDescent="0.5">
      <c r="A1085" s="19"/>
      <c r="B1085" s="2">
        <v>42491</v>
      </c>
      <c r="C1085" s="2" t="s">
        <v>798</v>
      </c>
    </row>
    <row r="1086" spans="1:3" ht="17.649999999999999" x14ac:dyDescent="0.5">
      <c r="A1086" s="19"/>
      <c r="B1086" s="2">
        <v>424910</v>
      </c>
      <c r="C1086" s="2" t="s">
        <v>798</v>
      </c>
    </row>
    <row r="1087" spans="1:3" ht="17.649999999999999" x14ac:dyDescent="0.5">
      <c r="A1087" s="19"/>
      <c r="B1087" s="2">
        <v>42492</v>
      </c>
      <c r="C1087" s="2" t="s">
        <v>799</v>
      </c>
    </row>
    <row r="1088" spans="1:3" ht="17.649999999999999" x14ac:dyDescent="0.5">
      <c r="A1088" s="19"/>
      <c r="B1088" s="2">
        <v>424920</v>
      </c>
      <c r="C1088" s="2" t="s">
        <v>799</v>
      </c>
    </row>
    <row r="1089" spans="1:3" ht="17.649999999999999" x14ac:dyDescent="0.5">
      <c r="A1089" s="19"/>
      <c r="B1089" s="2">
        <v>42493</v>
      </c>
      <c r="C1089" s="2" t="s">
        <v>800</v>
      </c>
    </row>
    <row r="1090" spans="1:3" ht="17.649999999999999" x14ac:dyDescent="0.5">
      <c r="A1090" s="19"/>
      <c r="B1090" s="2">
        <v>424930</v>
      </c>
      <c r="C1090" s="2" t="s">
        <v>800</v>
      </c>
    </row>
    <row r="1091" spans="1:3" ht="17.649999999999999" x14ac:dyDescent="0.5">
      <c r="A1091" s="19"/>
      <c r="B1091" s="2">
        <v>42494</v>
      </c>
      <c r="C1091" s="2" t="s">
        <v>801</v>
      </c>
    </row>
    <row r="1092" spans="1:3" ht="17.649999999999999" x14ac:dyDescent="0.5">
      <c r="A1092" s="19"/>
      <c r="B1092" s="2">
        <v>424940</v>
      </c>
      <c r="C1092" s="2" t="s">
        <v>801</v>
      </c>
    </row>
    <row r="1093" spans="1:3" ht="17.649999999999999" x14ac:dyDescent="0.5">
      <c r="A1093" s="19"/>
      <c r="B1093" s="2">
        <v>42495</v>
      </c>
      <c r="C1093" s="2" t="s">
        <v>802</v>
      </c>
    </row>
    <row r="1094" spans="1:3" ht="17.649999999999999" x14ac:dyDescent="0.5">
      <c r="A1094" s="19"/>
      <c r="B1094" s="2">
        <v>424950</v>
      </c>
      <c r="C1094" s="2" t="s">
        <v>802</v>
      </c>
    </row>
    <row r="1095" spans="1:3" ht="17.649999999999999" x14ac:dyDescent="0.5">
      <c r="A1095" s="19"/>
      <c r="B1095" s="2">
        <v>42499</v>
      </c>
      <c r="C1095" s="23" t="s">
        <v>803</v>
      </c>
    </row>
    <row r="1096" spans="1:3" ht="17.649999999999999" x14ac:dyDescent="0.5">
      <c r="A1096" s="19"/>
      <c r="B1096" s="2">
        <v>424990</v>
      </c>
      <c r="C1096" s="23" t="s">
        <v>803</v>
      </c>
    </row>
    <row r="1097" spans="1:3" ht="17.649999999999999" x14ac:dyDescent="0.5">
      <c r="A1097" s="19"/>
      <c r="B1097" s="5">
        <v>425</v>
      </c>
      <c r="C1097" s="5" t="s">
        <v>246</v>
      </c>
    </row>
    <row r="1098" spans="1:3" ht="17.649999999999999" x14ac:dyDescent="0.5">
      <c r="A1098" s="19"/>
      <c r="B1098" s="6">
        <v>4251</v>
      </c>
      <c r="C1098" s="6" t="s">
        <v>246</v>
      </c>
    </row>
    <row r="1099" spans="1:3" ht="17.649999999999999" x14ac:dyDescent="0.5">
      <c r="A1099" s="19"/>
      <c r="B1099" s="2">
        <v>42511</v>
      </c>
      <c r="C1099" s="2" t="s">
        <v>247</v>
      </c>
    </row>
    <row r="1100" spans="1:3" ht="17.649999999999999" x14ac:dyDescent="0.5">
      <c r="A1100" s="19"/>
      <c r="B1100" s="2">
        <v>425110</v>
      </c>
      <c r="C1100" s="2" t="s">
        <v>247</v>
      </c>
    </row>
    <row r="1101" spans="1:3" ht="17.649999999999999" x14ac:dyDescent="0.5">
      <c r="A1101" s="19"/>
      <c r="B1101" s="2">
        <v>42512</v>
      </c>
      <c r="C1101" s="2" t="s">
        <v>248</v>
      </c>
    </row>
    <row r="1102" spans="1:3" ht="17.649999999999999" x14ac:dyDescent="0.5">
      <c r="A1102" s="19"/>
      <c r="B1102" s="2">
        <v>425120</v>
      </c>
      <c r="C1102" s="2" t="s">
        <v>248</v>
      </c>
    </row>
    <row r="1103" spans="1:3" ht="17.649999999999999" x14ac:dyDescent="0.5">
      <c r="A1103" s="19"/>
      <c r="B1103" s="2"/>
      <c r="C1103" s="2"/>
    </row>
    <row r="1104" spans="1:3" ht="20.25" x14ac:dyDescent="0.35">
      <c r="A1104" s="11"/>
      <c r="B1104" s="14" t="s">
        <v>146</v>
      </c>
      <c r="C1104" s="14" t="s">
        <v>1973</v>
      </c>
    </row>
    <row r="1105" spans="1:3" ht="17.649999999999999" x14ac:dyDescent="0.5">
      <c r="A1105" s="19"/>
      <c r="B1105" s="5">
        <v>441</v>
      </c>
      <c r="C1105" s="5" t="s">
        <v>249</v>
      </c>
    </row>
    <row r="1106" spans="1:3" ht="17.649999999999999" x14ac:dyDescent="0.5">
      <c r="A1106" s="19"/>
      <c r="B1106" s="6">
        <v>4411</v>
      </c>
      <c r="C1106" s="6" t="s">
        <v>250</v>
      </c>
    </row>
    <row r="1107" spans="1:3" ht="17.649999999999999" x14ac:dyDescent="0.5">
      <c r="A1107" s="19"/>
      <c r="B1107" s="2">
        <v>44111</v>
      </c>
      <c r="C1107" s="2" t="s">
        <v>251</v>
      </c>
    </row>
    <row r="1108" spans="1:3" ht="17.649999999999999" x14ac:dyDescent="0.5">
      <c r="A1108" s="19"/>
      <c r="B1108" s="2">
        <v>441110</v>
      </c>
      <c r="C1108" s="2" t="s">
        <v>251</v>
      </c>
    </row>
    <row r="1109" spans="1:3" ht="17.649999999999999" x14ac:dyDescent="0.5">
      <c r="A1109" s="19"/>
      <c r="B1109" s="2">
        <v>44112</v>
      </c>
      <c r="C1109" s="2" t="s">
        <v>252</v>
      </c>
    </row>
    <row r="1110" spans="1:3" ht="17.649999999999999" x14ac:dyDescent="0.5">
      <c r="A1110" s="19"/>
      <c r="B1110" s="2">
        <v>441120</v>
      </c>
      <c r="C1110" s="2" t="s">
        <v>252</v>
      </c>
    </row>
    <row r="1111" spans="1:3" ht="17.649999999999999" x14ac:dyDescent="0.5">
      <c r="A1111" s="19"/>
      <c r="B1111" s="6">
        <v>4412</v>
      </c>
      <c r="C1111" s="6" t="s">
        <v>253</v>
      </c>
    </row>
    <row r="1112" spans="1:3" ht="17.649999999999999" x14ac:dyDescent="0.5">
      <c r="A1112" s="19"/>
      <c r="B1112" s="2">
        <v>44121</v>
      </c>
      <c r="C1112" s="2" t="s">
        <v>254</v>
      </c>
    </row>
    <row r="1113" spans="1:3" ht="17.649999999999999" x14ac:dyDescent="0.5">
      <c r="A1113" s="19"/>
      <c r="B1113" s="2">
        <v>441210</v>
      </c>
      <c r="C1113" s="2" t="s">
        <v>254</v>
      </c>
    </row>
    <row r="1114" spans="1:3" ht="17.649999999999999" x14ac:dyDescent="0.5">
      <c r="A1114" s="19"/>
      <c r="B1114" s="2">
        <v>44122</v>
      </c>
      <c r="C1114" s="2" t="s">
        <v>255</v>
      </c>
    </row>
    <row r="1115" spans="1:3" ht="17.649999999999999" x14ac:dyDescent="0.5">
      <c r="A1115" s="19"/>
      <c r="B1115" s="2">
        <v>441222</v>
      </c>
      <c r="C1115" s="2" t="s">
        <v>804</v>
      </c>
    </row>
    <row r="1116" spans="1:3" ht="17.649999999999999" x14ac:dyDescent="0.5">
      <c r="A1116" s="19" t="s">
        <v>139</v>
      </c>
      <c r="B1116" s="2">
        <v>441228</v>
      </c>
      <c r="C1116" s="23" t="s">
        <v>64</v>
      </c>
    </row>
    <row r="1117" spans="1:3" ht="17.649999999999999" x14ac:dyDescent="0.5">
      <c r="A1117" s="19"/>
      <c r="B1117" s="6">
        <v>4413</v>
      </c>
      <c r="C1117" s="6" t="s">
        <v>256</v>
      </c>
    </row>
    <row r="1118" spans="1:3" ht="17.649999999999999" x14ac:dyDescent="0.5">
      <c r="A1118" s="19"/>
      <c r="B1118" s="2">
        <v>44131</v>
      </c>
      <c r="C1118" s="2" t="s">
        <v>257</v>
      </c>
    </row>
    <row r="1119" spans="1:3" ht="17.649999999999999" x14ac:dyDescent="0.5">
      <c r="A1119" s="19"/>
      <c r="B1119" s="2">
        <v>441310</v>
      </c>
      <c r="C1119" s="2" t="s">
        <v>257</v>
      </c>
    </row>
    <row r="1120" spans="1:3" ht="17.649999999999999" x14ac:dyDescent="0.5">
      <c r="A1120" s="19"/>
      <c r="B1120" s="2">
        <v>44132</v>
      </c>
      <c r="C1120" s="2" t="s">
        <v>258</v>
      </c>
    </row>
    <row r="1121" spans="1:3" ht="17.649999999999999" x14ac:dyDescent="0.5">
      <c r="A1121" s="19"/>
      <c r="B1121" s="2">
        <v>441320</v>
      </c>
      <c r="C1121" s="2" t="s">
        <v>258</v>
      </c>
    </row>
    <row r="1122" spans="1:3" ht="17.649999999999999" x14ac:dyDescent="0.5">
      <c r="A1122" s="19"/>
      <c r="B1122" s="5">
        <v>442</v>
      </c>
      <c r="C1122" s="5" t="s">
        <v>259</v>
      </c>
    </row>
    <row r="1123" spans="1:3" ht="17.649999999999999" x14ac:dyDescent="0.5">
      <c r="A1123" s="19"/>
      <c r="B1123" s="6">
        <v>4421</v>
      </c>
      <c r="C1123" s="6" t="s">
        <v>260</v>
      </c>
    </row>
    <row r="1124" spans="1:3" ht="17.649999999999999" x14ac:dyDescent="0.5">
      <c r="A1124" s="19"/>
      <c r="B1124" s="2">
        <v>44211</v>
      </c>
      <c r="C1124" s="2" t="s">
        <v>260</v>
      </c>
    </row>
    <row r="1125" spans="1:3" ht="17.649999999999999" x14ac:dyDescent="0.5">
      <c r="A1125" s="19"/>
      <c r="B1125" s="2">
        <v>442110</v>
      </c>
      <c r="C1125" s="2" t="s">
        <v>260</v>
      </c>
    </row>
    <row r="1126" spans="1:3" ht="17.649999999999999" x14ac:dyDescent="0.5">
      <c r="A1126" s="19"/>
      <c r="B1126" s="6">
        <v>4422</v>
      </c>
      <c r="C1126" s="6" t="s">
        <v>261</v>
      </c>
    </row>
    <row r="1127" spans="1:3" ht="17.649999999999999" x14ac:dyDescent="0.5">
      <c r="A1127" s="19"/>
      <c r="B1127" s="2">
        <v>44221</v>
      </c>
      <c r="C1127" s="2" t="s">
        <v>262</v>
      </c>
    </row>
    <row r="1128" spans="1:3" ht="17.649999999999999" x14ac:dyDescent="0.5">
      <c r="A1128" s="19"/>
      <c r="B1128" s="2">
        <v>442210</v>
      </c>
      <c r="C1128" s="2" t="s">
        <v>262</v>
      </c>
    </row>
    <row r="1129" spans="1:3" ht="17.649999999999999" x14ac:dyDescent="0.5">
      <c r="A1129" s="19"/>
      <c r="B1129" s="2">
        <v>44229</v>
      </c>
      <c r="C1129" s="2" t="s">
        <v>263</v>
      </c>
    </row>
    <row r="1130" spans="1:3" ht="17.649999999999999" x14ac:dyDescent="0.5">
      <c r="A1130" s="19"/>
      <c r="B1130" s="2">
        <v>442291</v>
      </c>
      <c r="C1130" s="2" t="s">
        <v>264</v>
      </c>
    </row>
    <row r="1131" spans="1:3" ht="17.649999999999999" x14ac:dyDescent="0.5">
      <c r="A1131" s="19"/>
      <c r="B1131" s="2">
        <v>442299</v>
      </c>
      <c r="C1131" s="2" t="s">
        <v>805</v>
      </c>
    </row>
    <row r="1132" spans="1:3" ht="17.649999999999999" x14ac:dyDescent="0.5">
      <c r="A1132" s="19" t="s">
        <v>141</v>
      </c>
      <c r="B1132" s="5">
        <v>443</v>
      </c>
      <c r="C1132" s="5" t="s">
        <v>65</v>
      </c>
    </row>
    <row r="1133" spans="1:3" ht="17.649999999999999" x14ac:dyDescent="0.5">
      <c r="A1133" s="19" t="s">
        <v>141</v>
      </c>
      <c r="B1133" s="6">
        <v>4431</v>
      </c>
      <c r="C1133" s="6" t="s">
        <v>65</v>
      </c>
    </row>
    <row r="1134" spans="1:3" ht="17.649999999999999" x14ac:dyDescent="0.5">
      <c r="A1134" s="19" t="s">
        <v>139</v>
      </c>
      <c r="B1134" s="2">
        <v>44314</v>
      </c>
      <c r="C1134" s="2" t="s">
        <v>65</v>
      </c>
    </row>
    <row r="1135" spans="1:3" ht="17.649999999999999" x14ac:dyDescent="0.5">
      <c r="A1135" s="19" t="s">
        <v>139</v>
      </c>
      <c r="B1135" s="2">
        <v>443141</v>
      </c>
      <c r="C1135" s="23" t="s">
        <v>806</v>
      </c>
    </row>
    <row r="1136" spans="1:3" ht="17.649999999999999" x14ac:dyDescent="0.5">
      <c r="A1136" s="19" t="s">
        <v>139</v>
      </c>
      <c r="B1136" s="2">
        <v>443142</v>
      </c>
      <c r="C1136" s="2" t="s">
        <v>66</v>
      </c>
    </row>
    <row r="1137" spans="1:3" ht="30" x14ac:dyDescent="0.5">
      <c r="A1137" s="19"/>
      <c r="B1137" s="5">
        <v>444</v>
      </c>
      <c r="C1137" s="5" t="s">
        <v>265</v>
      </c>
    </row>
    <row r="1138" spans="1:3" ht="17.649999999999999" x14ac:dyDescent="0.5">
      <c r="A1138" s="19"/>
      <c r="B1138" s="6">
        <v>4441</v>
      </c>
      <c r="C1138" s="6" t="s">
        <v>266</v>
      </c>
    </row>
    <row r="1139" spans="1:3" ht="17.649999999999999" x14ac:dyDescent="0.5">
      <c r="A1139" s="19"/>
      <c r="B1139" s="2">
        <v>44411</v>
      </c>
      <c r="C1139" s="2" t="s">
        <v>267</v>
      </c>
    </row>
    <row r="1140" spans="1:3" ht="17.649999999999999" x14ac:dyDescent="0.5">
      <c r="A1140" s="19"/>
      <c r="B1140" s="2">
        <v>444110</v>
      </c>
      <c r="C1140" s="2" t="s">
        <v>267</v>
      </c>
    </row>
    <row r="1141" spans="1:3" ht="17.649999999999999" x14ac:dyDescent="0.5">
      <c r="A1141" s="19"/>
      <c r="B1141" s="2">
        <v>44412</v>
      </c>
      <c r="C1141" s="2" t="s">
        <v>268</v>
      </c>
    </row>
    <row r="1142" spans="1:3" ht="17.649999999999999" x14ac:dyDescent="0.5">
      <c r="A1142" s="19"/>
      <c r="B1142" s="2">
        <v>444120</v>
      </c>
      <c r="C1142" s="2" t="s">
        <v>268</v>
      </c>
    </row>
    <row r="1143" spans="1:3" ht="17.649999999999999" x14ac:dyDescent="0.5">
      <c r="A1143" s="19"/>
      <c r="B1143" s="2">
        <v>44413</v>
      </c>
      <c r="C1143" s="2" t="s">
        <v>269</v>
      </c>
    </row>
    <row r="1144" spans="1:3" ht="17.649999999999999" x14ac:dyDescent="0.5">
      <c r="A1144" s="19"/>
      <c r="B1144" s="2">
        <v>444130</v>
      </c>
      <c r="C1144" s="2" t="s">
        <v>269</v>
      </c>
    </row>
    <row r="1145" spans="1:3" ht="17.649999999999999" x14ac:dyDescent="0.5">
      <c r="A1145" s="19"/>
      <c r="B1145" s="2">
        <v>44419</v>
      </c>
      <c r="C1145" s="2" t="s">
        <v>270</v>
      </c>
    </row>
    <row r="1146" spans="1:3" ht="17.649999999999999" x14ac:dyDescent="0.5">
      <c r="A1146" s="19"/>
      <c r="B1146" s="2">
        <v>444190</v>
      </c>
      <c r="C1146" s="2" t="s">
        <v>270</v>
      </c>
    </row>
    <row r="1147" spans="1:3" ht="17.649999999999999" x14ac:dyDescent="0.5">
      <c r="A1147" s="19"/>
      <c r="B1147" s="6">
        <v>4442</v>
      </c>
      <c r="C1147" s="6" t="s">
        <v>271</v>
      </c>
    </row>
    <row r="1148" spans="1:3" ht="17.649999999999999" x14ac:dyDescent="0.5">
      <c r="A1148" s="19"/>
      <c r="B1148" s="2">
        <v>44421</v>
      </c>
      <c r="C1148" s="2" t="s">
        <v>272</v>
      </c>
    </row>
    <row r="1149" spans="1:3" ht="17.649999999999999" x14ac:dyDescent="0.5">
      <c r="A1149" s="19"/>
      <c r="B1149" s="2">
        <v>444210</v>
      </c>
      <c r="C1149" s="2" t="s">
        <v>272</v>
      </c>
    </row>
    <row r="1150" spans="1:3" ht="17.649999999999999" x14ac:dyDescent="0.5">
      <c r="A1150" s="19"/>
      <c r="B1150" s="2">
        <v>44422</v>
      </c>
      <c r="C1150" s="2" t="s">
        <v>273</v>
      </c>
    </row>
    <row r="1151" spans="1:3" ht="17.649999999999999" x14ac:dyDescent="0.5">
      <c r="A1151" s="19"/>
      <c r="B1151" s="2">
        <v>444220</v>
      </c>
      <c r="C1151" s="2" t="s">
        <v>273</v>
      </c>
    </row>
    <row r="1152" spans="1:3" ht="17.649999999999999" x14ac:dyDescent="0.5">
      <c r="A1152" s="19"/>
      <c r="B1152" s="5">
        <v>445</v>
      </c>
      <c r="C1152" s="5" t="s">
        <v>274</v>
      </c>
    </row>
    <row r="1153" spans="1:3" ht="17.649999999999999" x14ac:dyDescent="0.5">
      <c r="A1153" s="19"/>
      <c r="B1153" s="6">
        <v>4451</v>
      </c>
      <c r="C1153" s="6" t="s">
        <v>275</v>
      </c>
    </row>
    <row r="1154" spans="1:3" ht="17.649999999999999" x14ac:dyDescent="0.5">
      <c r="A1154" s="19"/>
      <c r="B1154" s="2">
        <v>44511</v>
      </c>
      <c r="C1154" s="2" t="s">
        <v>276</v>
      </c>
    </row>
    <row r="1155" spans="1:3" ht="17.649999999999999" x14ac:dyDescent="0.5">
      <c r="A1155" s="19"/>
      <c r="B1155" s="2">
        <v>445110</v>
      </c>
      <c r="C1155" s="2" t="s">
        <v>276</v>
      </c>
    </row>
    <row r="1156" spans="1:3" ht="17.649999999999999" x14ac:dyDescent="0.5">
      <c r="A1156" s="19"/>
      <c r="B1156" s="2">
        <v>44512</v>
      </c>
      <c r="C1156" s="2" t="s">
        <v>277</v>
      </c>
    </row>
    <row r="1157" spans="1:3" ht="17.649999999999999" x14ac:dyDescent="0.5">
      <c r="A1157" s="19"/>
      <c r="B1157" s="2">
        <v>445120</v>
      </c>
      <c r="C1157" s="2" t="s">
        <v>277</v>
      </c>
    </row>
    <row r="1158" spans="1:3" ht="17.649999999999999" x14ac:dyDescent="0.5">
      <c r="A1158" s="19"/>
      <c r="B1158" s="6">
        <v>4452</v>
      </c>
      <c r="C1158" s="6" t="s">
        <v>278</v>
      </c>
    </row>
    <row r="1159" spans="1:3" ht="17.649999999999999" x14ac:dyDescent="0.5">
      <c r="A1159" s="19"/>
      <c r="B1159" s="2">
        <v>44521</v>
      </c>
      <c r="C1159" s="2" t="s">
        <v>279</v>
      </c>
    </row>
    <row r="1160" spans="1:3" ht="17.649999999999999" x14ac:dyDescent="0.5">
      <c r="A1160" s="19"/>
      <c r="B1160" s="2">
        <v>445210</v>
      </c>
      <c r="C1160" s="2" t="s">
        <v>279</v>
      </c>
    </row>
    <row r="1161" spans="1:3" ht="17.649999999999999" x14ac:dyDescent="0.5">
      <c r="A1161" s="19"/>
      <c r="B1161" s="2">
        <v>44522</v>
      </c>
      <c r="C1161" s="2" t="s">
        <v>280</v>
      </c>
    </row>
    <row r="1162" spans="1:3" ht="17.649999999999999" x14ac:dyDescent="0.5">
      <c r="A1162" s="19"/>
      <c r="B1162" s="2">
        <v>445220</v>
      </c>
      <c r="C1162" s="2" t="s">
        <v>280</v>
      </c>
    </row>
    <row r="1163" spans="1:3" ht="17.649999999999999" x14ac:dyDescent="0.5">
      <c r="A1163" s="19"/>
      <c r="B1163" s="2">
        <v>44523</v>
      </c>
      <c r="C1163" s="2" t="s">
        <v>281</v>
      </c>
    </row>
    <row r="1164" spans="1:3" ht="17.649999999999999" x14ac:dyDescent="0.5">
      <c r="A1164" s="19"/>
      <c r="B1164" s="2">
        <v>445230</v>
      </c>
      <c r="C1164" s="2" t="s">
        <v>281</v>
      </c>
    </row>
    <row r="1165" spans="1:3" ht="17.649999999999999" x14ac:dyDescent="0.5">
      <c r="A1165" s="19"/>
      <c r="B1165" s="2">
        <v>44529</v>
      </c>
      <c r="C1165" s="2" t="s">
        <v>282</v>
      </c>
    </row>
    <row r="1166" spans="1:3" ht="17.649999999999999" x14ac:dyDescent="0.5">
      <c r="A1166" s="19"/>
      <c r="B1166" s="2">
        <v>445291</v>
      </c>
      <c r="C1166" s="2" t="s">
        <v>283</v>
      </c>
    </row>
    <row r="1167" spans="1:3" ht="17.649999999999999" x14ac:dyDescent="0.5">
      <c r="A1167" s="19"/>
      <c r="B1167" s="2">
        <v>445292</v>
      </c>
      <c r="C1167" s="2" t="s">
        <v>284</v>
      </c>
    </row>
    <row r="1168" spans="1:3" ht="17.649999999999999" x14ac:dyDescent="0.5">
      <c r="A1168" s="19"/>
      <c r="B1168" s="2">
        <v>445299</v>
      </c>
      <c r="C1168" s="2" t="s">
        <v>285</v>
      </c>
    </row>
    <row r="1169" spans="1:3" ht="17.649999999999999" x14ac:dyDescent="0.5">
      <c r="A1169" s="19"/>
      <c r="B1169" s="6">
        <v>4453</v>
      </c>
      <c r="C1169" s="6" t="s">
        <v>286</v>
      </c>
    </row>
    <row r="1170" spans="1:3" ht="17.649999999999999" x14ac:dyDescent="0.5">
      <c r="A1170" s="19"/>
      <c r="B1170" s="2">
        <v>44531</v>
      </c>
      <c r="C1170" s="2" t="s">
        <v>286</v>
      </c>
    </row>
    <row r="1171" spans="1:3" ht="17.649999999999999" x14ac:dyDescent="0.5">
      <c r="A1171" s="19"/>
      <c r="B1171" s="2">
        <v>445310</v>
      </c>
      <c r="C1171" s="2" t="s">
        <v>286</v>
      </c>
    </row>
    <row r="1172" spans="1:3" ht="17.649999999999999" x14ac:dyDescent="0.5">
      <c r="A1172" s="19"/>
      <c r="B1172" s="5">
        <v>446</v>
      </c>
      <c r="C1172" s="5" t="s">
        <v>287</v>
      </c>
    </row>
    <row r="1173" spans="1:3" ht="17.649999999999999" x14ac:dyDescent="0.5">
      <c r="A1173" s="19"/>
      <c r="B1173" s="6">
        <v>4461</v>
      </c>
      <c r="C1173" s="6" t="s">
        <v>287</v>
      </c>
    </row>
    <row r="1174" spans="1:3" ht="17.649999999999999" x14ac:dyDescent="0.5">
      <c r="A1174" s="19"/>
      <c r="B1174" s="2">
        <v>44611</v>
      </c>
      <c r="C1174" s="2" t="s">
        <v>288</v>
      </c>
    </row>
    <row r="1175" spans="1:3" ht="17.649999999999999" x14ac:dyDescent="0.5">
      <c r="A1175" s="19"/>
      <c r="B1175" s="2">
        <v>446110</v>
      </c>
      <c r="C1175" s="2" t="s">
        <v>288</v>
      </c>
    </row>
    <row r="1176" spans="1:3" ht="17.649999999999999" x14ac:dyDescent="0.5">
      <c r="A1176" s="19"/>
      <c r="B1176" s="2">
        <v>44612</v>
      </c>
      <c r="C1176" s="2" t="s">
        <v>289</v>
      </c>
    </row>
    <row r="1177" spans="1:3" ht="17.649999999999999" x14ac:dyDescent="0.5">
      <c r="A1177" s="19"/>
      <c r="B1177" s="2">
        <v>446120</v>
      </c>
      <c r="C1177" s="2" t="s">
        <v>289</v>
      </c>
    </row>
    <row r="1178" spans="1:3" ht="17.649999999999999" x14ac:dyDescent="0.5">
      <c r="A1178" s="19"/>
      <c r="B1178" s="2">
        <v>44613</v>
      </c>
      <c r="C1178" s="2" t="s">
        <v>290</v>
      </c>
    </row>
    <row r="1179" spans="1:3" ht="17.649999999999999" x14ac:dyDescent="0.5">
      <c r="A1179" s="19"/>
      <c r="B1179" s="2">
        <v>446130</v>
      </c>
      <c r="C1179" s="2" t="s">
        <v>290</v>
      </c>
    </row>
    <row r="1180" spans="1:3" ht="17.649999999999999" x14ac:dyDescent="0.5">
      <c r="A1180" s="19"/>
      <c r="B1180" s="2">
        <v>44619</v>
      </c>
      <c r="C1180" s="2" t="s">
        <v>291</v>
      </c>
    </row>
    <row r="1181" spans="1:3" ht="17.649999999999999" x14ac:dyDescent="0.5">
      <c r="A1181" s="19"/>
      <c r="B1181" s="2">
        <v>446191</v>
      </c>
      <c r="C1181" s="2" t="s">
        <v>292</v>
      </c>
    </row>
    <row r="1182" spans="1:3" ht="17.649999999999999" x14ac:dyDescent="0.5">
      <c r="A1182" s="19"/>
      <c r="B1182" s="2">
        <v>446199</v>
      </c>
      <c r="C1182" s="2" t="s">
        <v>293</v>
      </c>
    </row>
    <row r="1183" spans="1:3" ht="17.649999999999999" x14ac:dyDescent="0.5">
      <c r="A1183" s="19"/>
      <c r="B1183" s="5">
        <v>447</v>
      </c>
      <c r="C1183" s="5" t="s">
        <v>294</v>
      </c>
    </row>
    <row r="1184" spans="1:3" ht="17.649999999999999" x14ac:dyDescent="0.5">
      <c r="A1184" s="19"/>
      <c r="B1184" s="6">
        <v>4471</v>
      </c>
      <c r="C1184" s="6" t="s">
        <v>294</v>
      </c>
    </row>
    <row r="1185" spans="1:3" ht="17.649999999999999" x14ac:dyDescent="0.5">
      <c r="A1185" s="19"/>
      <c r="B1185" s="2">
        <v>44711</v>
      </c>
      <c r="C1185" s="2" t="s">
        <v>295</v>
      </c>
    </row>
    <row r="1186" spans="1:3" ht="17.649999999999999" x14ac:dyDescent="0.5">
      <c r="A1186" s="19"/>
      <c r="B1186" s="2">
        <v>447110</v>
      </c>
      <c r="C1186" s="2" t="s">
        <v>295</v>
      </c>
    </row>
    <row r="1187" spans="1:3" ht="17.649999999999999" x14ac:dyDescent="0.5">
      <c r="A1187" s="19"/>
      <c r="B1187" s="2">
        <v>44719</v>
      </c>
      <c r="C1187" s="2" t="s">
        <v>296</v>
      </c>
    </row>
    <row r="1188" spans="1:3" ht="17.649999999999999" x14ac:dyDescent="0.5">
      <c r="A1188" s="19"/>
      <c r="B1188" s="2">
        <v>447190</v>
      </c>
      <c r="C1188" s="2" t="s">
        <v>296</v>
      </c>
    </row>
    <row r="1189" spans="1:3" ht="17.649999999999999" x14ac:dyDescent="0.5">
      <c r="A1189" s="19"/>
      <c r="B1189" s="5">
        <v>448</v>
      </c>
      <c r="C1189" s="5" t="s">
        <v>297</v>
      </c>
    </row>
    <row r="1190" spans="1:3" ht="17.649999999999999" x14ac:dyDescent="0.5">
      <c r="A1190" s="19"/>
      <c r="B1190" s="6">
        <v>4481</v>
      </c>
      <c r="C1190" s="6" t="s">
        <v>298</v>
      </c>
    </row>
    <row r="1191" spans="1:3" ht="17.649999999999999" x14ac:dyDescent="0.5">
      <c r="A1191" s="19"/>
      <c r="B1191" s="2">
        <v>44811</v>
      </c>
      <c r="C1191" s="2" t="s">
        <v>299</v>
      </c>
    </row>
    <row r="1192" spans="1:3" ht="17.649999999999999" x14ac:dyDescent="0.5">
      <c r="A1192" s="19"/>
      <c r="B1192" s="2">
        <v>448110</v>
      </c>
      <c r="C1192" s="2" t="s">
        <v>299</v>
      </c>
    </row>
    <row r="1193" spans="1:3" ht="17.649999999999999" x14ac:dyDescent="0.5">
      <c r="A1193" s="19"/>
      <c r="B1193" s="2">
        <v>44812</v>
      </c>
      <c r="C1193" s="2" t="s">
        <v>300</v>
      </c>
    </row>
    <row r="1194" spans="1:3" ht="17.649999999999999" x14ac:dyDescent="0.5">
      <c r="A1194" s="19"/>
      <c r="B1194" s="2">
        <v>448120</v>
      </c>
      <c r="C1194" s="2" t="s">
        <v>300</v>
      </c>
    </row>
    <row r="1195" spans="1:3" ht="17.649999999999999" x14ac:dyDescent="0.5">
      <c r="A1195" s="19"/>
      <c r="B1195" s="2">
        <v>44813</v>
      </c>
      <c r="C1195" s="2" t="s">
        <v>301</v>
      </c>
    </row>
    <row r="1196" spans="1:3" ht="17.649999999999999" x14ac:dyDescent="0.5">
      <c r="A1196" s="19"/>
      <c r="B1196" s="2">
        <v>448130</v>
      </c>
      <c r="C1196" s="2" t="s">
        <v>301</v>
      </c>
    </row>
    <row r="1197" spans="1:3" ht="17.649999999999999" x14ac:dyDescent="0.5">
      <c r="A1197" s="19"/>
      <c r="B1197" s="2">
        <v>44814</v>
      </c>
      <c r="C1197" s="2" t="s">
        <v>302</v>
      </c>
    </row>
    <row r="1198" spans="1:3" ht="17.649999999999999" x14ac:dyDescent="0.5">
      <c r="A1198" s="19"/>
      <c r="B1198" s="2">
        <v>448140</v>
      </c>
      <c r="C1198" s="2" t="s">
        <v>302</v>
      </c>
    </row>
    <row r="1199" spans="1:3" ht="17.649999999999999" x14ac:dyDescent="0.5">
      <c r="A1199" s="19"/>
      <c r="B1199" s="2">
        <v>44815</v>
      </c>
      <c r="C1199" s="2" t="s">
        <v>303</v>
      </c>
    </row>
    <row r="1200" spans="1:3" ht="17.649999999999999" x14ac:dyDescent="0.5">
      <c r="A1200" s="19"/>
      <c r="B1200" s="2">
        <v>448150</v>
      </c>
      <c r="C1200" s="2" t="s">
        <v>303</v>
      </c>
    </row>
    <row r="1201" spans="1:3" ht="17.649999999999999" x14ac:dyDescent="0.5">
      <c r="A1201" s="19"/>
      <c r="B1201" s="2">
        <v>44819</v>
      </c>
      <c r="C1201" s="2" t="s">
        <v>304</v>
      </c>
    </row>
    <row r="1202" spans="1:3" ht="17.649999999999999" x14ac:dyDescent="0.5">
      <c r="A1202" s="19"/>
      <c r="B1202" s="2">
        <v>448190</v>
      </c>
      <c r="C1202" s="2" t="s">
        <v>304</v>
      </c>
    </row>
    <row r="1203" spans="1:3" ht="17.649999999999999" x14ac:dyDescent="0.5">
      <c r="A1203" s="19"/>
      <c r="B1203" s="6">
        <v>4482</v>
      </c>
      <c r="C1203" s="6" t="s">
        <v>305</v>
      </c>
    </row>
    <row r="1204" spans="1:3" ht="17.649999999999999" x14ac:dyDescent="0.5">
      <c r="A1204" s="19"/>
      <c r="B1204" s="2">
        <v>44821</v>
      </c>
      <c r="C1204" s="2" t="s">
        <v>305</v>
      </c>
    </row>
    <row r="1205" spans="1:3" ht="17.649999999999999" x14ac:dyDescent="0.5">
      <c r="A1205" s="19"/>
      <c r="B1205" s="2">
        <v>448210</v>
      </c>
      <c r="C1205" s="2" t="s">
        <v>305</v>
      </c>
    </row>
    <row r="1206" spans="1:3" ht="17.649999999999999" x14ac:dyDescent="0.5">
      <c r="A1206" s="19"/>
      <c r="B1206" s="6">
        <v>4483</v>
      </c>
      <c r="C1206" s="6" t="s">
        <v>306</v>
      </c>
    </row>
    <row r="1207" spans="1:3" ht="17.649999999999999" x14ac:dyDescent="0.5">
      <c r="A1207" s="19"/>
      <c r="B1207" s="2">
        <v>44831</v>
      </c>
      <c r="C1207" s="2" t="s">
        <v>307</v>
      </c>
    </row>
    <row r="1208" spans="1:3" ht="17.649999999999999" x14ac:dyDescent="0.5">
      <c r="A1208" s="19"/>
      <c r="B1208" s="2">
        <v>448310</v>
      </c>
      <c r="C1208" s="2" t="s">
        <v>307</v>
      </c>
    </row>
    <row r="1209" spans="1:3" ht="17.649999999999999" x14ac:dyDescent="0.5">
      <c r="A1209" s="19"/>
      <c r="B1209" s="2">
        <v>44832</v>
      </c>
      <c r="C1209" s="2" t="s">
        <v>308</v>
      </c>
    </row>
    <row r="1210" spans="1:3" ht="17.649999999999999" x14ac:dyDescent="0.5">
      <c r="A1210" s="19"/>
      <c r="B1210" s="2">
        <v>448320</v>
      </c>
      <c r="C1210" s="2" t="s">
        <v>308</v>
      </c>
    </row>
    <row r="1211" spans="1:3" ht="30" x14ac:dyDescent="0.5">
      <c r="A1211" s="19" t="s">
        <v>141</v>
      </c>
      <c r="B1211" s="5">
        <v>451</v>
      </c>
      <c r="C1211" s="5" t="s">
        <v>309</v>
      </c>
    </row>
    <row r="1212" spans="1:3" ht="17.649999999999999" x14ac:dyDescent="0.5">
      <c r="A1212" s="19"/>
      <c r="B1212" s="6">
        <v>4511</v>
      </c>
      <c r="C1212" s="6" t="s">
        <v>310</v>
      </c>
    </row>
    <row r="1213" spans="1:3" ht="17.649999999999999" x14ac:dyDescent="0.5">
      <c r="A1213" s="19"/>
      <c r="B1213" s="2">
        <v>45111</v>
      </c>
      <c r="C1213" s="2" t="s">
        <v>311</v>
      </c>
    </row>
    <row r="1214" spans="1:3" ht="17.649999999999999" x14ac:dyDescent="0.5">
      <c r="A1214" s="19"/>
      <c r="B1214" s="2">
        <v>451110</v>
      </c>
      <c r="C1214" s="2" t="s">
        <v>311</v>
      </c>
    </row>
    <row r="1215" spans="1:3" ht="17.649999999999999" x14ac:dyDescent="0.5">
      <c r="A1215" s="19"/>
      <c r="B1215" s="2">
        <v>45112</v>
      </c>
      <c r="C1215" s="2" t="s">
        <v>312</v>
      </c>
    </row>
    <row r="1216" spans="1:3" ht="17.649999999999999" x14ac:dyDescent="0.5">
      <c r="A1216" s="19"/>
      <c r="B1216" s="2">
        <v>451120</v>
      </c>
      <c r="C1216" s="2" t="s">
        <v>312</v>
      </c>
    </row>
    <row r="1217" spans="1:3" ht="17.649999999999999" x14ac:dyDescent="0.5">
      <c r="A1217" s="19"/>
      <c r="B1217" s="2">
        <v>45113</v>
      </c>
      <c r="C1217" s="2" t="s">
        <v>313</v>
      </c>
    </row>
    <row r="1218" spans="1:3" ht="17.649999999999999" x14ac:dyDescent="0.5">
      <c r="A1218" s="19"/>
      <c r="B1218" s="2">
        <v>451130</v>
      </c>
      <c r="C1218" s="2" t="s">
        <v>313</v>
      </c>
    </row>
    <row r="1219" spans="1:3" ht="17.649999999999999" x14ac:dyDescent="0.5">
      <c r="A1219" s="19"/>
      <c r="B1219" s="2">
        <v>45114</v>
      </c>
      <c r="C1219" s="2" t="s">
        <v>314</v>
      </c>
    </row>
    <row r="1220" spans="1:3" ht="17.649999999999999" x14ac:dyDescent="0.5">
      <c r="A1220" s="19"/>
      <c r="B1220" s="2">
        <v>451140</v>
      </c>
      <c r="C1220" s="2" t="s">
        <v>314</v>
      </c>
    </row>
    <row r="1221" spans="1:3" ht="17.649999999999999" x14ac:dyDescent="0.5">
      <c r="A1221" s="19" t="s">
        <v>141</v>
      </c>
      <c r="B1221" s="6">
        <v>4512</v>
      </c>
      <c r="C1221" s="6" t="s">
        <v>315</v>
      </c>
    </row>
    <row r="1222" spans="1:3" ht="17.649999999999999" x14ac:dyDescent="0.5">
      <c r="A1222" s="19"/>
      <c r="B1222" s="2">
        <v>45121</v>
      </c>
      <c r="C1222" s="2" t="s">
        <v>315</v>
      </c>
    </row>
    <row r="1223" spans="1:3" ht="17.649999999999999" x14ac:dyDescent="0.5">
      <c r="A1223" s="19"/>
      <c r="B1223" s="2">
        <v>451211</v>
      </c>
      <c r="C1223" s="2" t="s">
        <v>807</v>
      </c>
    </row>
    <row r="1224" spans="1:3" ht="17.649999999999999" x14ac:dyDescent="0.5">
      <c r="A1224" s="19"/>
      <c r="B1224" s="2">
        <v>451212</v>
      </c>
      <c r="C1224" s="2" t="s">
        <v>808</v>
      </c>
    </row>
    <row r="1225" spans="1:3" ht="17.649999999999999" x14ac:dyDescent="0.5">
      <c r="A1225" s="19"/>
      <c r="B1225" s="5">
        <v>452</v>
      </c>
      <c r="C1225" s="5" t="s">
        <v>316</v>
      </c>
    </row>
    <row r="1226" spans="1:3" ht="17.649999999999999" x14ac:dyDescent="0.5">
      <c r="A1226" s="19"/>
      <c r="B1226" s="6">
        <v>4521</v>
      </c>
      <c r="C1226" s="6" t="s">
        <v>317</v>
      </c>
    </row>
    <row r="1227" spans="1:3" ht="17.649999999999999" x14ac:dyDescent="0.5">
      <c r="A1227" s="19"/>
      <c r="B1227" s="2">
        <v>45211</v>
      </c>
      <c r="C1227" s="2" t="s">
        <v>317</v>
      </c>
    </row>
    <row r="1228" spans="1:3" ht="17.649999999999999" x14ac:dyDescent="0.5">
      <c r="A1228" s="19"/>
      <c r="B1228" s="2">
        <v>452111</v>
      </c>
      <c r="C1228" s="2" t="s">
        <v>809</v>
      </c>
    </row>
    <row r="1229" spans="1:3" ht="17.649999999999999" x14ac:dyDescent="0.5">
      <c r="A1229" s="19"/>
      <c r="B1229" s="2">
        <v>452112</v>
      </c>
      <c r="C1229" s="2" t="s">
        <v>810</v>
      </c>
    </row>
    <row r="1230" spans="1:3" ht="17.649999999999999" x14ac:dyDescent="0.5">
      <c r="A1230" s="19"/>
      <c r="B1230" s="6">
        <v>4529</v>
      </c>
      <c r="C1230" s="6" t="s">
        <v>318</v>
      </c>
    </row>
    <row r="1231" spans="1:3" ht="17.649999999999999" x14ac:dyDescent="0.5">
      <c r="A1231" s="19"/>
      <c r="B1231" s="2">
        <v>45291</v>
      </c>
      <c r="C1231" s="2" t="s">
        <v>319</v>
      </c>
    </row>
    <row r="1232" spans="1:3" ht="17.649999999999999" x14ac:dyDescent="0.5">
      <c r="A1232" s="19"/>
      <c r="B1232" s="2">
        <v>452910</v>
      </c>
      <c r="C1232" s="2" t="s">
        <v>319</v>
      </c>
    </row>
    <row r="1233" spans="1:3" ht="17.649999999999999" x14ac:dyDescent="0.5">
      <c r="A1233" s="19"/>
      <c r="B1233" s="2">
        <v>45299</v>
      </c>
      <c r="C1233" s="2" t="s">
        <v>320</v>
      </c>
    </row>
    <row r="1234" spans="1:3" ht="17.649999999999999" x14ac:dyDescent="0.5">
      <c r="A1234" s="19"/>
      <c r="B1234" s="2">
        <v>452990</v>
      </c>
      <c r="C1234" s="2" t="s">
        <v>320</v>
      </c>
    </row>
    <row r="1235" spans="1:3" ht="17.649999999999999" x14ac:dyDescent="0.5">
      <c r="A1235" s="19"/>
      <c r="B1235" s="5">
        <v>453</v>
      </c>
      <c r="C1235" s="5" t="s">
        <v>321</v>
      </c>
    </row>
    <row r="1236" spans="1:3" ht="17.649999999999999" x14ac:dyDescent="0.5">
      <c r="A1236" s="19"/>
      <c r="B1236" s="6">
        <v>4531</v>
      </c>
      <c r="C1236" s="6" t="s">
        <v>322</v>
      </c>
    </row>
    <row r="1237" spans="1:3" ht="17.649999999999999" x14ac:dyDescent="0.5">
      <c r="A1237" s="19"/>
      <c r="B1237" s="2">
        <v>45311</v>
      </c>
      <c r="C1237" s="2" t="s">
        <v>322</v>
      </c>
    </row>
    <row r="1238" spans="1:3" ht="17.649999999999999" x14ac:dyDescent="0.5">
      <c r="A1238" s="19"/>
      <c r="B1238" s="2">
        <v>453110</v>
      </c>
      <c r="C1238" s="2" t="s">
        <v>322</v>
      </c>
    </row>
    <row r="1239" spans="1:3" ht="17.649999999999999" x14ac:dyDescent="0.5">
      <c r="A1239" s="19"/>
      <c r="B1239" s="6">
        <v>4532</v>
      </c>
      <c r="C1239" s="6" t="s">
        <v>323</v>
      </c>
    </row>
    <row r="1240" spans="1:3" ht="17.649999999999999" x14ac:dyDescent="0.5">
      <c r="A1240" s="19"/>
      <c r="B1240" s="2">
        <v>45321</v>
      </c>
      <c r="C1240" s="2" t="s">
        <v>324</v>
      </c>
    </row>
    <row r="1241" spans="1:3" ht="17.649999999999999" x14ac:dyDescent="0.5">
      <c r="A1241" s="19"/>
      <c r="B1241" s="2">
        <v>453210</v>
      </c>
      <c r="C1241" s="2" t="s">
        <v>324</v>
      </c>
    </row>
    <row r="1242" spans="1:3" ht="17.649999999999999" x14ac:dyDescent="0.5">
      <c r="A1242" s="19"/>
      <c r="B1242" s="2">
        <v>45322</v>
      </c>
      <c r="C1242" s="2" t="s">
        <v>325</v>
      </c>
    </row>
    <row r="1243" spans="1:3" ht="17.649999999999999" x14ac:dyDescent="0.5">
      <c r="A1243" s="19"/>
      <c r="B1243" s="2">
        <v>453220</v>
      </c>
      <c r="C1243" s="2" t="s">
        <v>325</v>
      </c>
    </row>
    <row r="1244" spans="1:3" ht="17.649999999999999" x14ac:dyDescent="0.5">
      <c r="A1244" s="19"/>
      <c r="B1244" s="6">
        <v>4533</v>
      </c>
      <c r="C1244" s="6" t="s">
        <v>326</v>
      </c>
    </row>
    <row r="1245" spans="1:3" ht="17.649999999999999" x14ac:dyDescent="0.5">
      <c r="A1245" s="19"/>
      <c r="B1245" s="2">
        <v>45331</v>
      </c>
      <c r="C1245" s="2" t="s">
        <v>326</v>
      </c>
    </row>
    <row r="1246" spans="1:3" ht="17.649999999999999" x14ac:dyDescent="0.5">
      <c r="A1246" s="19"/>
      <c r="B1246" s="2">
        <v>453310</v>
      </c>
      <c r="C1246" s="2" t="s">
        <v>326</v>
      </c>
    </row>
    <row r="1247" spans="1:3" ht="17.649999999999999" x14ac:dyDescent="0.5">
      <c r="A1247" s="19"/>
      <c r="B1247" s="6">
        <v>4539</v>
      </c>
      <c r="C1247" s="6" t="s">
        <v>327</v>
      </c>
    </row>
    <row r="1248" spans="1:3" ht="17.649999999999999" x14ac:dyDescent="0.5">
      <c r="A1248" s="19"/>
      <c r="B1248" s="2">
        <v>45391</v>
      </c>
      <c r="C1248" s="2" t="s">
        <v>328</v>
      </c>
    </row>
    <row r="1249" spans="1:3" ht="17.649999999999999" x14ac:dyDescent="0.5">
      <c r="A1249" s="19"/>
      <c r="B1249" s="2">
        <v>453910</v>
      </c>
      <c r="C1249" s="2" t="s">
        <v>328</v>
      </c>
    </row>
    <row r="1250" spans="1:3" ht="17.649999999999999" x14ac:dyDescent="0.5">
      <c r="A1250" s="19"/>
      <c r="B1250" s="2">
        <v>45392</v>
      </c>
      <c r="C1250" s="2" t="s">
        <v>329</v>
      </c>
    </row>
    <row r="1251" spans="1:3" ht="17.649999999999999" x14ac:dyDescent="0.5">
      <c r="A1251" s="19"/>
      <c r="B1251" s="2">
        <v>453920</v>
      </c>
      <c r="C1251" s="2" t="s">
        <v>329</v>
      </c>
    </row>
    <row r="1252" spans="1:3" ht="17.649999999999999" x14ac:dyDescent="0.5">
      <c r="A1252" s="19"/>
      <c r="B1252" s="2">
        <v>45393</v>
      </c>
      <c r="C1252" s="2" t="s">
        <v>330</v>
      </c>
    </row>
    <row r="1253" spans="1:3" ht="17.649999999999999" x14ac:dyDescent="0.5">
      <c r="A1253" s="19"/>
      <c r="B1253" s="2">
        <v>453930</v>
      </c>
      <c r="C1253" s="2" t="s">
        <v>330</v>
      </c>
    </row>
    <row r="1254" spans="1:3" ht="17.649999999999999" x14ac:dyDescent="0.5">
      <c r="A1254" s="19"/>
      <c r="B1254" s="2">
        <v>45399</v>
      </c>
      <c r="C1254" s="2" t="s">
        <v>331</v>
      </c>
    </row>
    <row r="1255" spans="1:3" ht="17.649999999999999" x14ac:dyDescent="0.5">
      <c r="A1255" s="19"/>
      <c r="B1255" s="2">
        <v>453991</v>
      </c>
      <c r="C1255" s="2" t="s">
        <v>811</v>
      </c>
    </row>
    <row r="1256" spans="1:3" ht="17.649999999999999" x14ac:dyDescent="0.5">
      <c r="A1256" s="19"/>
      <c r="B1256" s="2">
        <v>453998</v>
      </c>
      <c r="C1256" s="23" t="s">
        <v>812</v>
      </c>
    </row>
    <row r="1257" spans="1:3" ht="17.649999999999999" x14ac:dyDescent="0.5">
      <c r="A1257" s="19"/>
      <c r="B1257" s="5">
        <v>454</v>
      </c>
      <c r="C1257" s="5" t="s">
        <v>332</v>
      </c>
    </row>
    <row r="1258" spans="1:3" ht="17.649999999999999" x14ac:dyDescent="0.5">
      <c r="A1258" s="19"/>
      <c r="B1258" s="6">
        <v>4541</v>
      </c>
      <c r="C1258" s="6" t="s">
        <v>333</v>
      </c>
    </row>
    <row r="1259" spans="1:3" ht="17.649999999999999" x14ac:dyDescent="0.5">
      <c r="A1259" s="19"/>
      <c r="B1259" s="2">
        <v>45411</v>
      </c>
      <c r="C1259" s="2" t="s">
        <v>333</v>
      </c>
    </row>
    <row r="1260" spans="1:3" ht="17.649999999999999" x14ac:dyDescent="0.5">
      <c r="A1260" s="19"/>
      <c r="B1260" s="2">
        <v>454111</v>
      </c>
      <c r="C1260" s="2" t="s">
        <v>334</v>
      </c>
    </row>
    <row r="1261" spans="1:3" ht="17.649999999999999" x14ac:dyDescent="0.5">
      <c r="A1261" s="19"/>
      <c r="B1261" s="2">
        <v>454112</v>
      </c>
      <c r="C1261" s="2" t="s">
        <v>335</v>
      </c>
    </row>
    <row r="1262" spans="1:3" ht="17.649999999999999" x14ac:dyDescent="0.5">
      <c r="A1262" s="19"/>
      <c r="B1262" s="2">
        <v>454113</v>
      </c>
      <c r="C1262" s="2" t="s">
        <v>336</v>
      </c>
    </row>
    <row r="1263" spans="1:3" ht="17.649999999999999" x14ac:dyDescent="0.5">
      <c r="A1263" s="19"/>
      <c r="B1263" s="6">
        <v>4542</v>
      </c>
      <c r="C1263" s="6" t="s">
        <v>337</v>
      </c>
    </row>
    <row r="1264" spans="1:3" ht="17.649999999999999" x14ac:dyDescent="0.5">
      <c r="A1264" s="19"/>
      <c r="B1264" s="2">
        <v>45421</v>
      </c>
      <c r="C1264" s="2" t="s">
        <v>337</v>
      </c>
    </row>
    <row r="1265" spans="1:3" ht="17.649999999999999" x14ac:dyDescent="0.5">
      <c r="A1265" s="19"/>
      <c r="B1265" s="2">
        <v>454210</v>
      </c>
      <c r="C1265" s="2" t="s">
        <v>337</v>
      </c>
    </row>
    <row r="1266" spans="1:3" ht="17.649999999999999" x14ac:dyDescent="0.5">
      <c r="A1266" s="19"/>
      <c r="B1266" s="6">
        <v>4543</v>
      </c>
      <c r="C1266" s="6" t="s">
        <v>338</v>
      </c>
    </row>
    <row r="1267" spans="1:3" ht="17.649999999999999" x14ac:dyDescent="0.5">
      <c r="A1267" s="19"/>
      <c r="B1267" s="2">
        <v>45431</v>
      </c>
      <c r="C1267" s="2" t="s">
        <v>339</v>
      </c>
    </row>
    <row r="1268" spans="1:3" ht="17.649999999999999" x14ac:dyDescent="0.5">
      <c r="A1268" s="19" t="s">
        <v>139</v>
      </c>
      <c r="B1268" s="2">
        <v>454310</v>
      </c>
      <c r="C1268" s="2" t="s">
        <v>339</v>
      </c>
    </row>
    <row r="1269" spans="1:3" ht="17.649999999999999" x14ac:dyDescent="0.5">
      <c r="A1269" s="19"/>
      <c r="B1269" s="2">
        <v>45439</v>
      </c>
      <c r="C1269" s="2" t="s">
        <v>340</v>
      </c>
    </row>
    <row r="1270" spans="1:3" ht="17.649999999999999" x14ac:dyDescent="0.5">
      <c r="A1270" s="19"/>
      <c r="B1270" s="2">
        <v>454390</v>
      </c>
      <c r="C1270" s="2" t="s">
        <v>340</v>
      </c>
    </row>
    <row r="1271" spans="1:3" ht="17.649999999999999" x14ac:dyDescent="0.5">
      <c r="A1271" s="19"/>
      <c r="B1271" s="2"/>
      <c r="C1271" s="2"/>
    </row>
    <row r="1272" spans="1:3" ht="20.25" x14ac:dyDescent="0.35">
      <c r="A1272" s="11"/>
      <c r="B1272" s="14" t="s">
        <v>147</v>
      </c>
      <c r="C1272" s="14" t="s">
        <v>1575</v>
      </c>
    </row>
    <row r="1273" spans="1:3" ht="17.649999999999999" x14ac:dyDescent="0.5">
      <c r="A1273" s="19"/>
      <c r="B1273" s="5">
        <v>481</v>
      </c>
      <c r="C1273" s="5" t="s">
        <v>1576</v>
      </c>
    </row>
    <row r="1274" spans="1:3" ht="17.649999999999999" x14ac:dyDescent="0.5">
      <c r="A1274" s="19"/>
      <c r="B1274" s="6">
        <v>4811</v>
      </c>
      <c r="C1274" s="6" t="s">
        <v>1577</v>
      </c>
    </row>
    <row r="1275" spans="1:3" ht="17.649999999999999" x14ac:dyDescent="0.5">
      <c r="A1275" s="19"/>
      <c r="B1275" s="2">
        <v>48111</v>
      </c>
      <c r="C1275" s="23" t="s">
        <v>1196</v>
      </c>
    </row>
    <row r="1276" spans="1:3" ht="17.649999999999999" x14ac:dyDescent="0.5">
      <c r="A1276" s="19"/>
      <c r="B1276" s="2">
        <v>481111</v>
      </c>
      <c r="C1276" s="2" t="s">
        <v>813</v>
      </c>
    </row>
    <row r="1277" spans="1:3" ht="17.649999999999999" x14ac:dyDescent="0.5">
      <c r="A1277" s="19"/>
      <c r="B1277" s="2">
        <v>481112</v>
      </c>
      <c r="C1277" s="2" t="s">
        <v>814</v>
      </c>
    </row>
    <row r="1278" spans="1:3" ht="17.649999999999999" x14ac:dyDescent="0.5">
      <c r="A1278" s="19"/>
      <c r="B1278" s="6">
        <v>4812</v>
      </c>
      <c r="C1278" s="6" t="s">
        <v>1578</v>
      </c>
    </row>
    <row r="1279" spans="1:3" ht="17.649999999999999" x14ac:dyDescent="0.5">
      <c r="A1279" s="19"/>
      <c r="B1279" s="2">
        <v>48121</v>
      </c>
      <c r="C1279" s="23" t="s">
        <v>1197</v>
      </c>
    </row>
    <row r="1280" spans="1:3" ht="17.649999999999999" x14ac:dyDescent="0.5">
      <c r="A1280" s="19"/>
      <c r="B1280" s="2">
        <v>481211</v>
      </c>
      <c r="C1280" s="2" t="s">
        <v>815</v>
      </c>
    </row>
    <row r="1281" spans="1:3" ht="17.649999999999999" x14ac:dyDescent="0.5">
      <c r="A1281" s="19"/>
      <c r="B1281" s="2">
        <v>481212</v>
      </c>
      <c r="C1281" s="2" t="s">
        <v>816</v>
      </c>
    </row>
    <row r="1282" spans="1:3" ht="17.649999999999999" x14ac:dyDescent="0.5">
      <c r="A1282" s="19"/>
      <c r="B1282" s="2">
        <v>481219</v>
      </c>
      <c r="C1282" s="2" t="s">
        <v>817</v>
      </c>
    </row>
    <row r="1283" spans="1:3" ht="17.649999999999999" x14ac:dyDescent="0.5">
      <c r="A1283" s="19"/>
      <c r="B1283" s="5">
        <v>482</v>
      </c>
      <c r="C1283" s="5" t="s">
        <v>1579</v>
      </c>
    </row>
    <row r="1284" spans="1:3" ht="17.649999999999999" x14ac:dyDescent="0.5">
      <c r="A1284" s="19"/>
      <c r="B1284" s="6">
        <v>4821</v>
      </c>
      <c r="C1284" s="6" t="s">
        <v>1580</v>
      </c>
    </row>
    <row r="1285" spans="1:3" ht="17.649999999999999" x14ac:dyDescent="0.5">
      <c r="A1285" s="19"/>
      <c r="B1285" s="2">
        <v>48211</v>
      </c>
      <c r="C1285" s="23" t="s">
        <v>1198</v>
      </c>
    </row>
    <row r="1286" spans="1:3" ht="17.649999999999999" x14ac:dyDescent="0.5">
      <c r="A1286" s="19"/>
      <c r="B1286" s="2">
        <v>482111</v>
      </c>
      <c r="C1286" s="2" t="s">
        <v>818</v>
      </c>
    </row>
    <row r="1287" spans="1:3" ht="17.649999999999999" x14ac:dyDescent="0.5">
      <c r="A1287" s="19"/>
      <c r="B1287" s="2">
        <v>482112</v>
      </c>
      <c r="C1287" s="2" t="s">
        <v>341</v>
      </c>
    </row>
    <row r="1288" spans="1:3" ht="17.649999999999999" x14ac:dyDescent="0.5">
      <c r="A1288" s="19"/>
      <c r="B1288" s="5">
        <v>483</v>
      </c>
      <c r="C1288" s="5" t="s">
        <v>1581</v>
      </c>
    </row>
    <row r="1289" spans="1:3" ht="17.649999999999999" x14ac:dyDescent="0.5">
      <c r="A1289" s="19"/>
      <c r="B1289" s="6">
        <v>4831</v>
      </c>
      <c r="C1289" s="6" t="s">
        <v>1582</v>
      </c>
    </row>
    <row r="1290" spans="1:3" ht="17.649999999999999" x14ac:dyDescent="0.5">
      <c r="A1290" s="19"/>
      <c r="B1290" s="2">
        <v>48311</v>
      </c>
      <c r="C1290" s="23" t="s">
        <v>1199</v>
      </c>
    </row>
    <row r="1291" spans="1:3" ht="17.649999999999999" x14ac:dyDescent="0.5">
      <c r="A1291" s="19"/>
      <c r="B1291" s="2">
        <v>483111</v>
      </c>
      <c r="C1291" s="2" t="s">
        <v>819</v>
      </c>
    </row>
    <row r="1292" spans="1:3" ht="17.649999999999999" x14ac:dyDescent="0.5">
      <c r="A1292" s="19"/>
      <c r="B1292" s="2">
        <v>483112</v>
      </c>
      <c r="C1292" s="2" t="s">
        <v>820</v>
      </c>
    </row>
    <row r="1293" spans="1:3" ht="17.649999999999999" x14ac:dyDescent="0.5">
      <c r="A1293" s="19"/>
      <c r="B1293" s="2">
        <v>483113</v>
      </c>
      <c r="C1293" s="2" t="s">
        <v>821</v>
      </c>
    </row>
    <row r="1294" spans="1:3" ht="17.649999999999999" x14ac:dyDescent="0.5">
      <c r="A1294" s="19"/>
      <c r="B1294" s="2">
        <v>483114</v>
      </c>
      <c r="C1294" s="2" t="s">
        <v>822</v>
      </c>
    </row>
    <row r="1295" spans="1:3" ht="17.649999999999999" x14ac:dyDescent="0.5">
      <c r="A1295" s="19"/>
      <c r="B1295" s="6">
        <v>4832</v>
      </c>
      <c r="C1295" s="6" t="s">
        <v>1583</v>
      </c>
    </row>
    <row r="1296" spans="1:3" ht="17.649999999999999" x14ac:dyDescent="0.5">
      <c r="A1296" s="19"/>
      <c r="B1296" s="2">
        <v>48321</v>
      </c>
      <c r="C1296" s="23" t="s">
        <v>1200</v>
      </c>
    </row>
    <row r="1297" spans="1:3" ht="17.649999999999999" x14ac:dyDescent="0.5">
      <c r="A1297" s="19"/>
      <c r="B1297" s="2">
        <v>483211</v>
      </c>
      <c r="C1297" s="2" t="s">
        <v>823</v>
      </c>
    </row>
    <row r="1298" spans="1:3" ht="17.649999999999999" x14ac:dyDescent="0.5">
      <c r="A1298" s="19"/>
      <c r="B1298" s="2">
        <v>483212</v>
      </c>
      <c r="C1298" s="2" t="s">
        <v>824</v>
      </c>
    </row>
    <row r="1299" spans="1:3" ht="17.649999999999999" x14ac:dyDescent="0.5">
      <c r="A1299" s="19"/>
      <c r="B1299" s="5">
        <v>484</v>
      </c>
      <c r="C1299" s="5" t="s">
        <v>1584</v>
      </c>
    </row>
    <row r="1300" spans="1:3" ht="17.649999999999999" x14ac:dyDescent="0.5">
      <c r="A1300" s="19"/>
      <c r="B1300" s="6">
        <v>4841</v>
      </c>
      <c r="C1300" s="6" t="s">
        <v>1585</v>
      </c>
    </row>
    <row r="1301" spans="1:3" ht="17.649999999999999" x14ac:dyDescent="0.5">
      <c r="A1301" s="19"/>
      <c r="B1301" s="2">
        <v>48411</v>
      </c>
      <c r="C1301" s="23" t="s">
        <v>1201</v>
      </c>
    </row>
    <row r="1302" spans="1:3" ht="17.649999999999999" x14ac:dyDescent="0.5">
      <c r="A1302" s="19"/>
      <c r="B1302" s="2">
        <v>484110</v>
      </c>
      <c r="C1302" s="2" t="s">
        <v>67</v>
      </c>
    </row>
    <row r="1303" spans="1:3" ht="17.649999999999999" x14ac:dyDescent="0.5">
      <c r="A1303" s="19"/>
      <c r="B1303" s="2">
        <v>48412</v>
      </c>
      <c r="C1303" s="23" t="s">
        <v>1202</v>
      </c>
    </row>
    <row r="1304" spans="1:3" ht="17.649999999999999" x14ac:dyDescent="0.5">
      <c r="A1304" s="19"/>
      <c r="B1304" s="2">
        <v>484121</v>
      </c>
      <c r="C1304" s="2" t="s">
        <v>342</v>
      </c>
    </row>
    <row r="1305" spans="1:3" ht="17.649999999999999" x14ac:dyDescent="0.5">
      <c r="A1305" s="19"/>
      <c r="B1305" s="2">
        <v>484122</v>
      </c>
      <c r="C1305" s="2" t="s">
        <v>343</v>
      </c>
    </row>
    <row r="1306" spans="1:3" ht="17.649999999999999" x14ac:dyDescent="0.5">
      <c r="A1306" s="19"/>
      <c r="B1306" s="6">
        <v>4842</v>
      </c>
      <c r="C1306" s="6" t="s">
        <v>1586</v>
      </c>
    </row>
    <row r="1307" spans="1:3" ht="17.649999999999999" x14ac:dyDescent="0.5">
      <c r="A1307" s="19"/>
      <c r="B1307" s="2">
        <v>48421</v>
      </c>
      <c r="C1307" s="23" t="s">
        <v>1203</v>
      </c>
    </row>
    <row r="1308" spans="1:3" ht="17.649999999999999" x14ac:dyDescent="0.5">
      <c r="A1308" s="19"/>
      <c r="B1308" s="2">
        <v>484210</v>
      </c>
      <c r="C1308" s="23" t="s">
        <v>1858</v>
      </c>
    </row>
    <row r="1309" spans="1:3" ht="17.649999999999999" x14ac:dyDescent="0.5">
      <c r="A1309" s="19"/>
      <c r="B1309" s="2">
        <v>48422</v>
      </c>
      <c r="C1309" s="23" t="s">
        <v>1204</v>
      </c>
    </row>
    <row r="1310" spans="1:3" ht="17.649999999999999" x14ac:dyDescent="0.5">
      <c r="A1310" s="19"/>
      <c r="B1310" s="2">
        <v>484220</v>
      </c>
      <c r="C1310" s="23" t="s">
        <v>68</v>
      </c>
    </row>
    <row r="1311" spans="1:3" ht="17.649999999999999" x14ac:dyDescent="0.5">
      <c r="A1311" s="19"/>
      <c r="B1311" s="2">
        <v>48423</v>
      </c>
      <c r="C1311" s="23" t="s">
        <v>1205</v>
      </c>
    </row>
    <row r="1312" spans="1:3" ht="17.649999999999999" x14ac:dyDescent="0.5">
      <c r="A1312" s="19"/>
      <c r="B1312" s="2">
        <v>484230</v>
      </c>
      <c r="C1312" s="23" t="s">
        <v>69</v>
      </c>
    </row>
    <row r="1313" spans="1:3" ht="17.649999999999999" x14ac:dyDescent="0.5">
      <c r="A1313" s="19"/>
      <c r="B1313" s="5">
        <v>485</v>
      </c>
      <c r="C1313" s="5" t="s">
        <v>1587</v>
      </c>
    </row>
    <row r="1314" spans="1:3" ht="17.649999999999999" x14ac:dyDescent="0.5">
      <c r="A1314" s="19"/>
      <c r="B1314" s="6">
        <v>4851</v>
      </c>
      <c r="C1314" s="6" t="s">
        <v>1588</v>
      </c>
    </row>
    <row r="1315" spans="1:3" ht="17.649999999999999" x14ac:dyDescent="0.5">
      <c r="A1315" s="19"/>
      <c r="B1315" s="2">
        <v>48511</v>
      </c>
      <c r="C1315" s="23" t="s">
        <v>1206</v>
      </c>
    </row>
    <row r="1316" spans="1:3" ht="17.649999999999999" x14ac:dyDescent="0.5">
      <c r="A1316" s="19"/>
      <c r="B1316" s="2">
        <v>485111</v>
      </c>
      <c r="C1316" s="2" t="s">
        <v>825</v>
      </c>
    </row>
    <row r="1317" spans="1:3" ht="17.649999999999999" x14ac:dyDescent="0.5">
      <c r="A1317" s="19"/>
      <c r="B1317" s="2">
        <v>485112</v>
      </c>
      <c r="C1317" s="2" t="s">
        <v>826</v>
      </c>
    </row>
    <row r="1318" spans="1:3" ht="17.649999999999999" x14ac:dyDescent="0.5">
      <c r="A1318" s="19"/>
      <c r="B1318" s="2">
        <v>485113</v>
      </c>
      <c r="C1318" s="23" t="s">
        <v>827</v>
      </c>
    </row>
    <row r="1319" spans="1:3" ht="17.649999999999999" x14ac:dyDescent="0.5">
      <c r="A1319" s="19"/>
      <c r="B1319" s="2">
        <v>485119</v>
      </c>
      <c r="C1319" s="23" t="s">
        <v>828</v>
      </c>
    </row>
    <row r="1320" spans="1:3" ht="17.649999999999999" x14ac:dyDescent="0.5">
      <c r="A1320" s="19"/>
      <c r="B1320" s="6">
        <v>4852</v>
      </c>
      <c r="C1320" s="6" t="s">
        <v>1589</v>
      </c>
    </row>
    <row r="1321" spans="1:3" ht="17.649999999999999" x14ac:dyDescent="0.5">
      <c r="A1321" s="19"/>
      <c r="B1321" s="2">
        <v>48521</v>
      </c>
      <c r="C1321" s="23" t="s">
        <v>1207</v>
      </c>
    </row>
    <row r="1322" spans="1:3" ht="17.649999999999999" x14ac:dyDescent="0.5">
      <c r="A1322" s="19"/>
      <c r="B1322" s="2">
        <v>485210</v>
      </c>
      <c r="C1322" s="23" t="s">
        <v>1859</v>
      </c>
    </row>
    <row r="1323" spans="1:3" ht="17.649999999999999" x14ac:dyDescent="0.5">
      <c r="A1323" s="19"/>
      <c r="B1323" s="6">
        <v>4853</v>
      </c>
      <c r="C1323" s="6" t="s">
        <v>1590</v>
      </c>
    </row>
    <row r="1324" spans="1:3" ht="17.649999999999999" x14ac:dyDescent="0.5">
      <c r="A1324" s="19"/>
      <c r="B1324" s="2">
        <v>48531</v>
      </c>
      <c r="C1324" s="23" t="s">
        <v>1208</v>
      </c>
    </row>
    <row r="1325" spans="1:3" ht="17.649999999999999" x14ac:dyDescent="0.5">
      <c r="A1325" s="19"/>
      <c r="B1325" s="2">
        <v>485310</v>
      </c>
      <c r="C1325" s="2" t="s">
        <v>70</v>
      </c>
    </row>
    <row r="1326" spans="1:3" ht="17.649999999999999" x14ac:dyDescent="0.5">
      <c r="A1326" s="19"/>
      <c r="B1326" s="2">
        <v>48532</v>
      </c>
      <c r="C1326" s="23" t="s">
        <v>1209</v>
      </c>
    </row>
    <row r="1327" spans="1:3" ht="17.649999999999999" x14ac:dyDescent="0.5">
      <c r="A1327" s="19"/>
      <c r="B1327" s="2">
        <v>485320</v>
      </c>
      <c r="C1327" s="23" t="s">
        <v>1860</v>
      </c>
    </row>
    <row r="1328" spans="1:3" ht="17.649999999999999" x14ac:dyDescent="0.5">
      <c r="A1328" s="19"/>
      <c r="B1328" s="6">
        <v>4854</v>
      </c>
      <c r="C1328" s="6" t="s">
        <v>1591</v>
      </c>
    </row>
    <row r="1329" spans="1:3" ht="17.649999999999999" x14ac:dyDescent="0.5">
      <c r="A1329" s="19"/>
      <c r="B1329" s="2">
        <v>48541</v>
      </c>
      <c r="C1329" s="23" t="s">
        <v>1592</v>
      </c>
    </row>
    <row r="1330" spans="1:3" ht="17.649999999999999" x14ac:dyDescent="0.5">
      <c r="A1330" s="19"/>
      <c r="B1330" s="2">
        <v>485410</v>
      </c>
      <c r="C1330" s="23" t="s">
        <v>1861</v>
      </c>
    </row>
    <row r="1331" spans="1:3" ht="17.649999999999999" x14ac:dyDescent="0.5">
      <c r="A1331" s="19"/>
      <c r="B1331" s="6">
        <v>4855</v>
      </c>
      <c r="C1331" s="6" t="s">
        <v>1593</v>
      </c>
    </row>
    <row r="1332" spans="1:3" ht="17.649999999999999" x14ac:dyDescent="0.5">
      <c r="A1332" s="19"/>
      <c r="B1332" s="2">
        <v>48551</v>
      </c>
      <c r="C1332" s="23" t="s">
        <v>1210</v>
      </c>
    </row>
    <row r="1333" spans="1:3" ht="17.649999999999999" x14ac:dyDescent="0.5">
      <c r="A1333" s="19"/>
      <c r="B1333" s="2">
        <v>485510</v>
      </c>
      <c r="C1333" s="23" t="s">
        <v>1862</v>
      </c>
    </row>
    <row r="1334" spans="1:3" ht="17.649999999999999" x14ac:dyDescent="0.5">
      <c r="A1334" s="19"/>
      <c r="B1334" s="6">
        <v>4859</v>
      </c>
      <c r="C1334" s="6" t="s">
        <v>1594</v>
      </c>
    </row>
    <row r="1335" spans="1:3" ht="17.649999999999999" x14ac:dyDescent="0.5">
      <c r="A1335" s="19"/>
      <c r="B1335" s="2">
        <v>48599</v>
      </c>
      <c r="C1335" s="23" t="s">
        <v>1211</v>
      </c>
    </row>
    <row r="1336" spans="1:3" ht="17.649999999999999" x14ac:dyDescent="0.5">
      <c r="A1336" s="19"/>
      <c r="B1336" s="2">
        <v>485991</v>
      </c>
      <c r="C1336" s="2" t="s">
        <v>829</v>
      </c>
    </row>
    <row r="1337" spans="1:3" ht="17.649999999999999" x14ac:dyDescent="0.5">
      <c r="A1337" s="19"/>
      <c r="B1337" s="2">
        <v>485999</v>
      </c>
      <c r="C1337" s="2" t="s">
        <v>830</v>
      </c>
    </row>
    <row r="1338" spans="1:3" ht="17.649999999999999" x14ac:dyDescent="0.5">
      <c r="A1338" s="19"/>
      <c r="B1338" s="5">
        <v>486</v>
      </c>
      <c r="C1338" s="5" t="s">
        <v>1595</v>
      </c>
    </row>
    <row r="1339" spans="1:3" ht="17.649999999999999" x14ac:dyDescent="0.5">
      <c r="A1339" s="19"/>
      <c r="B1339" s="6">
        <v>4861</v>
      </c>
      <c r="C1339" s="6" t="s">
        <v>1596</v>
      </c>
    </row>
    <row r="1340" spans="1:3" ht="17.649999999999999" x14ac:dyDescent="0.5">
      <c r="A1340" s="19"/>
      <c r="B1340" s="2">
        <v>48611</v>
      </c>
      <c r="C1340" s="23" t="s">
        <v>1212</v>
      </c>
    </row>
    <row r="1341" spans="1:3" ht="17.649999999999999" x14ac:dyDescent="0.5">
      <c r="A1341" s="19"/>
      <c r="B1341" s="2">
        <v>486110</v>
      </c>
      <c r="C1341" s="23" t="s">
        <v>1863</v>
      </c>
    </row>
    <row r="1342" spans="1:3" ht="17.649999999999999" x14ac:dyDescent="0.5">
      <c r="A1342" s="19"/>
      <c r="B1342" s="6">
        <v>4862</v>
      </c>
      <c r="C1342" s="6" t="s">
        <v>1597</v>
      </c>
    </row>
    <row r="1343" spans="1:3" ht="17.649999999999999" x14ac:dyDescent="0.5">
      <c r="A1343" s="19"/>
      <c r="B1343" s="2">
        <v>48621</v>
      </c>
      <c r="C1343" s="23" t="s">
        <v>1213</v>
      </c>
    </row>
    <row r="1344" spans="1:3" ht="17.649999999999999" x14ac:dyDescent="0.5">
      <c r="A1344" s="19"/>
      <c r="B1344" s="2">
        <v>486210</v>
      </c>
      <c r="C1344" s="23" t="s">
        <v>1864</v>
      </c>
    </row>
    <row r="1345" spans="1:3" ht="17.649999999999999" x14ac:dyDescent="0.5">
      <c r="A1345" s="19"/>
      <c r="B1345" s="6">
        <v>4869</v>
      </c>
      <c r="C1345" s="6" t="s">
        <v>1598</v>
      </c>
    </row>
    <row r="1346" spans="1:3" ht="17.649999999999999" x14ac:dyDescent="0.5">
      <c r="A1346" s="19"/>
      <c r="B1346" s="2">
        <v>48691</v>
      </c>
      <c r="C1346" s="23" t="s">
        <v>1214</v>
      </c>
    </row>
    <row r="1347" spans="1:3" ht="17.649999999999999" x14ac:dyDescent="0.5">
      <c r="A1347" s="19"/>
      <c r="B1347" s="2">
        <v>486910</v>
      </c>
      <c r="C1347" s="23" t="s">
        <v>1865</v>
      </c>
    </row>
    <row r="1348" spans="1:3" ht="17.649999999999999" x14ac:dyDescent="0.5">
      <c r="A1348" s="19"/>
      <c r="B1348" s="2">
        <v>48699</v>
      </c>
      <c r="C1348" s="23" t="s">
        <v>1215</v>
      </c>
    </row>
    <row r="1349" spans="1:3" ht="17.649999999999999" x14ac:dyDescent="0.5">
      <c r="A1349" s="19"/>
      <c r="B1349" s="2">
        <v>486990</v>
      </c>
      <c r="C1349" s="23" t="s">
        <v>1866</v>
      </c>
    </row>
    <row r="1350" spans="1:3" ht="17.649999999999999" x14ac:dyDescent="0.5">
      <c r="A1350" s="19"/>
      <c r="B1350" s="5">
        <v>487</v>
      </c>
      <c r="C1350" s="5" t="s">
        <v>1599</v>
      </c>
    </row>
    <row r="1351" spans="1:3" ht="17.649999999999999" x14ac:dyDescent="0.5">
      <c r="A1351" s="19"/>
      <c r="B1351" s="6">
        <v>4871</v>
      </c>
      <c r="C1351" s="6" t="s">
        <v>1600</v>
      </c>
    </row>
    <row r="1352" spans="1:3" ht="17.649999999999999" x14ac:dyDescent="0.5">
      <c r="A1352" s="19"/>
      <c r="B1352" s="2">
        <v>48711</v>
      </c>
      <c r="C1352" s="23" t="s">
        <v>1216</v>
      </c>
    </row>
    <row r="1353" spans="1:3" ht="17.649999999999999" x14ac:dyDescent="0.5">
      <c r="A1353" s="19"/>
      <c r="B1353" s="2">
        <v>487110</v>
      </c>
      <c r="C1353" s="23" t="s">
        <v>1867</v>
      </c>
    </row>
    <row r="1354" spans="1:3" ht="17.649999999999999" x14ac:dyDescent="0.5">
      <c r="A1354" s="19"/>
      <c r="B1354" s="6">
        <v>4872</v>
      </c>
      <c r="C1354" s="6" t="s">
        <v>1601</v>
      </c>
    </row>
    <row r="1355" spans="1:3" ht="17.649999999999999" x14ac:dyDescent="0.5">
      <c r="A1355" s="19"/>
      <c r="B1355" s="2">
        <v>48721</v>
      </c>
      <c r="C1355" s="23" t="s">
        <v>1217</v>
      </c>
    </row>
    <row r="1356" spans="1:3" ht="17.649999999999999" x14ac:dyDescent="0.5">
      <c r="A1356" s="19"/>
      <c r="B1356" s="2">
        <v>487210</v>
      </c>
      <c r="C1356" s="23" t="s">
        <v>1868</v>
      </c>
    </row>
    <row r="1357" spans="1:3" ht="17.649999999999999" x14ac:dyDescent="0.5">
      <c r="A1357" s="19"/>
      <c r="B1357" s="6">
        <v>4879</v>
      </c>
      <c r="C1357" s="6" t="s">
        <v>1602</v>
      </c>
    </row>
    <row r="1358" spans="1:3" ht="17.649999999999999" x14ac:dyDescent="0.5">
      <c r="A1358" s="19"/>
      <c r="B1358" s="2">
        <v>48799</v>
      </c>
      <c r="C1358" s="23" t="s">
        <v>1218</v>
      </c>
    </row>
    <row r="1359" spans="1:3" ht="17.649999999999999" x14ac:dyDescent="0.5">
      <c r="A1359" s="19"/>
      <c r="B1359" s="2">
        <v>487990</v>
      </c>
      <c r="C1359" s="23" t="s">
        <v>1869</v>
      </c>
    </row>
    <row r="1360" spans="1:3" ht="17.649999999999999" x14ac:dyDescent="0.5">
      <c r="A1360" s="19"/>
      <c r="B1360" s="5">
        <v>488</v>
      </c>
      <c r="C1360" s="5" t="s">
        <v>1603</v>
      </c>
    </row>
    <row r="1361" spans="1:3" ht="17.649999999999999" x14ac:dyDescent="0.5">
      <c r="A1361" s="19"/>
      <c r="B1361" s="6">
        <v>4881</v>
      </c>
      <c r="C1361" s="6" t="s">
        <v>1604</v>
      </c>
    </row>
    <row r="1362" spans="1:3" ht="17.649999999999999" x14ac:dyDescent="0.5">
      <c r="A1362" s="19"/>
      <c r="B1362" s="2">
        <v>48811</v>
      </c>
      <c r="C1362" s="23" t="s">
        <v>1219</v>
      </c>
    </row>
    <row r="1363" spans="1:3" ht="17.649999999999999" x14ac:dyDescent="0.5">
      <c r="A1363" s="19"/>
      <c r="B1363" s="2">
        <v>488111</v>
      </c>
      <c r="C1363" s="23" t="s">
        <v>1870</v>
      </c>
    </row>
    <row r="1364" spans="1:3" ht="17.649999999999999" x14ac:dyDescent="0.5">
      <c r="A1364" s="19"/>
      <c r="B1364" s="2">
        <v>488119</v>
      </c>
      <c r="C1364" s="23" t="s">
        <v>344</v>
      </c>
    </row>
    <row r="1365" spans="1:3" ht="17.649999999999999" x14ac:dyDescent="0.5">
      <c r="A1365" s="19"/>
      <c r="B1365" s="2">
        <v>48819</v>
      </c>
      <c r="C1365" s="23" t="s">
        <v>1220</v>
      </c>
    </row>
    <row r="1366" spans="1:3" ht="17.649999999999999" x14ac:dyDescent="0.5">
      <c r="A1366" s="19"/>
      <c r="B1366" s="2">
        <v>488190</v>
      </c>
      <c r="C1366" s="23" t="s">
        <v>1871</v>
      </c>
    </row>
    <row r="1367" spans="1:3" ht="17.649999999999999" x14ac:dyDescent="0.5">
      <c r="A1367" s="19"/>
      <c r="B1367" s="6">
        <v>4882</v>
      </c>
      <c r="C1367" s="6" t="s">
        <v>1605</v>
      </c>
    </row>
    <row r="1368" spans="1:3" ht="17.649999999999999" x14ac:dyDescent="0.5">
      <c r="A1368" s="19"/>
      <c r="B1368" s="2">
        <v>48821</v>
      </c>
      <c r="C1368" s="23" t="s">
        <v>1221</v>
      </c>
    </row>
    <row r="1369" spans="1:3" ht="17.649999999999999" x14ac:dyDescent="0.5">
      <c r="A1369" s="19"/>
      <c r="B1369" s="2">
        <v>488210</v>
      </c>
      <c r="C1369" s="23" t="s">
        <v>1872</v>
      </c>
    </row>
    <row r="1370" spans="1:3" ht="17.649999999999999" x14ac:dyDescent="0.5">
      <c r="A1370" s="19"/>
      <c r="B1370" s="6">
        <v>4883</v>
      </c>
      <c r="C1370" s="6" t="s">
        <v>1606</v>
      </c>
    </row>
    <row r="1371" spans="1:3" ht="17.649999999999999" x14ac:dyDescent="0.5">
      <c r="A1371" s="19"/>
      <c r="B1371" s="2">
        <v>48831</v>
      </c>
      <c r="C1371" s="23" t="s">
        <v>1222</v>
      </c>
    </row>
    <row r="1372" spans="1:3" ht="17.649999999999999" x14ac:dyDescent="0.5">
      <c r="A1372" s="19"/>
      <c r="B1372" s="2">
        <v>488310</v>
      </c>
      <c r="C1372" s="23" t="s">
        <v>1873</v>
      </c>
    </row>
    <row r="1373" spans="1:3" ht="17.649999999999999" x14ac:dyDescent="0.5">
      <c r="A1373" s="19"/>
      <c r="B1373" s="2">
        <v>48832</v>
      </c>
      <c r="C1373" s="23" t="s">
        <v>1223</v>
      </c>
    </row>
    <row r="1374" spans="1:3" ht="17.649999999999999" x14ac:dyDescent="0.5">
      <c r="A1374" s="19"/>
      <c r="B1374" s="2">
        <v>488320</v>
      </c>
      <c r="C1374" s="23" t="s">
        <v>1874</v>
      </c>
    </row>
    <row r="1375" spans="1:3" ht="17.649999999999999" x14ac:dyDescent="0.5">
      <c r="A1375" s="19"/>
      <c r="B1375" s="2">
        <v>48833</v>
      </c>
      <c r="C1375" s="23" t="s">
        <v>1224</v>
      </c>
    </row>
    <row r="1376" spans="1:3" ht="17.649999999999999" x14ac:dyDescent="0.5">
      <c r="A1376" s="19"/>
      <c r="B1376" s="2">
        <v>488330</v>
      </c>
      <c r="C1376" s="2" t="s">
        <v>71</v>
      </c>
    </row>
    <row r="1377" spans="1:3" ht="17.649999999999999" x14ac:dyDescent="0.5">
      <c r="A1377" s="19"/>
      <c r="B1377" s="2">
        <v>48839</v>
      </c>
      <c r="C1377" s="23" t="s">
        <v>1225</v>
      </c>
    </row>
    <row r="1378" spans="1:3" ht="17.649999999999999" x14ac:dyDescent="0.5">
      <c r="A1378" s="19"/>
      <c r="B1378" s="2">
        <v>488390</v>
      </c>
      <c r="C1378" s="23" t="s">
        <v>1875</v>
      </c>
    </row>
    <row r="1379" spans="1:3" ht="17.649999999999999" x14ac:dyDescent="0.5">
      <c r="A1379" s="19"/>
      <c r="B1379" s="6">
        <v>4884</v>
      </c>
      <c r="C1379" s="6" t="s">
        <v>1607</v>
      </c>
    </row>
    <row r="1380" spans="1:3" ht="17.649999999999999" x14ac:dyDescent="0.5">
      <c r="A1380" s="19"/>
      <c r="B1380" s="2">
        <v>48841</v>
      </c>
      <c r="C1380" s="23" t="s">
        <v>1226</v>
      </c>
    </row>
    <row r="1381" spans="1:3" ht="17.649999999999999" x14ac:dyDescent="0.5">
      <c r="A1381" s="19"/>
      <c r="B1381" s="2">
        <v>488410</v>
      </c>
      <c r="C1381" s="23" t="s">
        <v>1876</v>
      </c>
    </row>
    <row r="1382" spans="1:3" ht="17.649999999999999" x14ac:dyDescent="0.5">
      <c r="A1382" s="19"/>
      <c r="B1382" s="2">
        <v>48849</v>
      </c>
      <c r="C1382" s="23" t="s">
        <v>1227</v>
      </c>
    </row>
    <row r="1383" spans="1:3" ht="17.649999999999999" x14ac:dyDescent="0.5">
      <c r="A1383" s="19"/>
      <c r="B1383" s="2">
        <v>488490</v>
      </c>
      <c r="C1383" s="2" t="s">
        <v>72</v>
      </c>
    </row>
    <row r="1384" spans="1:3" ht="17.649999999999999" x14ac:dyDescent="0.5">
      <c r="A1384" s="19"/>
      <c r="B1384" s="6">
        <v>4885</v>
      </c>
      <c r="C1384" s="6" t="s">
        <v>1608</v>
      </c>
    </row>
    <row r="1385" spans="1:3" ht="17.649999999999999" x14ac:dyDescent="0.5">
      <c r="A1385" s="19"/>
      <c r="B1385" s="2">
        <v>48851</v>
      </c>
      <c r="C1385" s="23" t="s">
        <v>1228</v>
      </c>
    </row>
    <row r="1386" spans="1:3" ht="17.649999999999999" x14ac:dyDescent="0.5">
      <c r="A1386" s="19"/>
      <c r="B1386" s="2">
        <v>488510</v>
      </c>
      <c r="C1386" s="2" t="s">
        <v>73</v>
      </c>
    </row>
    <row r="1387" spans="1:3" ht="17.649999999999999" x14ac:dyDescent="0.5">
      <c r="A1387" s="19"/>
      <c r="B1387" s="6">
        <v>4889</v>
      </c>
      <c r="C1387" s="6" t="s">
        <v>1609</v>
      </c>
    </row>
    <row r="1388" spans="1:3" ht="17.649999999999999" x14ac:dyDescent="0.5">
      <c r="A1388" s="19"/>
      <c r="B1388" s="2">
        <v>48899</v>
      </c>
      <c r="C1388" s="23" t="s">
        <v>1229</v>
      </c>
    </row>
    <row r="1389" spans="1:3" ht="17.649999999999999" x14ac:dyDescent="0.5">
      <c r="A1389" s="19"/>
      <c r="B1389" s="2">
        <v>488991</v>
      </c>
      <c r="C1389" s="2" t="s">
        <v>831</v>
      </c>
    </row>
    <row r="1390" spans="1:3" ht="17.649999999999999" x14ac:dyDescent="0.5">
      <c r="A1390" s="19"/>
      <c r="B1390" s="2">
        <v>488999</v>
      </c>
      <c r="C1390" s="2" t="s">
        <v>832</v>
      </c>
    </row>
    <row r="1391" spans="1:3" ht="17.649999999999999" x14ac:dyDescent="0.5">
      <c r="A1391" s="19"/>
      <c r="B1391" s="5">
        <v>491</v>
      </c>
      <c r="C1391" s="5" t="s">
        <v>1610</v>
      </c>
    </row>
    <row r="1392" spans="1:3" ht="17.649999999999999" x14ac:dyDescent="0.5">
      <c r="A1392" s="19"/>
      <c r="B1392" s="6">
        <v>4911</v>
      </c>
      <c r="C1392" s="6" t="s">
        <v>1611</v>
      </c>
    </row>
    <row r="1393" spans="1:3" ht="17.649999999999999" x14ac:dyDescent="0.5">
      <c r="A1393" s="19"/>
      <c r="B1393" s="2">
        <v>49111</v>
      </c>
      <c r="C1393" s="23" t="s">
        <v>1230</v>
      </c>
    </row>
    <row r="1394" spans="1:3" ht="17.649999999999999" x14ac:dyDescent="0.5">
      <c r="A1394" s="19"/>
      <c r="B1394" s="2">
        <v>491110</v>
      </c>
      <c r="C1394" s="23" t="s">
        <v>1877</v>
      </c>
    </row>
    <row r="1395" spans="1:3" ht="17.649999999999999" x14ac:dyDescent="0.5">
      <c r="A1395" s="19"/>
      <c r="B1395" s="5">
        <v>492</v>
      </c>
      <c r="C1395" s="5" t="s">
        <v>1612</v>
      </c>
    </row>
    <row r="1396" spans="1:3" ht="17.649999999999999" x14ac:dyDescent="0.5">
      <c r="A1396" s="19"/>
      <c r="B1396" s="6">
        <v>4921</v>
      </c>
      <c r="C1396" s="6" t="s">
        <v>1613</v>
      </c>
    </row>
    <row r="1397" spans="1:3" ht="17.649999999999999" x14ac:dyDescent="0.5">
      <c r="A1397" s="19"/>
      <c r="B1397" s="2">
        <v>49211</v>
      </c>
      <c r="C1397" s="23" t="s">
        <v>1231</v>
      </c>
    </row>
    <row r="1398" spans="1:3" ht="17.649999999999999" x14ac:dyDescent="0.5">
      <c r="A1398" s="19"/>
      <c r="B1398" s="2">
        <v>492110</v>
      </c>
      <c r="C1398" s="23" t="s">
        <v>1878</v>
      </c>
    </row>
    <row r="1399" spans="1:3" ht="17.649999999999999" x14ac:dyDescent="0.5">
      <c r="A1399" s="19"/>
      <c r="B1399" s="6">
        <v>4922</v>
      </c>
      <c r="C1399" s="6" t="s">
        <v>1614</v>
      </c>
    </row>
    <row r="1400" spans="1:3" ht="17.649999999999999" x14ac:dyDescent="0.5">
      <c r="A1400" s="19"/>
      <c r="B1400" s="2">
        <v>49221</v>
      </c>
      <c r="C1400" s="23" t="s">
        <v>1232</v>
      </c>
    </row>
    <row r="1401" spans="1:3" ht="17.649999999999999" x14ac:dyDescent="0.5">
      <c r="A1401" s="19"/>
      <c r="B1401" s="2">
        <v>492210</v>
      </c>
      <c r="C1401" s="23" t="s">
        <v>1879</v>
      </c>
    </row>
    <row r="1402" spans="1:3" ht="17.649999999999999" x14ac:dyDescent="0.5">
      <c r="A1402" s="19"/>
      <c r="B1402" s="5">
        <v>493</v>
      </c>
      <c r="C1402" s="5" t="s">
        <v>1615</v>
      </c>
    </row>
    <row r="1403" spans="1:3" ht="17.649999999999999" x14ac:dyDescent="0.5">
      <c r="A1403" s="19"/>
      <c r="B1403" s="6">
        <v>4931</v>
      </c>
      <c r="C1403" s="6" t="s">
        <v>1616</v>
      </c>
    </row>
    <row r="1404" spans="1:3" ht="17.649999999999999" x14ac:dyDescent="0.5">
      <c r="A1404" s="19"/>
      <c r="B1404" s="2">
        <v>49311</v>
      </c>
      <c r="C1404" s="23" t="s">
        <v>1233</v>
      </c>
    </row>
    <row r="1405" spans="1:3" ht="17.649999999999999" x14ac:dyDescent="0.5">
      <c r="A1405" s="19"/>
      <c r="B1405" s="2">
        <v>493110</v>
      </c>
      <c r="C1405" s="2" t="s">
        <v>74</v>
      </c>
    </row>
    <row r="1406" spans="1:3" ht="17.649999999999999" x14ac:dyDescent="0.5">
      <c r="A1406" s="19"/>
      <c r="B1406" s="2">
        <v>49312</v>
      </c>
      <c r="C1406" s="23" t="s">
        <v>1234</v>
      </c>
    </row>
    <row r="1407" spans="1:3" ht="17.649999999999999" x14ac:dyDescent="0.5">
      <c r="A1407" s="19"/>
      <c r="B1407" s="2">
        <v>493120</v>
      </c>
      <c r="C1407" s="23" t="s">
        <v>1880</v>
      </c>
    </row>
    <row r="1408" spans="1:3" ht="17.649999999999999" x14ac:dyDescent="0.5">
      <c r="A1408" s="19"/>
      <c r="B1408" s="2">
        <v>49313</v>
      </c>
      <c r="C1408" s="23" t="s">
        <v>1235</v>
      </c>
    </row>
    <row r="1409" spans="1:3" ht="17.649999999999999" x14ac:dyDescent="0.5">
      <c r="A1409" s="19"/>
      <c r="B1409" s="2">
        <v>493130</v>
      </c>
      <c r="C1409" s="23" t="s">
        <v>1881</v>
      </c>
    </row>
    <row r="1410" spans="1:3" ht="17.649999999999999" x14ac:dyDescent="0.5">
      <c r="A1410" s="19"/>
      <c r="B1410" s="2">
        <v>49319</v>
      </c>
      <c r="C1410" s="23" t="s">
        <v>1236</v>
      </c>
    </row>
    <row r="1411" spans="1:3" ht="17.649999999999999" x14ac:dyDescent="0.5">
      <c r="A1411" s="19"/>
      <c r="B1411" s="2">
        <v>493190</v>
      </c>
      <c r="C1411" s="23" t="s">
        <v>1882</v>
      </c>
    </row>
    <row r="1412" spans="1:3" ht="17.649999999999999" x14ac:dyDescent="0.5">
      <c r="A1412" s="19"/>
      <c r="B1412" s="2"/>
      <c r="C1412" s="2"/>
    </row>
    <row r="1413" spans="1:3" ht="20.25" x14ac:dyDescent="0.35">
      <c r="A1413" s="11"/>
      <c r="B1413" s="14">
        <v>51</v>
      </c>
      <c r="C1413" s="14" t="s">
        <v>1617</v>
      </c>
    </row>
    <row r="1414" spans="1:3" ht="17.649999999999999" x14ac:dyDescent="0.5">
      <c r="A1414" s="19"/>
      <c r="B1414" s="5">
        <v>511</v>
      </c>
      <c r="C1414" s="5" t="s">
        <v>1618</v>
      </c>
    </row>
    <row r="1415" spans="1:3" ht="17.649999999999999" x14ac:dyDescent="0.5">
      <c r="A1415" s="19"/>
      <c r="B1415" s="6">
        <v>5111</v>
      </c>
      <c r="C1415" s="6" t="s">
        <v>1619</v>
      </c>
    </row>
    <row r="1416" spans="1:3" ht="17.649999999999999" x14ac:dyDescent="0.5">
      <c r="A1416" s="19"/>
      <c r="B1416" s="2">
        <v>51111</v>
      </c>
      <c r="C1416" s="23" t="s">
        <v>1237</v>
      </c>
    </row>
    <row r="1417" spans="1:3" ht="17.649999999999999" x14ac:dyDescent="0.5">
      <c r="A1417" s="19"/>
      <c r="B1417" s="2">
        <v>511110</v>
      </c>
      <c r="C1417" s="2" t="s">
        <v>75</v>
      </c>
    </row>
    <row r="1418" spans="1:3" ht="17.649999999999999" x14ac:dyDescent="0.5">
      <c r="A1418" s="19"/>
      <c r="B1418" s="2">
        <v>51112</v>
      </c>
      <c r="C1418" s="23" t="s">
        <v>1238</v>
      </c>
    </row>
    <row r="1419" spans="1:3" ht="17.649999999999999" x14ac:dyDescent="0.5">
      <c r="A1419" s="19"/>
      <c r="B1419" s="2">
        <v>511120</v>
      </c>
      <c r="C1419" s="2" t="s">
        <v>76</v>
      </c>
    </row>
    <row r="1420" spans="1:3" ht="17.649999999999999" x14ac:dyDescent="0.5">
      <c r="A1420" s="19"/>
      <c r="B1420" s="2">
        <v>51113</v>
      </c>
      <c r="C1420" s="23" t="s">
        <v>1239</v>
      </c>
    </row>
    <row r="1421" spans="1:3" ht="17.649999999999999" x14ac:dyDescent="0.5">
      <c r="A1421" s="19"/>
      <c r="B1421" s="2">
        <v>511130</v>
      </c>
      <c r="C1421" s="23" t="s">
        <v>77</v>
      </c>
    </row>
    <row r="1422" spans="1:3" ht="17.649999999999999" x14ac:dyDescent="0.5">
      <c r="A1422" s="19"/>
      <c r="B1422" s="2">
        <v>51114</v>
      </c>
      <c r="C1422" s="23" t="s">
        <v>1240</v>
      </c>
    </row>
    <row r="1423" spans="1:3" ht="17.649999999999999" x14ac:dyDescent="0.5">
      <c r="A1423" s="19"/>
      <c r="B1423" s="2">
        <v>511140</v>
      </c>
      <c r="C1423" s="2" t="s">
        <v>78</v>
      </c>
    </row>
    <row r="1424" spans="1:3" ht="17.649999999999999" x14ac:dyDescent="0.5">
      <c r="A1424" s="19"/>
      <c r="B1424" s="2">
        <v>51119</v>
      </c>
      <c r="C1424" s="23" t="s">
        <v>1241</v>
      </c>
    </row>
    <row r="1425" spans="1:3" ht="17.649999999999999" x14ac:dyDescent="0.5">
      <c r="A1425" s="19"/>
      <c r="B1425" s="2">
        <v>511191</v>
      </c>
      <c r="C1425" s="2" t="s">
        <v>833</v>
      </c>
    </row>
    <row r="1426" spans="1:3" ht="17.649999999999999" x14ac:dyDescent="0.5">
      <c r="A1426" s="19"/>
      <c r="B1426" s="2">
        <v>511199</v>
      </c>
      <c r="C1426" s="2" t="s">
        <v>834</v>
      </c>
    </row>
    <row r="1427" spans="1:3" ht="17.649999999999999" x14ac:dyDescent="0.5">
      <c r="A1427" s="19"/>
      <c r="B1427" s="6">
        <v>5112</v>
      </c>
      <c r="C1427" s="6" t="s">
        <v>1743</v>
      </c>
    </row>
    <row r="1428" spans="1:3" ht="17.649999999999999" x14ac:dyDescent="0.5">
      <c r="A1428" s="19"/>
      <c r="B1428" s="2">
        <v>51121</v>
      </c>
      <c r="C1428" s="23" t="s">
        <v>1242</v>
      </c>
    </row>
    <row r="1429" spans="1:3" ht="17.649999999999999" x14ac:dyDescent="0.5">
      <c r="A1429" s="19"/>
      <c r="B1429" s="2">
        <v>511210</v>
      </c>
      <c r="C1429" s="23" t="s">
        <v>1883</v>
      </c>
    </row>
    <row r="1430" spans="1:3" ht="17.649999999999999" x14ac:dyDescent="0.5">
      <c r="A1430" s="19"/>
      <c r="B1430" s="5">
        <v>512</v>
      </c>
      <c r="C1430" s="5" t="s">
        <v>1620</v>
      </c>
    </row>
    <row r="1431" spans="1:3" ht="17.649999999999999" x14ac:dyDescent="0.5">
      <c r="A1431" s="19"/>
      <c r="B1431" s="6">
        <v>5121</v>
      </c>
      <c r="C1431" s="6" t="s">
        <v>1621</v>
      </c>
    </row>
    <row r="1432" spans="1:3" ht="17.649999999999999" x14ac:dyDescent="0.5">
      <c r="A1432" s="19"/>
      <c r="B1432" s="2">
        <v>51211</v>
      </c>
      <c r="C1432" s="23" t="s">
        <v>1243</v>
      </c>
    </row>
    <row r="1433" spans="1:3" ht="17.649999999999999" x14ac:dyDescent="0.5">
      <c r="A1433" s="19"/>
      <c r="B1433" s="2">
        <v>512110</v>
      </c>
      <c r="C1433" s="2" t="s">
        <v>79</v>
      </c>
    </row>
    <row r="1434" spans="1:3" ht="17.649999999999999" x14ac:dyDescent="0.5">
      <c r="A1434" s="19"/>
      <c r="B1434" s="2">
        <v>51212</v>
      </c>
      <c r="C1434" s="23" t="s">
        <v>1244</v>
      </c>
    </row>
    <row r="1435" spans="1:3" ht="17.649999999999999" x14ac:dyDescent="0.5">
      <c r="A1435" s="19"/>
      <c r="B1435" s="2">
        <v>512120</v>
      </c>
      <c r="C1435" s="23" t="s">
        <v>1884</v>
      </c>
    </row>
    <row r="1436" spans="1:3" ht="17.649999999999999" x14ac:dyDescent="0.5">
      <c r="A1436" s="19"/>
      <c r="B1436" s="2">
        <v>51213</v>
      </c>
      <c r="C1436" s="23" t="s">
        <v>1245</v>
      </c>
    </row>
    <row r="1437" spans="1:3" s="8" customFormat="1" ht="17.649999999999999" x14ac:dyDescent="0.5">
      <c r="A1437" s="24"/>
      <c r="B1437" s="25">
        <v>512131</v>
      </c>
      <c r="C1437" s="25" t="s">
        <v>835</v>
      </c>
    </row>
    <row r="1438" spans="1:3" ht="17.649999999999999" x14ac:dyDescent="0.5">
      <c r="A1438" s="19"/>
      <c r="B1438" s="2">
        <v>512132</v>
      </c>
      <c r="C1438" s="2" t="s">
        <v>836</v>
      </c>
    </row>
    <row r="1439" spans="1:3" ht="17.649999999999999" x14ac:dyDescent="0.5">
      <c r="A1439" s="19"/>
      <c r="B1439" s="2">
        <v>51219</v>
      </c>
      <c r="C1439" s="23" t="s">
        <v>1246</v>
      </c>
    </row>
    <row r="1440" spans="1:3" ht="17.649999999999999" x14ac:dyDescent="0.5">
      <c r="A1440" s="19"/>
      <c r="B1440" s="2">
        <v>512191</v>
      </c>
      <c r="C1440" s="2" t="s">
        <v>837</v>
      </c>
    </row>
    <row r="1441" spans="1:3" ht="17.649999999999999" x14ac:dyDescent="0.5">
      <c r="A1441" s="19"/>
      <c r="B1441" s="2">
        <v>512199</v>
      </c>
      <c r="C1441" s="23" t="s">
        <v>838</v>
      </c>
    </row>
    <row r="1442" spans="1:3" ht="17.649999999999999" x14ac:dyDescent="0.5">
      <c r="A1442" s="19"/>
      <c r="B1442" s="6">
        <v>5122</v>
      </c>
      <c r="C1442" s="6" t="s">
        <v>1622</v>
      </c>
    </row>
    <row r="1443" spans="1:3" ht="17.649999999999999" x14ac:dyDescent="0.5">
      <c r="A1443" s="19"/>
      <c r="B1443" s="2">
        <v>51221</v>
      </c>
      <c r="C1443" s="23" t="s">
        <v>1247</v>
      </c>
    </row>
    <row r="1444" spans="1:3" ht="17.649999999999999" x14ac:dyDescent="0.5">
      <c r="A1444" s="19"/>
      <c r="B1444" s="2">
        <v>512210</v>
      </c>
      <c r="C1444" s="23" t="s">
        <v>1885</v>
      </c>
    </row>
    <row r="1445" spans="1:3" ht="17.649999999999999" x14ac:dyDescent="0.5">
      <c r="A1445" s="19"/>
      <c r="B1445" s="2">
        <v>51222</v>
      </c>
      <c r="C1445" s="23" t="s">
        <v>1248</v>
      </c>
    </row>
    <row r="1446" spans="1:3" ht="17.649999999999999" x14ac:dyDescent="0.5">
      <c r="A1446" s="19"/>
      <c r="B1446" s="2">
        <v>512220</v>
      </c>
      <c r="C1446" s="23" t="s">
        <v>1886</v>
      </c>
    </row>
    <row r="1447" spans="1:3" ht="17.649999999999999" x14ac:dyDescent="0.5">
      <c r="A1447" s="19"/>
      <c r="B1447" s="2">
        <v>51223</v>
      </c>
      <c r="C1447" s="23" t="s">
        <v>1249</v>
      </c>
    </row>
    <row r="1448" spans="1:3" ht="17.649999999999999" x14ac:dyDescent="0.5">
      <c r="A1448" s="19"/>
      <c r="B1448" s="2">
        <v>512230</v>
      </c>
      <c r="C1448" s="23" t="s">
        <v>1887</v>
      </c>
    </row>
    <row r="1449" spans="1:3" ht="17.649999999999999" x14ac:dyDescent="0.5">
      <c r="A1449" s="19"/>
      <c r="B1449" s="2">
        <v>51224</v>
      </c>
      <c r="C1449" s="23" t="s">
        <v>1250</v>
      </c>
    </row>
    <row r="1450" spans="1:3" ht="17.649999999999999" x14ac:dyDescent="0.5">
      <c r="A1450" s="19"/>
      <c r="B1450" s="2">
        <v>512240</v>
      </c>
      <c r="C1450" s="23" t="s">
        <v>1888</v>
      </c>
    </row>
    <row r="1451" spans="1:3" ht="17.649999999999999" x14ac:dyDescent="0.5">
      <c r="A1451" s="19"/>
      <c r="B1451" s="2">
        <v>51229</v>
      </c>
      <c r="C1451" s="23" t="s">
        <v>1251</v>
      </c>
    </row>
    <row r="1452" spans="1:3" ht="17.649999999999999" x14ac:dyDescent="0.5">
      <c r="A1452" s="19"/>
      <c r="B1452" s="2">
        <v>512290</v>
      </c>
      <c r="C1452" s="23" t="s">
        <v>1889</v>
      </c>
    </row>
    <row r="1453" spans="1:3" ht="17.649999999999999" x14ac:dyDescent="0.5">
      <c r="A1453" s="19"/>
      <c r="B1453" s="5">
        <v>515</v>
      </c>
      <c r="C1453" s="5" t="s">
        <v>1623</v>
      </c>
    </row>
    <row r="1454" spans="1:3" ht="17.649999999999999" x14ac:dyDescent="0.5">
      <c r="A1454" s="19"/>
      <c r="B1454" s="6">
        <v>5151</v>
      </c>
      <c r="C1454" s="6" t="s">
        <v>1624</v>
      </c>
    </row>
    <row r="1455" spans="1:3" ht="17.649999999999999" x14ac:dyDescent="0.5">
      <c r="A1455" s="19"/>
      <c r="B1455" s="2">
        <v>51511</v>
      </c>
      <c r="C1455" s="23" t="s">
        <v>1252</v>
      </c>
    </row>
    <row r="1456" spans="1:3" ht="17.649999999999999" x14ac:dyDescent="0.5">
      <c r="A1456" s="19"/>
      <c r="B1456" s="2">
        <v>515111</v>
      </c>
      <c r="C1456" s="2" t="s">
        <v>839</v>
      </c>
    </row>
    <row r="1457" spans="1:3" ht="17.649999999999999" x14ac:dyDescent="0.5">
      <c r="A1457" s="19"/>
      <c r="B1457" s="2">
        <v>515112</v>
      </c>
      <c r="C1457" s="2" t="s">
        <v>840</v>
      </c>
    </row>
    <row r="1458" spans="1:3" ht="17.649999999999999" x14ac:dyDescent="0.5">
      <c r="A1458" s="19"/>
      <c r="B1458" s="2">
        <v>51512</v>
      </c>
      <c r="C1458" s="23" t="s">
        <v>1253</v>
      </c>
    </row>
    <row r="1459" spans="1:3" ht="17.649999999999999" x14ac:dyDescent="0.5">
      <c r="A1459" s="19"/>
      <c r="B1459" s="2">
        <v>515120</v>
      </c>
      <c r="C1459" s="23" t="s">
        <v>1890</v>
      </c>
    </row>
    <row r="1460" spans="1:3" ht="17.649999999999999" x14ac:dyDescent="0.5">
      <c r="A1460" s="19"/>
      <c r="B1460" s="6">
        <v>5152</v>
      </c>
      <c r="C1460" s="6" t="s">
        <v>1625</v>
      </c>
    </row>
    <row r="1461" spans="1:3" ht="17.649999999999999" x14ac:dyDescent="0.5">
      <c r="A1461" s="19"/>
      <c r="B1461" s="2">
        <v>51521</v>
      </c>
      <c r="C1461" s="23" t="s">
        <v>1254</v>
      </c>
    </row>
    <row r="1462" spans="1:3" ht="17.649999999999999" x14ac:dyDescent="0.5">
      <c r="A1462" s="19"/>
      <c r="B1462" s="2">
        <v>515210</v>
      </c>
      <c r="C1462" s="23" t="s">
        <v>1891</v>
      </c>
    </row>
    <row r="1463" spans="1:3" ht="17.649999999999999" x14ac:dyDescent="0.5">
      <c r="A1463" s="19"/>
      <c r="B1463" s="5">
        <v>517</v>
      </c>
      <c r="C1463" s="5" t="s">
        <v>1626</v>
      </c>
    </row>
    <row r="1464" spans="1:3" ht="17.649999999999999" x14ac:dyDescent="0.5">
      <c r="A1464" s="19"/>
      <c r="B1464" s="6">
        <v>5171</v>
      </c>
      <c r="C1464" s="6" t="s">
        <v>1627</v>
      </c>
    </row>
    <row r="1465" spans="1:3" ht="17.649999999999999" x14ac:dyDescent="0.5">
      <c r="A1465" s="19"/>
      <c r="B1465" s="2">
        <v>51711</v>
      </c>
      <c r="C1465" s="23" t="s">
        <v>1255</v>
      </c>
    </row>
    <row r="1466" spans="1:3" ht="17.649999999999999" x14ac:dyDescent="0.5">
      <c r="A1466" s="19"/>
      <c r="B1466" s="2">
        <v>517110</v>
      </c>
      <c r="C1466" s="2" t="s">
        <v>80</v>
      </c>
    </row>
    <row r="1467" spans="1:3" ht="17.649999999999999" x14ac:dyDescent="0.5">
      <c r="A1467" s="19"/>
      <c r="B1467" s="6">
        <v>5172</v>
      </c>
      <c r="C1467" s="6" t="s">
        <v>1628</v>
      </c>
    </row>
    <row r="1468" spans="1:3" ht="17.649999999999999" x14ac:dyDescent="0.5">
      <c r="A1468" s="19"/>
      <c r="B1468" s="2">
        <v>51721</v>
      </c>
      <c r="C1468" s="23" t="s">
        <v>1256</v>
      </c>
    </row>
    <row r="1469" spans="1:3" ht="17.649999999999999" x14ac:dyDescent="0.5">
      <c r="A1469" s="19"/>
      <c r="B1469" s="2">
        <v>517210</v>
      </c>
      <c r="C1469" s="23" t="s">
        <v>1892</v>
      </c>
    </row>
    <row r="1470" spans="1:3" ht="17.649999999999999" x14ac:dyDescent="0.5">
      <c r="A1470" s="19"/>
      <c r="B1470" s="6">
        <v>5174</v>
      </c>
      <c r="C1470" s="6" t="s">
        <v>1629</v>
      </c>
    </row>
    <row r="1471" spans="1:3" ht="17.649999999999999" x14ac:dyDescent="0.5">
      <c r="A1471" s="19"/>
      <c r="B1471" s="2">
        <v>51741</v>
      </c>
      <c r="C1471" s="23" t="s">
        <v>1257</v>
      </c>
    </row>
    <row r="1472" spans="1:3" ht="17.649999999999999" x14ac:dyDescent="0.5">
      <c r="A1472" s="19"/>
      <c r="B1472" s="2">
        <v>517410</v>
      </c>
      <c r="C1472" s="23" t="s">
        <v>1893</v>
      </c>
    </row>
    <row r="1473" spans="1:3" ht="17.649999999999999" x14ac:dyDescent="0.5">
      <c r="A1473" s="19"/>
      <c r="B1473" s="6">
        <v>5179</v>
      </c>
      <c r="C1473" s="6" t="s">
        <v>1630</v>
      </c>
    </row>
    <row r="1474" spans="1:3" ht="17.649999999999999" x14ac:dyDescent="0.5">
      <c r="A1474" s="19"/>
      <c r="B1474" s="2">
        <v>51791</v>
      </c>
      <c r="C1474" s="23" t="s">
        <v>1258</v>
      </c>
    </row>
    <row r="1475" spans="1:3" ht="17.649999999999999" x14ac:dyDescent="0.5">
      <c r="A1475" s="19"/>
      <c r="B1475" s="2">
        <v>517911</v>
      </c>
      <c r="C1475" s="2" t="s">
        <v>841</v>
      </c>
    </row>
    <row r="1476" spans="1:3" ht="17.649999999999999" x14ac:dyDescent="0.5">
      <c r="A1476" s="19"/>
      <c r="B1476" s="2">
        <v>517919</v>
      </c>
      <c r="C1476" s="2" t="s">
        <v>842</v>
      </c>
    </row>
    <row r="1477" spans="1:3" ht="17.649999999999999" x14ac:dyDescent="0.5">
      <c r="A1477" s="19"/>
      <c r="B1477" s="5">
        <v>518</v>
      </c>
      <c r="C1477" s="5" t="s">
        <v>1631</v>
      </c>
    </row>
    <row r="1478" spans="1:3" ht="17.649999999999999" x14ac:dyDescent="0.5">
      <c r="A1478" s="19"/>
      <c r="B1478" s="6">
        <v>5182</v>
      </c>
      <c r="C1478" s="6" t="s">
        <v>1632</v>
      </c>
    </row>
    <row r="1479" spans="1:3" ht="17.649999999999999" x14ac:dyDescent="0.5">
      <c r="A1479" s="19"/>
      <c r="B1479" s="2">
        <v>51821</v>
      </c>
      <c r="C1479" s="23" t="s">
        <v>1259</v>
      </c>
    </row>
    <row r="1480" spans="1:3" ht="17.649999999999999" x14ac:dyDescent="0.5">
      <c r="A1480" s="19"/>
      <c r="B1480" s="2">
        <v>518210</v>
      </c>
      <c r="C1480" s="23" t="s">
        <v>1894</v>
      </c>
    </row>
    <row r="1481" spans="1:3" ht="17.649999999999999" x14ac:dyDescent="0.5">
      <c r="A1481" s="19"/>
      <c r="B1481" s="5">
        <v>519</v>
      </c>
      <c r="C1481" s="5" t="s">
        <v>1633</v>
      </c>
    </row>
    <row r="1482" spans="1:3" ht="17.649999999999999" x14ac:dyDescent="0.5">
      <c r="A1482" s="19"/>
      <c r="B1482" s="6">
        <v>5191</v>
      </c>
      <c r="C1482" s="6" t="s">
        <v>1634</v>
      </c>
    </row>
    <row r="1483" spans="1:3" ht="17.649999999999999" x14ac:dyDescent="0.5">
      <c r="A1483" s="19"/>
      <c r="B1483" s="2">
        <v>51911</v>
      </c>
      <c r="C1483" s="23" t="s">
        <v>1260</v>
      </c>
    </row>
    <row r="1484" spans="1:3" ht="17.649999999999999" x14ac:dyDescent="0.5">
      <c r="A1484" s="19"/>
      <c r="B1484" s="2">
        <v>519110</v>
      </c>
      <c r="C1484" s="23" t="s">
        <v>1895</v>
      </c>
    </row>
    <row r="1485" spans="1:3" ht="17.649999999999999" x14ac:dyDescent="0.5">
      <c r="A1485" s="19"/>
      <c r="B1485" s="2">
        <v>51912</v>
      </c>
      <c r="C1485" s="23" t="s">
        <v>1261</v>
      </c>
    </row>
    <row r="1486" spans="1:3" ht="17.649999999999999" x14ac:dyDescent="0.5">
      <c r="A1486" s="19"/>
      <c r="B1486" s="2">
        <v>519120</v>
      </c>
      <c r="C1486" s="2" t="s">
        <v>81</v>
      </c>
    </row>
    <row r="1487" spans="1:3" ht="17.649999999999999" x14ac:dyDescent="0.5">
      <c r="A1487" s="19"/>
      <c r="B1487" s="2">
        <v>51913</v>
      </c>
      <c r="C1487" s="23" t="s">
        <v>1262</v>
      </c>
    </row>
    <row r="1488" spans="1:3" ht="17.649999999999999" x14ac:dyDescent="0.5">
      <c r="A1488" s="19"/>
      <c r="B1488" s="2">
        <v>519130</v>
      </c>
      <c r="C1488" s="23" t="s">
        <v>1896</v>
      </c>
    </row>
    <row r="1489" spans="1:3" ht="17.649999999999999" x14ac:dyDescent="0.5">
      <c r="A1489" s="19"/>
      <c r="B1489" s="2">
        <v>51919</v>
      </c>
      <c r="C1489" s="23" t="s">
        <v>1263</v>
      </c>
    </row>
    <row r="1490" spans="1:3" ht="17.649999999999999" x14ac:dyDescent="0.5">
      <c r="A1490" s="19"/>
      <c r="B1490" s="2">
        <v>519190</v>
      </c>
      <c r="C1490" s="23" t="s">
        <v>1897</v>
      </c>
    </row>
    <row r="1491" spans="1:3" ht="17.649999999999999" x14ac:dyDescent="0.5">
      <c r="A1491" s="19"/>
      <c r="B1491" s="2"/>
      <c r="C1491" s="2"/>
    </row>
    <row r="1492" spans="1:3" ht="20.25" x14ac:dyDescent="0.35">
      <c r="A1492" s="11"/>
      <c r="B1492" s="14">
        <v>52</v>
      </c>
      <c r="C1492" s="14" t="s">
        <v>1635</v>
      </c>
    </row>
    <row r="1493" spans="1:3" ht="17.649999999999999" x14ac:dyDescent="0.5">
      <c r="A1493" s="19"/>
      <c r="B1493" s="5">
        <v>521</v>
      </c>
      <c r="C1493" s="5" t="s">
        <v>1636</v>
      </c>
    </row>
    <row r="1494" spans="1:3" ht="17.649999999999999" x14ac:dyDescent="0.5">
      <c r="A1494" s="19"/>
      <c r="B1494" s="6">
        <v>5211</v>
      </c>
      <c r="C1494" s="6" t="s">
        <v>1744</v>
      </c>
    </row>
    <row r="1495" spans="1:3" ht="17.649999999999999" x14ac:dyDescent="0.5">
      <c r="A1495" s="19"/>
      <c r="B1495" s="2">
        <v>52111</v>
      </c>
      <c r="C1495" s="23" t="s">
        <v>1264</v>
      </c>
    </row>
    <row r="1496" spans="1:3" ht="17.649999999999999" x14ac:dyDescent="0.5">
      <c r="A1496" s="19"/>
      <c r="B1496" s="2">
        <v>521110</v>
      </c>
      <c r="C1496" s="23" t="s">
        <v>1898</v>
      </c>
    </row>
    <row r="1497" spans="1:3" ht="17.649999999999999" x14ac:dyDescent="0.5">
      <c r="A1497" s="19"/>
      <c r="B1497" s="5">
        <v>522</v>
      </c>
      <c r="C1497" s="5" t="s">
        <v>1265</v>
      </c>
    </row>
    <row r="1498" spans="1:3" ht="17.649999999999999" x14ac:dyDescent="0.5">
      <c r="A1498" s="19"/>
      <c r="B1498" s="6">
        <v>5221</v>
      </c>
      <c r="C1498" s="6" t="s">
        <v>345</v>
      </c>
    </row>
    <row r="1499" spans="1:3" ht="17.649999999999999" x14ac:dyDescent="0.5">
      <c r="A1499" s="19"/>
      <c r="B1499" s="2">
        <v>52211</v>
      </c>
      <c r="C1499" s="23" t="s">
        <v>843</v>
      </c>
    </row>
    <row r="1500" spans="1:3" ht="17.649999999999999" x14ac:dyDescent="0.5">
      <c r="A1500" s="19"/>
      <c r="B1500" s="2">
        <v>522110</v>
      </c>
      <c r="C1500" s="2" t="s">
        <v>843</v>
      </c>
    </row>
    <row r="1501" spans="1:3" ht="17.649999999999999" x14ac:dyDescent="0.5">
      <c r="A1501" s="19"/>
      <c r="B1501" s="2">
        <v>52212</v>
      </c>
      <c r="C1501" s="2" t="s">
        <v>844</v>
      </c>
    </row>
    <row r="1502" spans="1:3" ht="17.649999999999999" x14ac:dyDescent="0.5">
      <c r="A1502" s="19"/>
      <c r="B1502" s="2">
        <v>522120</v>
      </c>
      <c r="C1502" s="2" t="s">
        <v>844</v>
      </c>
    </row>
    <row r="1503" spans="1:3" ht="17.649999999999999" x14ac:dyDescent="0.5">
      <c r="A1503" s="19"/>
      <c r="B1503" s="2">
        <v>52213</v>
      </c>
      <c r="C1503" s="2" t="s">
        <v>346</v>
      </c>
    </row>
    <row r="1504" spans="1:3" ht="17.649999999999999" x14ac:dyDescent="0.5">
      <c r="A1504" s="19"/>
      <c r="B1504" s="2">
        <v>522130</v>
      </c>
      <c r="C1504" s="2" t="s">
        <v>346</v>
      </c>
    </row>
    <row r="1505" spans="1:3" ht="17.649999999999999" x14ac:dyDescent="0.5">
      <c r="A1505" s="19"/>
      <c r="B1505" s="2">
        <v>52219</v>
      </c>
      <c r="C1505" s="2" t="s">
        <v>347</v>
      </c>
    </row>
    <row r="1506" spans="1:3" ht="17.649999999999999" x14ac:dyDescent="0.5">
      <c r="A1506" s="19"/>
      <c r="B1506" s="2">
        <v>522190</v>
      </c>
      <c r="C1506" s="2" t="s">
        <v>347</v>
      </c>
    </row>
    <row r="1507" spans="1:3" ht="17.649999999999999" x14ac:dyDescent="0.5">
      <c r="A1507" s="19"/>
      <c r="B1507" s="6">
        <v>5222</v>
      </c>
      <c r="C1507" s="6" t="s">
        <v>348</v>
      </c>
    </row>
    <row r="1508" spans="1:3" ht="17.649999999999999" x14ac:dyDescent="0.5">
      <c r="A1508" s="19"/>
      <c r="B1508" s="2">
        <v>52221</v>
      </c>
      <c r="C1508" s="2" t="s">
        <v>349</v>
      </c>
    </row>
    <row r="1509" spans="1:3" ht="17.649999999999999" x14ac:dyDescent="0.5">
      <c r="A1509" s="19"/>
      <c r="B1509" s="2">
        <v>522210</v>
      </c>
      <c r="C1509" s="2" t="s">
        <v>349</v>
      </c>
    </row>
    <row r="1510" spans="1:3" ht="17.649999999999999" x14ac:dyDescent="0.5">
      <c r="A1510" s="19"/>
      <c r="B1510" s="2">
        <v>52222</v>
      </c>
      <c r="C1510" s="2" t="s">
        <v>350</v>
      </c>
    </row>
    <row r="1511" spans="1:3" ht="17.649999999999999" x14ac:dyDescent="0.5">
      <c r="A1511" s="19"/>
      <c r="B1511" s="2">
        <v>522220</v>
      </c>
      <c r="C1511" s="2" t="s">
        <v>350</v>
      </c>
    </row>
    <row r="1512" spans="1:3" ht="17.649999999999999" x14ac:dyDescent="0.5">
      <c r="A1512" s="19"/>
      <c r="B1512" s="2">
        <v>52229</v>
      </c>
      <c r="C1512" s="2" t="s">
        <v>351</v>
      </c>
    </row>
    <row r="1513" spans="1:3" ht="17.649999999999999" x14ac:dyDescent="0.5">
      <c r="A1513" s="19"/>
      <c r="B1513" s="2">
        <v>522291</v>
      </c>
      <c r="C1513" s="2" t="s">
        <v>352</v>
      </c>
    </row>
    <row r="1514" spans="1:3" ht="17.649999999999999" x14ac:dyDescent="0.5">
      <c r="A1514" s="19"/>
      <c r="B1514" s="2">
        <v>522292</v>
      </c>
      <c r="C1514" s="2" t="s">
        <v>845</v>
      </c>
    </row>
    <row r="1515" spans="1:3" ht="17.649999999999999" x14ac:dyDescent="0.5">
      <c r="A1515" s="19"/>
      <c r="B1515" s="2">
        <v>522293</v>
      </c>
      <c r="C1515" s="2" t="s">
        <v>846</v>
      </c>
    </row>
    <row r="1516" spans="1:3" ht="17.649999999999999" x14ac:dyDescent="0.5">
      <c r="A1516" s="19"/>
      <c r="B1516" s="2">
        <v>522294</v>
      </c>
      <c r="C1516" s="2" t="s">
        <v>847</v>
      </c>
    </row>
    <row r="1517" spans="1:3" ht="17.649999999999999" x14ac:dyDescent="0.5">
      <c r="A1517" s="19"/>
      <c r="B1517" s="2">
        <v>522298</v>
      </c>
      <c r="C1517" s="2" t="s">
        <v>848</v>
      </c>
    </row>
    <row r="1518" spans="1:3" ht="17.649999999999999" x14ac:dyDescent="0.5">
      <c r="A1518" s="19"/>
      <c r="B1518" s="6">
        <v>5223</v>
      </c>
      <c r="C1518" s="6" t="s">
        <v>353</v>
      </c>
    </row>
    <row r="1519" spans="1:3" ht="17.649999999999999" x14ac:dyDescent="0.5">
      <c r="A1519" s="19"/>
      <c r="B1519" s="2">
        <v>52231</v>
      </c>
      <c r="C1519" s="2" t="s">
        <v>354</v>
      </c>
    </row>
    <row r="1520" spans="1:3" ht="17.649999999999999" x14ac:dyDescent="0.5">
      <c r="A1520" s="19"/>
      <c r="B1520" s="2">
        <v>522310</v>
      </c>
      <c r="C1520" s="2" t="s">
        <v>354</v>
      </c>
    </row>
    <row r="1521" spans="1:3" ht="25.5" x14ac:dyDescent="0.5">
      <c r="A1521" s="19"/>
      <c r="B1521" s="2">
        <v>52232</v>
      </c>
      <c r="C1521" s="2" t="s">
        <v>355</v>
      </c>
    </row>
    <row r="1522" spans="1:3" ht="25.5" x14ac:dyDescent="0.5">
      <c r="A1522" s="19"/>
      <c r="B1522" s="2">
        <v>522320</v>
      </c>
      <c r="C1522" s="23" t="s">
        <v>355</v>
      </c>
    </row>
    <row r="1523" spans="1:3" ht="17.649999999999999" x14ac:dyDescent="0.5">
      <c r="A1523" s="19"/>
      <c r="B1523" s="2">
        <v>52239</v>
      </c>
      <c r="C1523" s="2" t="s">
        <v>356</v>
      </c>
    </row>
    <row r="1524" spans="1:3" ht="17.649999999999999" x14ac:dyDescent="0.5">
      <c r="A1524" s="19"/>
      <c r="B1524" s="2">
        <v>522390</v>
      </c>
      <c r="C1524" s="2" t="s">
        <v>356</v>
      </c>
    </row>
    <row r="1525" spans="1:3" ht="31.9" x14ac:dyDescent="0.5">
      <c r="A1525" s="19"/>
      <c r="B1525" s="5">
        <v>523</v>
      </c>
      <c r="C1525" s="5" t="s">
        <v>1637</v>
      </c>
    </row>
    <row r="1526" spans="1:3" ht="28.15" x14ac:dyDescent="0.5">
      <c r="A1526" s="19"/>
      <c r="B1526" s="6">
        <v>5231</v>
      </c>
      <c r="C1526" s="6" t="s">
        <v>1266</v>
      </c>
    </row>
    <row r="1527" spans="1:3" ht="17.649999999999999" x14ac:dyDescent="0.5">
      <c r="A1527" s="19"/>
      <c r="B1527" s="2">
        <v>52311</v>
      </c>
      <c r="C1527" s="2" t="s">
        <v>357</v>
      </c>
    </row>
    <row r="1528" spans="1:3" ht="17.649999999999999" x14ac:dyDescent="0.5">
      <c r="A1528" s="19"/>
      <c r="B1528" s="2">
        <v>523110</v>
      </c>
      <c r="C1528" s="2" t="s">
        <v>357</v>
      </c>
    </row>
    <row r="1529" spans="1:3" ht="17.649999999999999" x14ac:dyDescent="0.5">
      <c r="A1529" s="19"/>
      <c r="B1529" s="2">
        <v>52312</v>
      </c>
      <c r="C1529" s="2" t="s">
        <v>358</v>
      </c>
    </row>
    <row r="1530" spans="1:3" ht="17.649999999999999" x14ac:dyDescent="0.5">
      <c r="A1530" s="19"/>
      <c r="B1530" s="2">
        <v>523120</v>
      </c>
      <c r="C1530" s="2" t="s">
        <v>358</v>
      </c>
    </row>
    <row r="1531" spans="1:3" ht="17.649999999999999" x14ac:dyDescent="0.5">
      <c r="A1531" s="19"/>
      <c r="B1531" s="2">
        <v>52313</v>
      </c>
      <c r="C1531" s="2" t="s">
        <v>359</v>
      </c>
    </row>
    <row r="1532" spans="1:3" ht="17.649999999999999" x14ac:dyDescent="0.5">
      <c r="A1532" s="19"/>
      <c r="B1532" s="2">
        <v>523130</v>
      </c>
      <c r="C1532" s="2" t="s">
        <v>359</v>
      </c>
    </row>
    <row r="1533" spans="1:3" ht="17.649999999999999" x14ac:dyDescent="0.5">
      <c r="A1533" s="19"/>
      <c r="B1533" s="2">
        <v>52314</v>
      </c>
      <c r="C1533" s="2" t="s">
        <v>360</v>
      </c>
    </row>
    <row r="1534" spans="1:3" ht="17.649999999999999" x14ac:dyDescent="0.5">
      <c r="A1534" s="19"/>
      <c r="B1534" s="2">
        <v>523140</v>
      </c>
      <c r="C1534" s="2" t="s">
        <v>360</v>
      </c>
    </row>
    <row r="1535" spans="1:3" ht="17.649999999999999" x14ac:dyDescent="0.5">
      <c r="A1535" s="19"/>
      <c r="B1535" s="6">
        <v>5232</v>
      </c>
      <c r="C1535" s="6" t="s">
        <v>1638</v>
      </c>
    </row>
    <row r="1536" spans="1:3" ht="17.649999999999999" x14ac:dyDescent="0.5">
      <c r="A1536" s="19"/>
      <c r="B1536" s="2">
        <v>52321</v>
      </c>
      <c r="C1536" s="23" t="s">
        <v>1267</v>
      </c>
    </row>
    <row r="1537" spans="1:3" ht="17.649999999999999" x14ac:dyDescent="0.5">
      <c r="A1537" s="19"/>
      <c r="B1537" s="2">
        <v>523210</v>
      </c>
      <c r="C1537" s="23" t="s">
        <v>1899</v>
      </c>
    </row>
    <row r="1538" spans="1:3" ht="17.649999999999999" x14ac:dyDescent="0.5">
      <c r="A1538" s="19"/>
      <c r="B1538" s="6">
        <v>5239</v>
      </c>
      <c r="C1538" s="6" t="s">
        <v>1268</v>
      </c>
    </row>
    <row r="1539" spans="1:3" ht="17.649999999999999" x14ac:dyDescent="0.5">
      <c r="A1539" s="19"/>
      <c r="B1539" s="2">
        <v>52391</v>
      </c>
      <c r="C1539" s="2" t="s">
        <v>361</v>
      </c>
    </row>
    <row r="1540" spans="1:3" ht="17.649999999999999" x14ac:dyDescent="0.5">
      <c r="A1540" s="19"/>
      <c r="B1540" s="2">
        <v>523910</v>
      </c>
      <c r="C1540" s="2" t="s">
        <v>361</v>
      </c>
    </row>
    <row r="1541" spans="1:3" ht="17.649999999999999" x14ac:dyDescent="0.5">
      <c r="A1541" s="19"/>
      <c r="B1541" s="2">
        <v>52392</v>
      </c>
      <c r="C1541" s="2" t="s">
        <v>362</v>
      </c>
    </row>
    <row r="1542" spans="1:3" ht="17.649999999999999" x14ac:dyDescent="0.5">
      <c r="A1542" s="19"/>
      <c r="B1542" s="2">
        <v>523920</v>
      </c>
      <c r="C1542" s="2" t="s">
        <v>362</v>
      </c>
    </row>
    <row r="1543" spans="1:3" ht="17.649999999999999" x14ac:dyDescent="0.5">
      <c r="A1543" s="19"/>
      <c r="B1543" s="2">
        <v>52393</v>
      </c>
      <c r="C1543" s="2" t="s">
        <v>363</v>
      </c>
    </row>
    <row r="1544" spans="1:3" ht="17.649999999999999" x14ac:dyDescent="0.5">
      <c r="A1544" s="19"/>
      <c r="B1544" s="2">
        <v>523930</v>
      </c>
      <c r="C1544" s="2" t="s">
        <v>363</v>
      </c>
    </row>
    <row r="1545" spans="1:3" ht="17.649999999999999" x14ac:dyDescent="0.5">
      <c r="A1545" s="19"/>
      <c r="B1545" s="2">
        <v>52399</v>
      </c>
      <c r="C1545" s="2" t="s">
        <v>364</v>
      </c>
    </row>
    <row r="1546" spans="1:3" ht="17.649999999999999" x14ac:dyDescent="0.5">
      <c r="A1546" s="19"/>
      <c r="B1546" s="2">
        <v>523991</v>
      </c>
      <c r="C1546" s="23" t="s">
        <v>849</v>
      </c>
    </row>
    <row r="1547" spans="1:3" ht="17.649999999999999" x14ac:dyDescent="0.5">
      <c r="A1547" s="19"/>
      <c r="B1547" s="2">
        <v>523999</v>
      </c>
      <c r="C1547" s="23" t="s">
        <v>850</v>
      </c>
    </row>
    <row r="1548" spans="1:3" ht="17.649999999999999" x14ac:dyDescent="0.5">
      <c r="A1548" s="19"/>
      <c r="B1548" s="5">
        <v>524</v>
      </c>
      <c r="C1548" s="5" t="s">
        <v>1639</v>
      </c>
    </row>
    <row r="1549" spans="1:3" ht="17.649999999999999" x14ac:dyDescent="0.5">
      <c r="A1549" s="19"/>
      <c r="B1549" s="6">
        <v>5241</v>
      </c>
      <c r="C1549" s="6" t="s">
        <v>1269</v>
      </c>
    </row>
    <row r="1550" spans="1:3" ht="17.649999999999999" x14ac:dyDescent="0.5">
      <c r="A1550" s="19"/>
      <c r="B1550" s="2">
        <v>52411</v>
      </c>
      <c r="C1550" s="2" t="s">
        <v>365</v>
      </c>
    </row>
    <row r="1551" spans="1:3" ht="17.649999999999999" x14ac:dyDescent="0.5">
      <c r="A1551" s="19"/>
      <c r="B1551" s="2">
        <v>524113</v>
      </c>
      <c r="C1551" s="2" t="s">
        <v>851</v>
      </c>
    </row>
    <row r="1552" spans="1:3" ht="17.649999999999999" x14ac:dyDescent="0.5">
      <c r="A1552" s="19"/>
      <c r="B1552" s="2">
        <v>524114</v>
      </c>
      <c r="C1552" s="2" t="s">
        <v>852</v>
      </c>
    </row>
    <row r="1553" spans="1:3" ht="17.649999999999999" x14ac:dyDescent="0.5">
      <c r="A1553" s="19"/>
      <c r="B1553" s="2">
        <v>52412</v>
      </c>
      <c r="C1553" s="2" t="s">
        <v>366</v>
      </c>
    </row>
    <row r="1554" spans="1:3" ht="17.649999999999999" x14ac:dyDescent="0.5">
      <c r="A1554" s="19"/>
      <c r="B1554" s="2">
        <v>524126</v>
      </c>
      <c r="C1554" s="2" t="s">
        <v>853</v>
      </c>
    </row>
    <row r="1555" spans="1:3" ht="17.649999999999999" x14ac:dyDescent="0.5">
      <c r="A1555" s="19"/>
      <c r="B1555" s="2">
        <v>524127</v>
      </c>
      <c r="C1555" s="2" t="s">
        <v>854</v>
      </c>
    </row>
    <row r="1556" spans="1:3" ht="17.649999999999999" x14ac:dyDescent="0.5">
      <c r="A1556" s="19"/>
      <c r="B1556" s="2">
        <v>524128</v>
      </c>
      <c r="C1556" s="2" t="s">
        <v>855</v>
      </c>
    </row>
    <row r="1557" spans="1:3" ht="17.649999999999999" x14ac:dyDescent="0.5">
      <c r="A1557" s="19"/>
      <c r="B1557" s="2">
        <v>52413</v>
      </c>
      <c r="C1557" s="2" t="s">
        <v>367</v>
      </c>
    </row>
    <row r="1558" spans="1:3" ht="17.649999999999999" x14ac:dyDescent="0.5">
      <c r="A1558" s="19"/>
      <c r="B1558" s="2">
        <v>524130</v>
      </c>
      <c r="C1558" s="2" t="s">
        <v>367</v>
      </c>
    </row>
    <row r="1559" spans="1:3" ht="17.649999999999999" x14ac:dyDescent="0.5">
      <c r="A1559" s="19"/>
      <c r="B1559" s="6">
        <v>5242</v>
      </c>
      <c r="C1559" s="6" t="s">
        <v>1270</v>
      </c>
    </row>
    <row r="1560" spans="1:3" ht="17.649999999999999" x14ac:dyDescent="0.5">
      <c r="A1560" s="19"/>
      <c r="B1560" s="2">
        <v>52421</v>
      </c>
      <c r="C1560" s="2" t="s">
        <v>368</v>
      </c>
    </row>
    <row r="1561" spans="1:3" ht="17.649999999999999" x14ac:dyDescent="0.5">
      <c r="A1561" s="19"/>
      <c r="B1561" s="2">
        <v>524210</v>
      </c>
      <c r="C1561" s="2" t="s">
        <v>368</v>
      </c>
    </row>
    <row r="1562" spans="1:3" ht="17.649999999999999" x14ac:dyDescent="0.5">
      <c r="A1562" s="19"/>
      <c r="B1562" s="2">
        <v>52429</v>
      </c>
      <c r="C1562" s="2" t="s">
        <v>369</v>
      </c>
    </row>
    <row r="1563" spans="1:3" ht="17.649999999999999" x14ac:dyDescent="0.5">
      <c r="A1563" s="19"/>
      <c r="B1563" s="2">
        <v>524291</v>
      </c>
      <c r="C1563" s="2" t="s">
        <v>370</v>
      </c>
    </row>
    <row r="1564" spans="1:3" ht="17.649999999999999" x14ac:dyDescent="0.5">
      <c r="A1564" s="19"/>
      <c r="B1564" s="2">
        <v>524292</v>
      </c>
      <c r="C1564" s="2" t="s">
        <v>856</v>
      </c>
    </row>
    <row r="1565" spans="1:3" ht="17.649999999999999" x14ac:dyDescent="0.5">
      <c r="A1565" s="19"/>
      <c r="B1565" s="2">
        <v>524298</v>
      </c>
      <c r="C1565" s="2" t="s">
        <v>857</v>
      </c>
    </row>
    <row r="1566" spans="1:3" ht="17.649999999999999" x14ac:dyDescent="0.5">
      <c r="A1566" s="19"/>
      <c r="B1566" s="5">
        <v>525</v>
      </c>
      <c r="C1566" s="5" t="s">
        <v>1975</v>
      </c>
    </row>
    <row r="1567" spans="1:3" ht="17.649999999999999" x14ac:dyDescent="0.5">
      <c r="A1567" s="19"/>
      <c r="B1567" s="6">
        <v>5251</v>
      </c>
      <c r="C1567" s="6" t="s">
        <v>1976</v>
      </c>
    </row>
    <row r="1568" spans="1:3" ht="17.649999999999999" x14ac:dyDescent="0.5">
      <c r="A1568" s="19"/>
      <c r="B1568" s="2">
        <v>52511</v>
      </c>
      <c r="C1568" s="23" t="s">
        <v>858</v>
      </c>
    </row>
    <row r="1569" spans="1:3" ht="17.649999999999999" x14ac:dyDescent="0.5">
      <c r="A1569" s="19"/>
      <c r="B1569" s="2">
        <v>525110</v>
      </c>
      <c r="C1569" s="23" t="s">
        <v>858</v>
      </c>
    </row>
    <row r="1570" spans="1:3" ht="17.649999999999999" x14ac:dyDescent="0.5">
      <c r="A1570" s="19"/>
      <c r="B1570" s="2">
        <v>52512</v>
      </c>
      <c r="C1570" s="23" t="s">
        <v>859</v>
      </c>
    </row>
    <row r="1571" spans="1:3" ht="17.649999999999999" x14ac:dyDescent="0.5">
      <c r="A1571" s="19"/>
      <c r="B1571" s="2">
        <v>525120</v>
      </c>
      <c r="C1571" s="23" t="s">
        <v>859</v>
      </c>
    </row>
    <row r="1572" spans="1:3" ht="17.649999999999999" x14ac:dyDescent="0.5">
      <c r="A1572" s="19"/>
      <c r="B1572" s="2">
        <v>52519</v>
      </c>
      <c r="C1572" s="2" t="s">
        <v>860</v>
      </c>
    </row>
    <row r="1573" spans="1:3" ht="17.649999999999999" x14ac:dyDescent="0.5">
      <c r="A1573" s="19"/>
      <c r="B1573" s="2">
        <v>525190</v>
      </c>
      <c r="C1573" s="2" t="s">
        <v>860</v>
      </c>
    </row>
    <row r="1574" spans="1:3" ht="17.649999999999999" x14ac:dyDescent="0.5">
      <c r="A1574" s="19"/>
      <c r="B1574" s="6">
        <v>5259</v>
      </c>
      <c r="C1574" s="6" t="s">
        <v>1977</v>
      </c>
    </row>
    <row r="1575" spans="1:3" ht="17.649999999999999" x14ac:dyDescent="0.5">
      <c r="A1575" s="19"/>
      <c r="B1575" s="2">
        <v>52591</v>
      </c>
      <c r="C1575" s="2" t="s">
        <v>861</v>
      </c>
    </row>
    <row r="1576" spans="1:3" ht="17.649999999999999" x14ac:dyDescent="0.5">
      <c r="A1576" s="19"/>
      <c r="B1576" s="2">
        <v>525910</v>
      </c>
      <c r="C1576" s="2" t="s">
        <v>861</v>
      </c>
    </row>
    <row r="1577" spans="1:3" ht="17.649999999999999" x14ac:dyDescent="0.5">
      <c r="A1577" s="19"/>
      <c r="B1577" s="2">
        <v>52592</v>
      </c>
      <c r="C1577" s="23" t="s">
        <v>862</v>
      </c>
    </row>
    <row r="1578" spans="1:3" ht="17.649999999999999" x14ac:dyDescent="0.5">
      <c r="A1578" s="19"/>
      <c r="B1578" s="2">
        <v>525920</v>
      </c>
      <c r="C1578" s="23" t="s">
        <v>862</v>
      </c>
    </row>
    <row r="1579" spans="1:3" ht="17.649999999999999" x14ac:dyDescent="0.5">
      <c r="A1579" s="19"/>
      <c r="B1579" s="2">
        <v>52599</v>
      </c>
      <c r="C1579" s="23" t="s">
        <v>863</v>
      </c>
    </row>
    <row r="1580" spans="1:3" ht="17.649999999999999" x14ac:dyDescent="0.5">
      <c r="A1580" s="19"/>
      <c r="B1580" s="2">
        <v>525990</v>
      </c>
      <c r="C1580" s="23" t="s">
        <v>863</v>
      </c>
    </row>
    <row r="1581" spans="1:3" ht="17.649999999999999" x14ac:dyDescent="0.5">
      <c r="A1581" s="19"/>
      <c r="B1581" s="2"/>
      <c r="C1581" s="23"/>
    </row>
    <row r="1582" spans="1:3" ht="20.25" x14ac:dyDescent="0.35">
      <c r="A1582" s="11"/>
      <c r="B1582" s="14">
        <v>53</v>
      </c>
      <c r="C1582" s="14" t="s">
        <v>1640</v>
      </c>
    </row>
    <row r="1583" spans="1:3" ht="17.649999999999999" x14ac:dyDescent="0.5">
      <c r="A1583" s="19"/>
      <c r="B1583" s="5">
        <v>531</v>
      </c>
      <c r="C1583" s="5" t="s">
        <v>1641</v>
      </c>
    </row>
    <row r="1584" spans="1:3" ht="17.649999999999999" x14ac:dyDescent="0.5">
      <c r="A1584" s="19"/>
      <c r="B1584" s="6">
        <v>5311</v>
      </c>
      <c r="C1584" s="6" t="s">
        <v>1271</v>
      </c>
    </row>
    <row r="1585" spans="1:3" ht="17.649999999999999" x14ac:dyDescent="0.5">
      <c r="A1585" s="19"/>
      <c r="B1585" s="2">
        <v>53111</v>
      </c>
      <c r="C1585" s="2" t="s">
        <v>371</v>
      </c>
    </row>
    <row r="1586" spans="1:3" ht="17.649999999999999" x14ac:dyDescent="0.5">
      <c r="A1586" s="19"/>
      <c r="B1586" s="2">
        <v>531110</v>
      </c>
      <c r="C1586" s="2" t="s">
        <v>371</v>
      </c>
    </row>
    <row r="1587" spans="1:3" ht="17.649999999999999" x14ac:dyDescent="0.5">
      <c r="A1587" s="19"/>
      <c r="B1587" s="2">
        <v>53112</v>
      </c>
      <c r="C1587" s="2" t="s">
        <v>372</v>
      </c>
    </row>
    <row r="1588" spans="1:3" ht="17.649999999999999" x14ac:dyDescent="0.5">
      <c r="A1588" s="19"/>
      <c r="B1588" s="2">
        <v>531120</v>
      </c>
      <c r="C1588" s="2" t="s">
        <v>372</v>
      </c>
    </row>
    <row r="1589" spans="1:3" ht="17.649999999999999" x14ac:dyDescent="0.5">
      <c r="A1589" s="19"/>
      <c r="B1589" s="2">
        <v>53113</v>
      </c>
      <c r="C1589" s="2" t="s">
        <v>373</v>
      </c>
    </row>
    <row r="1590" spans="1:3" ht="17.649999999999999" x14ac:dyDescent="0.5">
      <c r="A1590" s="19"/>
      <c r="B1590" s="2">
        <v>531130</v>
      </c>
      <c r="C1590" s="2" t="s">
        <v>373</v>
      </c>
    </row>
    <row r="1591" spans="1:3" ht="17.649999999999999" x14ac:dyDescent="0.5">
      <c r="A1591" s="19"/>
      <c r="B1591" s="2">
        <v>53119</v>
      </c>
      <c r="C1591" s="2" t="s">
        <v>374</v>
      </c>
    </row>
    <row r="1592" spans="1:3" ht="17.649999999999999" x14ac:dyDescent="0.5">
      <c r="A1592" s="19"/>
      <c r="B1592" s="2">
        <v>531190</v>
      </c>
      <c r="C1592" s="2" t="s">
        <v>374</v>
      </c>
    </row>
    <row r="1593" spans="1:3" ht="17.649999999999999" x14ac:dyDescent="0.5">
      <c r="A1593" s="19"/>
      <c r="B1593" s="6">
        <v>5312</v>
      </c>
      <c r="C1593" s="6" t="s">
        <v>1642</v>
      </c>
    </row>
    <row r="1594" spans="1:3" ht="17.649999999999999" x14ac:dyDescent="0.5">
      <c r="A1594" s="19"/>
      <c r="B1594" s="2">
        <v>53121</v>
      </c>
      <c r="C1594" s="23" t="s">
        <v>1272</v>
      </c>
    </row>
    <row r="1595" spans="1:3" ht="17.649999999999999" x14ac:dyDescent="0.5">
      <c r="A1595" s="19"/>
      <c r="B1595" s="2">
        <v>531210</v>
      </c>
      <c r="C1595" s="23" t="s">
        <v>1900</v>
      </c>
    </row>
    <row r="1596" spans="1:3" ht="17.649999999999999" x14ac:dyDescent="0.5">
      <c r="A1596" s="19"/>
      <c r="B1596" s="6">
        <v>5313</v>
      </c>
      <c r="C1596" s="6" t="s">
        <v>1273</v>
      </c>
    </row>
    <row r="1597" spans="1:3" ht="17.649999999999999" x14ac:dyDescent="0.5">
      <c r="A1597" s="19"/>
      <c r="B1597" s="2">
        <v>53131</v>
      </c>
      <c r="C1597" s="2" t="s">
        <v>375</v>
      </c>
    </row>
    <row r="1598" spans="1:3" ht="17.649999999999999" x14ac:dyDescent="0.5">
      <c r="A1598" s="19"/>
      <c r="B1598" s="2">
        <v>531311</v>
      </c>
      <c r="C1598" s="2" t="s">
        <v>864</v>
      </c>
    </row>
    <row r="1599" spans="1:3" ht="17.649999999999999" x14ac:dyDescent="0.5">
      <c r="A1599" s="19"/>
      <c r="B1599" s="2">
        <v>531312</v>
      </c>
      <c r="C1599" s="2" t="s">
        <v>865</v>
      </c>
    </row>
    <row r="1600" spans="1:3" ht="17.649999999999999" x14ac:dyDescent="0.5">
      <c r="A1600" s="19"/>
      <c r="B1600" s="2">
        <v>53132</v>
      </c>
      <c r="C1600" s="2" t="s">
        <v>376</v>
      </c>
    </row>
    <row r="1601" spans="1:3" ht="17.649999999999999" x14ac:dyDescent="0.5">
      <c r="A1601" s="19"/>
      <c r="B1601" s="2">
        <v>531320</v>
      </c>
      <c r="C1601" s="2" t="s">
        <v>376</v>
      </c>
    </row>
    <row r="1602" spans="1:3" ht="17.649999999999999" x14ac:dyDescent="0.5">
      <c r="A1602" s="19"/>
      <c r="B1602" s="2">
        <v>53139</v>
      </c>
      <c r="C1602" s="2" t="s">
        <v>377</v>
      </c>
    </row>
    <row r="1603" spans="1:3" ht="17.649999999999999" x14ac:dyDescent="0.5">
      <c r="A1603" s="19"/>
      <c r="B1603" s="2">
        <v>531390</v>
      </c>
      <c r="C1603" s="2" t="s">
        <v>377</v>
      </c>
    </row>
    <row r="1604" spans="1:3" ht="17.649999999999999" x14ac:dyDescent="0.5">
      <c r="A1604" s="19"/>
      <c r="B1604" s="5">
        <v>532</v>
      </c>
      <c r="C1604" s="5" t="s">
        <v>1643</v>
      </c>
    </row>
    <row r="1605" spans="1:3" ht="17.649999999999999" x14ac:dyDescent="0.5">
      <c r="A1605" s="19"/>
      <c r="B1605" s="6">
        <v>5321</v>
      </c>
      <c r="C1605" s="6" t="s">
        <v>1644</v>
      </c>
    </row>
    <row r="1606" spans="1:3" ht="17.649999999999999" x14ac:dyDescent="0.5">
      <c r="A1606" s="19"/>
      <c r="B1606" s="2">
        <v>53211</v>
      </c>
      <c r="C1606" s="23" t="s">
        <v>1274</v>
      </c>
    </row>
    <row r="1607" spans="1:3" ht="17.649999999999999" x14ac:dyDescent="0.5">
      <c r="A1607" s="19"/>
      <c r="B1607" s="2">
        <v>532111</v>
      </c>
      <c r="C1607" s="2" t="s">
        <v>378</v>
      </c>
    </row>
    <row r="1608" spans="1:3" ht="17.649999999999999" x14ac:dyDescent="0.5">
      <c r="A1608" s="19"/>
      <c r="B1608" s="2">
        <v>532112</v>
      </c>
      <c r="C1608" s="2" t="s">
        <v>379</v>
      </c>
    </row>
    <row r="1609" spans="1:3" ht="17.649999999999999" x14ac:dyDescent="0.5">
      <c r="A1609" s="19"/>
      <c r="B1609" s="2">
        <v>53212</v>
      </c>
      <c r="C1609" s="23" t="s">
        <v>1275</v>
      </c>
    </row>
    <row r="1610" spans="1:3" ht="17.649999999999999" x14ac:dyDescent="0.5">
      <c r="A1610" s="19"/>
      <c r="B1610" s="2">
        <v>532120</v>
      </c>
      <c r="C1610" s="2" t="s">
        <v>82</v>
      </c>
    </row>
    <row r="1611" spans="1:3" ht="17.649999999999999" x14ac:dyDescent="0.5">
      <c r="A1611" s="19"/>
      <c r="B1611" s="6">
        <v>5322</v>
      </c>
      <c r="C1611" s="6" t="s">
        <v>1645</v>
      </c>
    </row>
    <row r="1612" spans="1:3" ht="17.649999999999999" x14ac:dyDescent="0.5">
      <c r="A1612" s="19"/>
      <c r="B1612" s="2">
        <v>53221</v>
      </c>
      <c r="C1612" s="23" t="s">
        <v>1276</v>
      </c>
    </row>
    <row r="1613" spans="1:3" ht="17.649999999999999" x14ac:dyDescent="0.5">
      <c r="A1613" s="19"/>
      <c r="B1613" s="2">
        <v>532210</v>
      </c>
      <c r="C1613" s="23" t="s">
        <v>1901</v>
      </c>
    </row>
    <row r="1614" spans="1:3" ht="17.649999999999999" x14ac:dyDescent="0.5">
      <c r="A1614" s="19"/>
      <c r="B1614" s="2">
        <v>53222</v>
      </c>
      <c r="C1614" s="23" t="s">
        <v>1277</v>
      </c>
    </row>
    <row r="1615" spans="1:3" ht="17.649999999999999" x14ac:dyDescent="0.5">
      <c r="A1615" s="19"/>
      <c r="B1615" s="2">
        <v>532220</v>
      </c>
      <c r="C1615" s="23" t="s">
        <v>1902</v>
      </c>
    </row>
    <row r="1616" spans="1:3" ht="17.649999999999999" x14ac:dyDescent="0.5">
      <c r="A1616" s="19"/>
      <c r="B1616" s="2">
        <v>53223</v>
      </c>
      <c r="C1616" s="23" t="s">
        <v>1278</v>
      </c>
    </row>
    <row r="1617" spans="1:3" ht="17.649999999999999" x14ac:dyDescent="0.5">
      <c r="A1617" s="19"/>
      <c r="B1617" s="2">
        <v>532230</v>
      </c>
      <c r="C1617" s="23" t="s">
        <v>1903</v>
      </c>
    </row>
    <row r="1618" spans="1:3" ht="17.649999999999999" x14ac:dyDescent="0.5">
      <c r="A1618" s="19"/>
      <c r="B1618" s="2">
        <v>53229</v>
      </c>
      <c r="C1618" s="23" t="s">
        <v>1279</v>
      </c>
    </row>
    <row r="1619" spans="1:3" ht="17.649999999999999" x14ac:dyDescent="0.5">
      <c r="A1619" s="19"/>
      <c r="B1619" s="2">
        <v>532291</v>
      </c>
      <c r="C1619" s="2" t="s">
        <v>866</v>
      </c>
    </row>
    <row r="1620" spans="1:3" ht="17.649999999999999" x14ac:dyDescent="0.5">
      <c r="A1620" s="19"/>
      <c r="B1620" s="2">
        <v>532292</v>
      </c>
      <c r="C1620" s="2" t="s">
        <v>867</v>
      </c>
    </row>
    <row r="1621" spans="1:3" ht="17.649999999999999" x14ac:dyDescent="0.5">
      <c r="A1621" s="19"/>
      <c r="B1621" s="2">
        <v>532299</v>
      </c>
      <c r="C1621" s="2" t="s">
        <v>868</v>
      </c>
    </row>
    <row r="1622" spans="1:3" ht="17.649999999999999" x14ac:dyDescent="0.5">
      <c r="A1622" s="19"/>
      <c r="B1622" s="6">
        <v>5323</v>
      </c>
      <c r="C1622" s="6" t="s">
        <v>1646</v>
      </c>
    </row>
    <row r="1623" spans="1:3" ht="17.649999999999999" x14ac:dyDescent="0.5">
      <c r="A1623" s="19"/>
      <c r="B1623" s="2">
        <v>53231</v>
      </c>
      <c r="C1623" s="23" t="s">
        <v>1280</v>
      </c>
    </row>
    <row r="1624" spans="1:3" ht="17.649999999999999" x14ac:dyDescent="0.5">
      <c r="A1624" s="19"/>
      <c r="B1624" s="2">
        <v>532310</v>
      </c>
      <c r="C1624" s="23" t="s">
        <v>1904</v>
      </c>
    </row>
    <row r="1625" spans="1:3" ht="28.15" x14ac:dyDescent="0.5">
      <c r="A1625" s="19"/>
      <c r="B1625" s="6">
        <v>5324</v>
      </c>
      <c r="C1625" s="6" t="s">
        <v>1647</v>
      </c>
    </row>
    <row r="1626" spans="1:3" ht="27" x14ac:dyDescent="0.5">
      <c r="A1626" s="19"/>
      <c r="B1626" s="2">
        <v>53241</v>
      </c>
      <c r="C1626" s="23" t="s">
        <v>1281</v>
      </c>
    </row>
    <row r="1627" spans="1:3" ht="25.5" x14ac:dyDescent="0.5">
      <c r="A1627" s="19"/>
      <c r="B1627" s="2">
        <v>532411</v>
      </c>
      <c r="C1627" s="23" t="s">
        <v>869</v>
      </c>
    </row>
    <row r="1628" spans="1:3" ht="25.5" x14ac:dyDescent="0.5">
      <c r="A1628" s="19"/>
      <c r="B1628" s="2">
        <v>532412</v>
      </c>
      <c r="C1628" s="23" t="s">
        <v>870</v>
      </c>
    </row>
    <row r="1629" spans="1:3" ht="17.649999999999999" x14ac:dyDescent="0.5">
      <c r="A1629" s="19"/>
      <c r="B1629" s="2">
        <v>53242</v>
      </c>
      <c r="C1629" s="23" t="s">
        <v>1282</v>
      </c>
    </row>
    <row r="1630" spans="1:3" ht="17.649999999999999" x14ac:dyDescent="0.5">
      <c r="A1630" s="19"/>
      <c r="B1630" s="2">
        <v>532420</v>
      </c>
      <c r="C1630" s="23" t="s">
        <v>1905</v>
      </c>
    </row>
    <row r="1631" spans="1:3" ht="27" x14ac:dyDescent="0.5">
      <c r="A1631" s="19"/>
      <c r="B1631" s="2">
        <v>53249</v>
      </c>
      <c r="C1631" s="23" t="s">
        <v>1283</v>
      </c>
    </row>
    <row r="1632" spans="1:3" ht="25.5" x14ac:dyDescent="0.5">
      <c r="A1632" s="19"/>
      <c r="B1632" s="2">
        <v>532490</v>
      </c>
      <c r="C1632" s="2" t="s">
        <v>83</v>
      </c>
    </row>
    <row r="1633" spans="1:3" ht="31.9" x14ac:dyDescent="0.5">
      <c r="A1633" s="19"/>
      <c r="B1633" s="5">
        <v>533</v>
      </c>
      <c r="C1633" s="5" t="s">
        <v>1648</v>
      </c>
    </row>
    <row r="1634" spans="1:3" ht="28.15" x14ac:dyDescent="0.5">
      <c r="A1634" s="19"/>
      <c r="B1634" s="6">
        <v>5331</v>
      </c>
      <c r="C1634" s="6" t="s">
        <v>1745</v>
      </c>
    </row>
    <row r="1635" spans="1:3" ht="17.649999999999999" x14ac:dyDescent="0.5">
      <c r="A1635" s="19"/>
      <c r="B1635" s="2">
        <v>53311</v>
      </c>
      <c r="C1635" s="23" t="s">
        <v>1284</v>
      </c>
    </row>
    <row r="1636" spans="1:3" ht="17.649999999999999" x14ac:dyDescent="0.5">
      <c r="A1636" s="19"/>
      <c r="B1636" s="2">
        <v>533110</v>
      </c>
      <c r="C1636" s="23" t="s">
        <v>1906</v>
      </c>
    </row>
    <row r="1637" spans="1:3" ht="17.649999999999999" x14ac:dyDescent="0.5">
      <c r="A1637" s="19"/>
      <c r="B1637" s="2"/>
      <c r="C1637" s="2"/>
    </row>
    <row r="1638" spans="1:3" ht="20.25" x14ac:dyDescent="0.35">
      <c r="A1638" s="11"/>
      <c r="B1638" s="14">
        <v>54</v>
      </c>
      <c r="C1638" s="14" t="s">
        <v>1649</v>
      </c>
    </row>
    <row r="1639" spans="1:3" ht="17.649999999999999" x14ac:dyDescent="0.5">
      <c r="A1639" s="19"/>
      <c r="B1639" s="5">
        <v>541</v>
      </c>
      <c r="C1639" s="5" t="s">
        <v>1650</v>
      </c>
    </row>
    <row r="1640" spans="1:3" ht="17.649999999999999" x14ac:dyDescent="0.5">
      <c r="A1640" s="19"/>
      <c r="B1640" s="6">
        <v>5411</v>
      </c>
      <c r="C1640" s="6" t="s">
        <v>1651</v>
      </c>
    </row>
    <row r="1641" spans="1:3" ht="17.649999999999999" x14ac:dyDescent="0.5">
      <c r="A1641" s="19"/>
      <c r="B1641" s="2">
        <v>54111</v>
      </c>
      <c r="C1641" s="23" t="s">
        <v>1285</v>
      </c>
    </row>
    <row r="1642" spans="1:3" ht="17.649999999999999" x14ac:dyDescent="0.5">
      <c r="A1642" s="19"/>
      <c r="B1642" s="2">
        <v>541110</v>
      </c>
      <c r="C1642" s="23" t="s">
        <v>1907</v>
      </c>
    </row>
    <row r="1643" spans="1:3" ht="17.649999999999999" x14ac:dyDescent="0.5">
      <c r="A1643" s="19"/>
      <c r="B1643" s="2">
        <v>54112</v>
      </c>
      <c r="C1643" s="23" t="s">
        <v>1286</v>
      </c>
    </row>
    <row r="1644" spans="1:3" ht="17.649999999999999" x14ac:dyDescent="0.5">
      <c r="A1644" s="19"/>
      <c r="B1644" s="2">
        <v>541120</v>
      </c>
      <c r="C1644" s="23" t="s">
        <v>1908</v>
      </c>
    </row>
    <row r="1645" spans="1:3" ht="17.649999999999999" x14ac:dyDescent="0.5">
      <c r="A1645" s="19"/>
      <c r="B1645" s="2">
        <v>54119</v>
      </c>
      <c r="C1645" s="23" t="s">
        <v>1287</v>
      </c>
    </row>
    <row r="1646" spans="1:3" ht="17.649999999999999" x14ac:dyDescent="0.5">
      <c r="A1646" s="19"/>
      <c r="B1646" s="2">
        <v>541191</v>
      </c>
      <c r="C1646" s="2" t="s">
        <v>871</v>
      </c>
    </row>
    <row r="1647" spans="1:3" ht="17.649999999999999" x14ac:dyDescent="0.5">
      <c r="A1647" s="19"/>
      <c r="B1647" s="2">
        <v>541199</v>
      </c>
      <c r="C1647" s="2" t="s">
        <v>872</v>
      </c>
    </row>
    <row r="1648" spans="1:3" ht="17.649999999999999" x14ac:dyDescent="0.5">
      <c r="A1648" s="19"/>
      <c r="B1648" s="6">
        <v>5412</v>
      </c>
      <c r="C1648" s="6" t="s">
        <v>1652</v>
      </c>
    </row>
    <row r="1649" spans="1:3" ht="17.649999999999999" x14ac:dyDescent="0.5">
      <c r="A1649" s="19"/>
      <c r="B1649" s="2">
        <v>54121</v>
      </c>
      <c r="C1649" s="23" t="s">
        <v>1288</v>
      </c>
    </row>
    <row r="1650" spans="1:3" ht="17.649999999999999" x14ac:dyDescent="0.5">
      <c r="A1650" s="19"/>
      <c r="B1650" s="2">
        <v>541211</v>
      </c>
      <c r="C1650" s="2" t="s">
        <v>873</v>
      </c>
    </row>
    <row r="1651" spans="1:3" ht="17.649999999999999" x14ac:dyDescent="0.5">
      <c r="A1651" s="19"/>
      <c r="B1651" s="2">
        <v>541213</v>
      </c>
      <c r="C1651" s="2" t="s">
        <v>380</v>
      </c>
    </row>
    <row r="1652" spans="1:3" ht="17.649999999999999" x14ac:dyDescent="0.5">
      <c r="A1652" s="19"/>
      <c r="B1652" s="2">
        <v>541214</v>
      </c>
      <c r="C1652" s="2" t="s">
        <v>874</v>
      </c>
    </row>
    <row r="1653" spans="1:3" ht="17.649999999999999" x14ac:dyDescent="0.5">
      <c r="A1653" s="19"/>
      <c r="B1653" s="2">
        <v>541219</v>
      </c>
      <c r="C1653" s="2" t="s">
        <v>875</v>
      </c>
    </row>
    <row r="1654" spans="1:3" ht="17.649999999999999" x14ac:dyDescent="0.5">
      <c r="A1654" s="19"/>
      <c r="B1654" s="6">
        <v>5413</v>
      </c>
      <c r="C1654" s="6" t="s">
        <v>1653</v>
      </c>
    </row>
    <row r="1655" spans="1:3" ht="17.649999999999999" x14ac:dyDescent="0.5">
      <c r="A1655" s="19"/>
      <c r="B1655" s="2">
        <v>54131</v>
      </c>
      <c r="C1655" s="23" t="s">
        <v>1289</v>
      </c>
    </row>
    <row r="1656" spans="1:3" ht="17.649999999999999" x14ac:dyDescent="0.5">
      <c r="A1656" s="19"/>
      <c r="B1656" s="2">
        <v>541310</v>
      </c>
      <c r="C1656" s="23" t="s">
        <v>1909</v>
      </c>
    </row>
    <row r="1657" spans="1:3" ht="17.649999999999999" x14ac:dyDescent="0.5">
      <c r="A1657" s="19"/>
      <c r="B1657" s="2">
        <v>54132</v>
      </c>
      <c r="C1657" s="23" t="s">
        <v>1290</v>
      </c>
    </row>
    <row r="1658" spans="1:3" ht="17.649999999999999" x14ac:dyDescent="0.5">
      <c r="A1658" s="19"/>
      <c r="B1658" s="2">
        <v>541320</v>
      </c>
      <c r="C1658" s="23" t="s">
        <v>1910</v>
      </c>
    </row>
    <row r="1659" spans="1:3" ht="17.649999999999999" x14ac:dyDescent="0.5">
      <c r="A1659" s="19"/>
      <c r="B1659" s="2">
        <v>54133</v>
      </c>
      <c r="C1659" s="23" t="s">
        <v>1291</v>
      </c>
    </row>
    <row r="1660" spans="1:3" ht="17.649999999999999" x14ac:dyDescent="0.5">
      <c r="A1660" s="19"/>
      <c r="B1660" s="2">
        <v>541330</v>
      </c>
      <c r="C1660" s="23" t="s">
        <v>1911</v>
      </c>
    </row>
    <row r="1661" spans="1:3" ht="17.649999999999999" x14ac:dyDescent="0.5">
      <c r="A1661" s="19"/>
      <c r="B1661" s="2">
        <v>54134</v>
      </c>
      <c r="C1661" s="23" t="s">
        <v>1292</v>
      </c>
    </row>
    <row r="1662" spans="1:3" ht="17.649999999999999" x14ac:dyDescent="0.5">
      <c r="A1662" s="19"/>
      <c r="B1662" s="2">
        <v>541340</v>
      </c>
      <c r="C1662" s="23" t="s">
        <v>1912</v>
      </c>
    </row>
    <row r="1663" spans="1:3" ht="17.649999999999999" x14ac:dyDescent="0.5">
      <c r="A1663" s="19"/>
      <c r="B1663" s="2">
        <v>54135</v>
      </c>
      <c r="C1663" s="23" t="s">
        <v>1293</v>
      </c>
    </row>
    <row r="1664" spans="1:3" ht="17.649999999999999" x14ac:dyDescent="0.5">
      <c r="A1664" s="19"/>
      <c r="B1664" s="2">
        <v>541350</v>
      </c>
      <c r="C1664" s="23" t="s">
        <v>1913</v>
      </c>
    </row>
    <row r="1665" spans="1:3" ht="17.649999999999999" x14ac:dyDescent="0.5">
      <c r="A1665" s="19"/>
      <c r="B1665" s="2">
        <v>54136</v>
      </c>
      <c r="C1665" s="23" t="s">
        <v>1294</v>
      </c>
    </row>
    <row r="1666" spans="1:3" ht="17.649999999999999" x14ac:dyDescent="0.5">
      <c r="A1666" s="19"/>
      <c r="B1666" s="2">
        <v>541360</v>
      </c>
      <c r="C1666" s="23" t="s">
        <v>1914</v>
      </c>
    </row>
    <row r="1667" spans="1:3" ht="17.649999999999999" x14ac:dyDescent="0.5">
      <c r="A1667" s="19"/>
      <c r="B1667" s="2">
        <v>54137</v>
      </c>
      <c r="C1667" s="23" t="s">
        <v>1295</v>
      </c>
    </row>
    <row r="1668" spans="1:3" ht="17.649999999999999" x14ac:dyDescent="0.5">
      <c r="A1668" s="19"/>
      <c r="B1668" s="2">
        <v>541370</v>
      </c>
      <c r="C1668" s="23" t="s">
        <v>1915</v>
      </c>
    </row>
    <row r="1669" spans="1:3" ht="17.649999999999999" x14ac:dyDescent="0.5">
      <c r="A1669" s="19"/>
      <c r="B1669" s="2">
        <v>54138</v>
      </c>
      <c r="C1669" s="23" t="s">
        <v>1296</v>
      </c>
    </row>
    <row r="1670" spans="1:3" ht="17.649999999999999" x14ac:dyDescent="0.5">
      <c r="A1670" s="19"/>
      <c r="B1670" s="2">
        <v>541380</v>
      </c>
      <c r="C1670" s="23" t="s">
        <v>1916</v>
      </c>
    </row>
    <row r="1671" spans="1:3" ht="17.649999999999999" x14ac:dyDescent="0.5">
      <c r="A1671" s="19"/>
      <c r="B1671" s="6">
        <v>5414</v>
      </c>
      <c r="C1671" s="6" t="s">
        <v>1654</v>
      </c>
    </row>
    <row r="1672" spans="1:3" ht="17.649999999999999" x14ac:dyDescent="0.5">
      <c r="A1672" s="19"/>
      <c r="B1672" s="2">
        <v>54141</v>
      </c>
      <c r="C1672" s="23" t="s">
        <v>1297</v>
      </c>
    </row>
    <row r="1673" spans="1:3" ht="17.649999999999999" x14ac:dyDescent="0.5">
      <c r="A1673" s="19"/>
      <c r="B1673" s="2">
        <v>541410</v>
      </c>
      <c r="C1673" s="23" t="s">
        <v>1917</v>
      </c>
    </row>
    <row r="1674" spans="1:3" ht="17.649999999999999" x14ac:dyDescent="0.5">
      <c r="A1674" s="19"/>
      <c r="B1674" s="2">
        <v>54142</v>
      </c>
      <c r="C1674" s="23" t="s">
        <v>1298</v>
      </c>
    </row>
    <row r="1675" spans="1:3" ht="17.649999999999999" x14ac:dyDescent="0.5">
      <c r="A1675" s="19"/>
      <c r="B1675" s="2">
        <v>541420</v>
      </c>
      <c r="C1675" s="23" t="s">
        <v>1918</v>
      </c>
    </row>
    <row r="1676" spans="1:3" ht="17.649999999999999" x14ac:dyDescent="0.5">
      <c r="A1676" s="19"/>
      <c r="B1676" s="2">
        <v>54143</v>
      </c>
      <c r="C1676" s="23" t="s">
        <v>1299</v>
      </c>
    </row>
    <row r="1677" spans="1:3" ht="17.649999999999999" x14ac:dyDescent="0.5">
      <c r="A1677" s="19"/>
      <c r="B1677" s="2">
        <v>541430</v>
      </c>
      <c r="C1677" s="23" t="s">
        <v>1919</v>
      </c>
    </row>
    <row r="1678" spans="1:3" ht="17.649999999999999" x14ac:dyDescent="0.5">
      <c r="A1678" s="19"/>
      <c r="B1678" s="2">
        <v>54149</v>
      </c>
      <c r="C1678" s="23" t="s">
        <v>1300</v>
      </c>
    </row>
    <row r="1679" spans="1:3" ht="17.649999999999999" x14ac:dyDescent="0.5">
      <c r="A1679" s="19"/>
      <c r="B1679" s="2">
        <v>541490</v>
      </c>
      <c r="C1679" s="23" t="s">
        <v>1920</v>
      </c>
    </row>
    <row r="1680" spans="1:3" ht="17.649999999999999" x14ac:dyDescent="0.5">
      <c r="A1680" s="19"/>
      <c r="B1680" s="6">
        <v>5415</v>
      </c>
      <c r="C1680" s="6" t="s">
        <v>1655</v>
      </c>
    </row>
    <row r="1681" spans="1:3" ht="17.649999999999999" x14ac:dyDescent="0.5">
      <c r="A1681" s="19"/>
      <c r="B1681" s="2">
        <v>54151</v>
      </c>
      <c r="C1681" s="23" t="s">
        <v>1301</v>
      </c>
    </row>
    <row r="1682" spans="1:3" ht="17.649999999999999" x14ac:dyDescent="0.5">
      <c r="A1682" s="19"/>
      <c r="B1682" s="2">
        <v>541511</v>
      </c>
      <c r="C1682" s="23" t="s">
        <v>876</v>
      </c>
    </row>
    <row r="1683" spans="1:3" ht="17.649999999999999" x14ac:dyDescent="0.5">
      <c r="A1683" s="19"/>
      <c r="B1683" s="2">
        <v>541512</v>
      </c>
      <c r="C1683" s="23" t="s">
        <v>877</v>
      </c>
    </row>
    <row r="1684" spans="1:3" ht="17.649999999999999" x14ac:dyDescent="0.5">
      <c r="A1684" s="19"/>
      <c r="B1684" s="2">
        <v>541513</v>
      </c>
      <c r="C1684" s="23" t="s">
        <v>878</v>
      </c>
    </row>
    <row r="1685" spans="1:3" ht="17.649999999999999" x14ac:dyDescent="0.5">
      <c r="A1685" s="19"/>
      <c r="B1685" s="2">
        <v>541519</v>
      </c>
      <c r="C1685" s="23" t="s">
        <v>879</v>
      </c>
    </row>
    <row r="1686" spans="1:3" ht="17.649999999999999" x14ac:dyDescent="0.5">
      <c r="A1686" s="19"/>
      <c r="B1686" s="6">
        <v>5416</v>
      </c>
      <c r="C1686" s="6" t="s">
        <v>1656</v>
      </c>
    </row>
    <row r="1687" spans="1:3" ht="17.649999999999999" x14ac:dyDescent="0.5">
      <c r="A1687" s="19"/>
      <c r="B1687" s="2">
        <v>54161</v>
      </c>
      <c r="C1687" s="23" t="s">
        <v>1302</v>
      </c>
    </row>
    <row r="1688" spans="1:3" ht="25.5" x14ac:dyDescent="0.5">
      <c r="A1688" s="19"/>
      <c r="B1688" s="2">
        <v>541611</v>
      </c>
      <c r="C1688" s="2" t="s">
        <v>381</v>
      </c>
    </row>
    <row r="1689" spans="1:3" ht="17.649999999999999" x14ac:dyDescent="0.5">
      <c r="A1689" s="19"/>
      <c r="B1689" s="2">
        <v>541612</v>
      </c>
      <c r="C1689" s="2" t="s">
        <v>382</v>
      </c>
    </row>
    <row r="1690" spans="1:3" ht="17.649999999999999" x14ac:dyDescent="0.5">
      <c r="A1690" s="19"/>
      <c r="B1690" s="2">
        <v>541613</v>
      </c>
      <c r="C1690" s="2" t="s">
        <v>880</v>
      </c>
    </row>
    <row r="1691" spans="1:3" ht="17.649999999999999" x14ac:dyDescent="0.5">
      <c r="A1691" s="19"/>
      <c r="B1691" s="2">
        <v>541614</v>
      </c>
      <c r="C1691" s="2" t="s">
        <v>881</v>
      </c>
    </row>
    <row r="1692" spans="1:3" ht="17.649999999999999" x14ac:dyDescent="0.5">
      <c r="A1692" s="19"/>
      <c r="B1692" s="2">
        <v>541618</v>
      </c>
      <c r="C1692" s="2" t="s">
        <v>882</v>
      </c>
    </row>
    <row r="1693" spans="1:3" ht="17.649999999999999" x14ac:dyDescent="0.5">
      <c r="A1693" s="19"/>
      <c r="B1693" s="2">
        <v>54162</v>
      </c>
      <c r="C1693" s="23" t="s">
        <v>1303</v>
      </c>
    </row>
    <row r="1694" spans="1:3" ht="17.649999999999999" x14ac:dyDescent="0.5">
      <c r="A1694" s="19"/>
      <c r="B1694" s="2">
        <v>541620</v>
      </c>
      <c r="C1694" s="23" t="s">
        <v>1921</v>
      </c>
    </row>
    <row r="1695" spans="1:3" ht="17.649999999999999" x14ac:dyDescent="0.5">
      <c r="A1695" s="19"/>
      <c r="B1695" s="2">
        <v>54169</v>
      </c>
      <c r="C1695" s="23" t="s">
        <v>1304</v>
      </c>
    </row>
    <row r="1696" spans="1:3" ht="17.649999999999999" x14ac:dyDescent="0.5">
      <c r="A1696" s="19"/>
      <c r="B1696" s="2">
        <v>541690</v>
      </c>
      <c r="C1696" s="23" t="s">
        <v>1922</v>
      </c>
    </row>
    <row r="1697" spans="1:3" ht="17.649999999999999" x14ac:dyDescent="0.5">
      <c r="A1697" s="19"/>
      <c r="B1697" s="6">
        <v>5417</v>
      </c>
      <c r="C1697" s="6" t="s">
        <v>1657</v>
      </c>
    </row>
    <row r="1698" spans="1:3" ht="27" x14ac:dyDescent="0.5">
      <c r="A1698" s="19"/>
      <c r="B1698" s="2">
        <v>54171</v>
      </c>
      <c r="C1698" s="23" t="s">
        <v>1305</v>
      </c>
    </row>
    <row r="1699" spans="1:3" ht="17.649999999999999" x14ac:dyDescent="0.5">
      <c r="A1699" s="19"/>
      <c r="B1699" s="2">
        <v>541711</v>
      </c>
      <c r="C1699" s="2" t="s">
        <v>883</v>
      </c>
    </row>
    <row r="1700" spans="1:3" ht="25.5" x14ac:dyDescent="0.5">
      <c r="A1700" s="19"/>
      <c r="B1700" s="2">
        <v>541712</v>
      </c>
      <c r="C1700" s="2" t="s">
        <v>884</v>
      </c>
    </row>
    <row r="1701" spans="1:3" ht="17.649999999999999" x14ac:dyDescent="0.5">
      <c r="A1701" s="19"/>
      <c r="B1701" s="2">
        <v>54172</v>
      </c>
      <c r="C1701" s="23" t="s">
        <v>1306</v>
      </c>
    </row>
    <row r="1702" spans="1:3" ht="17.649999999999999" x14ac:dyDescent="0.5">
      <c r="A1702" s="19"/>
      <c r="B1702" s="2">
        <v>541720</v>
      </c>
      <c r="C1702" s="2" t="s">
        <v>84</v>
      </c>
    </row>
    <row r="1703" spans="1:3" ht="17.649999999999999" x14ac:dyDescent="0.5">
      <c r="A1703" s="19"/>
      <c r="B1703" s="6">
        <v>5418</v>
      </c>
      <c r="C1703" s="6" t="s">
        <v>1658</v>
      </c>
    </row>
    <row r="1704" spans="1:3" ht="17.649999999999999" x14ac:dyDescent="0.5">
      <c r="A1704" s="19"/>
      <c r="B1704" s="2">
        <v>54181</v>
      </c>
      <c r="C1704" s="23" t="s">
        <v>1307</v>
      </c>
    </row>
    <row r="1705" spans="1:3" ht="17.649999999999999" x14ac:dyDescent="0.5">
      <c r="A1705" s="19"/>
      <c r="B1705" s="2">
        <v>541810</v>
      </c>
      <c r="C1705" s="23" t="s">
        <v>1923</v>
      </c>
    </row>
    <row r="1706" spans="1:3" ht="17.649999999999999" x14ac:dyDescent="0.5">
      <c r="A1706" s="19"/>
      <c r="B1706" s="2">
        <v>54182</v>
      </c>
      <c r="C1706" s="23" t="s">
        <v>1308</v>
      </c>
    </row>
    <row r="1707" spans="1:3" ht="17.649999999999999" x14ac:dyDescent="0.5">
      <c r="A1707" s="19"/>
      <c r="B1707" s="2">
        <v>541820</v>
      </c>
      <c r="C1707" s="23" t="s">
        <v>1924</v>
      </c>
    </row>
    <row r="1708" spans="1:3" ht="17.649999999999999" x14ac:dyDescent="0.5">
      <c r="A1708" s="19"/>
      <c r="B1708" s="2">
        <v>54183</v>
      </c>
      <c r="C1708" s="23" t="s">
        <v>1309</v>
      </c>
    </row>
    <row r="1709" spans="1:3" ht="17.649999999999999" x14ac:dyDescent="0.5">
      <c r="A1709" s="19"/>
      <c r="B1709" s="2">
        <v>541830</v>
      </c>
      <c r="C1709" s="23" t="s">
        <v>1925</v>
      </c>
    </row>
    <row r="1710" spans="1:3" ht="17.649999999999999" x14ac:dyDescent="0.5">
      <c r="A1710" s="19"/>
      <c r="B1710" s="2">
        <v>54184</v>
      </c>
      <c r="C1710" s="23" t="s">
        <v>1310</v>
      </c>
    </row>
    <row r="1711" spans="1:3" ht="17.649999999999999" x14ac:dyDescent="0.5">
      <c r="A1711" s="19"/>
      <c r="B1711" s="2">
        <v>541840</v>
      </c>
      <c r="C1711" s="23" t="s">
        <v>1926</v>
      </c>
    </row>
    <row r="1712" spans="1:3" ht="17.649999999999999" x14ac:dyDescent="0.5">
      <c r="A1712" s="19" t="s">
        <v>138</v>
      </c>
      <c r="B1712" s="2">
        <v>54185</v>
      </c>
      <c r="C1712" s="23" t="s">
        <v>1311</v>
      </c>
    </row>
    <row r="1713" spans="1:3" ht="17.649999999999999" x14ac:dyDescent="0.5">
      <c r="A1713" s="19" t="s">
        <v>138</v>
      </c>
      <c r="B1713" s="2">
        <v>541850</v>
      </c>
      <c r="C1713" s="23" t="s">
        <v>1927</v>
      </c>
    </row>
    <row r="1714" spans="1:3" ht="17.649999999999999" x14ac:dyDescent="0.5">
      <c r="A1714" s="19"/>
      <c r="B1714" s="2">
        <v>54186</v>
      </c>
      <c r="C1714" s="23" t="s">
        <v>1312</v>
      </c>
    </row>
    <row r="1715" spans="1:3" ht="17.649999999999999" x14ac:dyDescent="0.5">
      <c r="A1715" s="19"/>
      <c r="B1715" s="2">
        <v>541860</v>
      </c>
      <c r="C1715" s="23" t="s">
        <v>1928</v>
      </c>
    </row>
    <row r="1716" spans="1:3" ht="17.649999999999999" x14ac:dyDescent="0.5">
      <c r="A1716" s="19"/>
      <c r="B1716" s="2">
        <v>54187</v>
      </c>
      <c r="C1716" s="23" t="s">
        <v>1313</v>
      </c>
    </row>
    <row r="1717" spans="1:3" ht="17.649999999999999" x14ac:dyDescent="0.5">
      <c r="A1717" s="19"/>
      <c r="B1717" s="2">
        <v>541870</v>
      </c>
      <c r="C1717" s="23" t="s">
        <v>1929</v>
      </c>
    </row>
    <row r="1718" spans="1:3" ht="17.649999999999999" x14ac:dyDescent="0.5">
      <c r="A1718" s="19"/>
      <c r="B1718" s="2">
        <v>54189</v>
      </c>
      <c r="C1718" s="23" t="s">
        <v>1314</v>
      </c>
    </row>
    <row r="1719" spans="1:3" ht="17.649999999999999" x14ac:dyDescent="0.5">
      <c r="A1719" s="19"/>
      <c r="B1719" s="2">
        <v>541890</v>
      </c>
      <c r="C1719" s="2" t="s">
        <v>85</v>
      </c>
    </row>
    <row r="1720" spans="1:3" ht="17.649999999999999" x14ac:dyDescent="0.5">
      <c r="A1720" s="19"/>
      <c r="B1720" s="6">
        <v>5419</v>
      </c>
      <c r="C1720" s="6" t="s">
        <v>1659</v>
      </c>
    </row>
    <row r="1721" spans="1:3" ht="17.649999999999999" x14ac:dyDescent="0.5">
      <c r="A1721" s="19"/>
      <c r="B1721" s="2">
        <v>54191</v>
      </c>
      <c r="C1721" s="23" t="s">
        <v>1315</v>
      </c>
    </row>
    <row r="1722" spans="1:3" ht="17.649999999999999" x14ac:dyDescent="0.5">
      <c r="A1722" s="19"/>
      <c r="B1722" s="2">
        <v>541910</v>
      </c>
      <c r="C1722" s="23" t="s">
        <v>1930</v>
      </c>
    </row>
    <row r="1723" spans="1:3" ht="17.649999999999999" x14ac:dyDescent="0.5">
      <c r="A1723" s="19"/>
      <c r="B1723" s="2">
        <v>54192</v>
      </c>
      <c r="C1723" s="23" t="s">
        <v>1316</v>
      </c>
    </row>
    <row r="1724" spans="1:3" ht="17.649999999999999" x14ac:dyDescent="0.5">
      <c r="A1724" s="19"/>
      <c r="B1724" s="2">
        <v>541921</v>
      </c>
      <c r="C1724" s="2" t="s">
        <v>885</v>
      </c>
    </row>
    <row r="1725" spans="1:3" ht="17.649999999999999" x14ac:dyDescent="0.5">
      <c r="A1725" s="19"/>
      <c r="B1725" s="2">
        <v>541922</v>
      </c>
      <c r="C1725" s="2" t="s">
        <v>886</v>
      </c>
    </row>
    <row r="1726" spans="1:3" ht="17.649999999999999" x14ac:dyDescent="0.5">
      <c r="A1726" s="19"/>
      <c r="B1726" s="2">
        <v>54193</v>
      </c>
      <c r="C1726" s="23" t="s">
        <v>1317</v>
      </c>
    </row>
    <row r="1727" spans="1:3" ht="17.649999999999999" x14ac:dyDescent="0.5">
      <c r="A1727" s="19"/>
      <c r="B1727" s="2">
        <v>541930</v>
      </c>
      <c r="C1727" s="23" t="s">
        <v>1931</v>
      </c>
    </row>
    <row r="1728" spans="1:3" ht="17.649999999999999" x14ac:dyDescent="0.5">
      <c r="A1728" s="19"/>
      <c r="B1728" s="2">
        <v>54194</v>
      </c>
      <c r="C1728" s="23" t="s">
        <v>1318</v>
      </c>
    </row>
    <row r="1729" spans="1:3" ht="17.649999999999999" x14ac:dyDescent="0.5">
      <c r="A1729" s="19"/>
      <c r="B1729" s="2">
        <v>541940</v>
      </c>
      <c r="C1729" s="2" t="s">
        <v>86</v>
      </c>
    </row>
    <row r="1730" spans="1:3" ht="17.649999999999999" x14ac:dyDescent="0.5">
      <c r="A1730" s="19"/>
      <c r="B1730" s="2">
        <v>54199</v>
      </c>
      <c r="C1730" s="23" t="s">
        <v>1319</v>
      </c>
    </row>
    <row r="1731" spans="1:3" ht="17.649999999999999" x14ac:dyDescent="0.5">
      <c r="A1731" s="19"/>
      <c r="B1731" s="2">
        <v>541990</v>
      </c>
      <c r="C1731" s="23" t="s">
        <v>1932</v>
      </c>
    </row>
    <row r="1732" spans="1:3" ht="17.649999999999999" x14ac:dyDescent="0.5">
      <c r="A1732" s="19"/>
      <c r="B1732" s="2"/>
      <c r="C1732" s="2"/>
    </row>
    <row r="1733" spans="1:3" ht="20.25" x14ac:dyDescent="0.35">
      <c r="A1733" s="11"/>
      <c r="B1733" s="14">
        <v>55</v>
      </c>
      <c r="C1733" s="14" t="s">
        <v>1660</v>
      </c>
    </row>
    <row r="1734" spans="1:3" ht="17.649999999999999" x14ac:dyDescent="0.5">
      <c r="A1734" s="19"/>
      <c r="B1734" s="5">
        <v>551</v>
      </c>
      <c r="C1734" s="5" t="s">
        <v>1661</v>
      </c>
    </row>
    <row r="1735" spans="1:3" ht="17.649999999999999" x14ac:dyDescent="0.5">
      <c r="A1735" s="19"/>
      <c r="B1735" s="6">
        <v>5511</v>
      </c>
      <c r="C1735" s="6" t="s">
        <v>1746</v>
      </c>
    </row>
    <row r="1736" spans="1:3" ht="17.649999999999999" x14ac:dyDescent="0.5">
      <c r="A1736" s="19"/>
      <c r="B1736" s="2">
        <v>55111</v>
      </c>
      <c r="C1736" s="23" t="s">
        <v>1320</v>
      </c>
    </row>
    <row r="1737" spans="1:3" ht="17.649999999999999" x14ac:dyDescent="0.5">
      <c r="A1737" s="19"/>
      <c r="B1737" s="2">
        <v>551111</v>
      </c>
      <c r="C1737" s="2" t="s">
        <v>887</v>
      </c>
    </row>
    <row r="1738" spans="1:3" ht="17.649999999999999" x14ac:dyDescent="0.5">
      <c r="A1738" s="19"/>
      <c r="B1738" s="2">
        <v>551112</v>
      </c>
      <c r="C1738" s="2" t="s">
        <v>888</v>
      </c>
    </row>
    <row r="1739" spans="1:3" ht="17.649999999999999" x14ac:dyDescent="0.5">
      <c r="A1739" s="19"/>
      <c r="B1739" s="2">
        <v>551114</v>
      </c>
      <c r="C1739" s="2" t="s">
        <v>383</v>
      </c>
    </row>
    <row r="1740" spans="1:3" ht="17.649999999999999" x14ac:dyDescent="0.5">
      <c r="A1740" s="19"/>
      <c r="B1740" s="2"/>
      <c r="C1740" s="2"/>
    </row>
    <row r="1741" spans="1:3" ht="57" customHeight="1" x14ac:dyDescent="0.35">
      <c r="A1741" s="11"/>
      <c r="B1741" s="14">
        <v>56</v>
      </c>
      <c r="C1741" s="14" t="s">
        <v>1662</v>
      </c>
    </row>
    <row r="1742" spans="1:3" ht="17.649999999999999" x14ac:dyDescent="0.5">
      <c r="A1742" s="19"/>
      <c r="B1742" s="5">
        <v>561</v>
      </c>
      <c r="C1742" s="5" t="s">
        <v>1663</v>
      </c>
    </row>
    <row r="1743" spans="1:3" ht="17.649999999999999" x14ac:dyDescent="0.5">
      <c r="A1743" s="19"/>
      <c r="B1743" s="6">
        <v>5611</v>
      </c>
      <c r="C1743" s="6" t="s">
        <v>1664</v>
      </c>
    </row>
    <row r="1744" spans="1:3" ht="17.649999999999999" x14ac:dyDescent="0.5">
      <c r="A1744" s="19"/>
      <c r="B1744" s="2">
        <v>56111</v>
      </c>
      <c r="C1744" s="23" t="s">
        <v>1321</v>
      </c>
    </row>
    <row r="1745" spans="1:3" ht="17.649999999999999" x14ac:dyDescent="0.5">
      <c r="A1745" s="19"/>
      <c r="B1745" s="2">
        <v>561110</v>
      </c>
      <c r="C1745" s="23" t="s">
        <v>1933</v>
      </c>
    </row>
    <row r="1746" spans="1:3" ht="17.649999999999999" x14ac:dyDescent="0.5">
      <c r="A1746" s="19"/>
      <c r="B1746" s="6">
        <v>5612</v>
      </c>
      <c r="C1746" s="6" t="s">
        <v>1665</v>
      </c>
    </row>
    <row r="1747" spans="1:3" ht="17.649999999999999" x14ac:dyDescent="0.5">
      <c r="A1747" s="19"/>
      <c r="B1747" s="2">
        <v>56121</v>
      </c>
      <c r="C1747" s="23" t="s">
        <v>1322</v>
      </c>
    </row>
    <row r="1748" spans="1:3" ht="17.649999999999999" x14ac:dyDescent="0.5">
      <c r="A1748" s="19"/>
      <c r="B1748" s="2">
        <v>561210</v>
      </c>
      <c r="C1748" s="23" t="s">
        <v>1934</v>
      </c>
    </row>
    <row r="1749" spans="1:3" ht="17.649999999999999" x14ac:dyDescent="0.5">
      <c r="A1749" s="19"/>
      <c r="B1749" s="6">
        <v>5613</v>
      </c>
      <c r="C1749" s="6" t="s">
        <v>1666</v>
      </c>
    </row>
    <row r="1750" spans="1:3" ht="17.649999999999999" x14ac:dyDescent="0.5">
      <c r="A1750" s="19"/>
      <c r="B1750" s="2">
        <v>56131</v>
      </c>
      <c r="C1750" s="23" t="s">
        <v>1323</v>
      </c>
    </row>
    <row r="1751" spans="1:3" ht="17.649999999999999" x14ac:dyDescent="0.5">
      <c r="A1751" s="19"/>
      <c r="B1751" s="2">
        <v>561311</v>
      </c>
      <c r="C1751" s="2" t="s">
        <v>889</v>
      </c>
    </row>
    <row r="1752" spans="1:3" ht="17.649999999999999" x14ac:dyDescent="0.5">
      <c r="A1752" s="19"/>
      <c r="B1752" s="2">
        <v>561312</v>
      </c>
      <c r="C1752" s="23" t="s">
        <v>1324</v>
      </c>
    </row>
    <row r="1753" spans="1:3" ht="17.649999999999999" x14ac:dyDescent="0.5">
      <c r="A1753" s="19"/>
      <c r="B1753" s="2">
        <v>56132</v>
      </c>
      <c r="C1753" s="23" t="s">
        <v>1325</v>
      </c>
    </row>
    <row r="1754" spans="1:3" ht="17.649999999999999" x14ac:dyDescent="0.5">
      <c r="A1754" s="19"/>
      <c r="B1754" s="2">
        <v>561320</v>
      </c>
      <c r="C1754" s="23" t="s">
        <v>1935</v>
      </c>
    </row>
    <row r="1755" spans="1:3" ht="17.649999999999999" x14ac:dyDescent="0.5">
      <c r="A1755" s="19"/>
      <c r="B1755" s="2">
        <v>56133</v>
      </c>
      <c r="C1755" s="23" t="s">
        <v>1326</v>
      </c>
    </row>
    <row r="1756" spans="1:3" ht="17.649999999999999" x14ac:dyDescent="0.5">
      <c r="A1756" s="19"/>
      <c r="B1756" s="2">
        <v>561330</v>
      </c>
      <c r="C1756" s="23" t="s">
        <v>1936</v>
      </c>
    </row>
    <row r="1757" spans="1:3" ht="17.649999999999999" x14ac:dyDescent="0.5">
      <c r="A1757" s="19"/>
      <c r="B1757" s="6">
        <v>5614</v>
      </c>
      <c r="C1757" s="6" t="s">
        <v>1667</v>
      </c>
    </row>
    <row r="1758" spans="1:3" ht="17.649999999999999" x14ac:dyDescent="0.5">
      <c r="A1758" s="19"/>
      <c r="B1758" s="2">
        <v>56141</v>
      </c>
      <c r="C1758" s="23" t="s">
        <v>1327</v>
      </c>
    </row>
    <row r="1759" spans="1:3" ht="17.649999999999999" x14ac:dyDescent="0.5">
      <c r="A1759" s="19"/>
      <c r="B1759" s="2">
        <v>561410</v>
      </c>
      <c r="C1759" s="23" t="s">
        <v>1937</v>
      </c>
    </row>
    <row r="1760" spans="1:3" ht="17.649999999999999" x14ac:dyDescent="0.5">
      <c r="A1760" s="19"/>
      <c r="B1760" s="2">
        <v>56142</v>
      </c>
      <c r="C1760" s="23" t="s">
        <v>1328</v>
      </c>
    </row>
    <row r="1761" spans="1:3" ht="17.649999999999999" x14ac:dyDescent="0.5">
      <c r="A1761" s="19"/>
      <c r="B1761" s="2">
        <v>561421</v>
      </c>
      <c r="C1761" s="23" t="s">
        <v>1668</v>
      </c>
    </row>
    <row r="1762" spans="1:3" ht="17.649999999999999" x14ac:dyDescent="0.5">
      <c r="A1762" s="19"/>
      <c r="B1762" s="2">
        <v>561422</v>
      </c>
      <c r="C1762" s="2" t="s">
        <v>450</v>
      </c>
    </row>
    <row r="1763" spans="1:3" ht="17.649999999999999" x14ac:dyDescent="0.5">
      <c r="A1763" s="19"/>
      <c r="B1763" s="2">
        <v>56143</v>
      </c>
      <c r="C1763" s="23" t="s">
        <v>1329</v>
      </c>
    </row>
    <row r="1764" spans="1:3" ht="17.649999999999999" x14ac:dyDescent="0.5">
      <c r="A1764" s="19"/>
      <c r="B1764" s="2">
        <v>561431</v>
      </c>
      <c r="C1764" s="2" t="s">
        <v>890</v>
      </c>
    </row>
    <row r="1765" spans="1:3" ht="17.649999999999999" x14ac:dyDescent="0.5">
      <c r="A1765" s="19"/>
      <c r="B1765" s="2">
        <v>561439</v>
      </c>
      <c r="C1765" s="23" t="s">
        <v>891</v>
      </c>
    </row>
    <row r="1766" spans="1:3" ht="17.649999999999999" x14ac:dyDescent="0.5">
      <c r="A1766" s="19"/>
      <c r="B1766" s="2">
        <v>56144</v>
      </c>
      <c r="C1766" s="23" t="s">
        <v>1330</v>
      </c>
    </row>
    <row r="1767" spans="1:3" ht="17.649999999999999" x14ac:dyDescent="0.5">
      <c r="A1767" s="19"/>
      <c r="B1767" s="2">
        <v>561440</v>
      </c>
      <c r="C1767" s="23" t="s">
        <v>1938</v>
      </c>
    </row>
    <row r="1768" spans="1:3" ht="17.649999999999999" x14ac:dyDescent="0.5">
      <c r="A1768" s="19"/>
      <c r="B1768" s="2">
        <v>56145</v>
      </c>
      <c r="C1768" s="23" t="s">
        <v>1331</v>
      </c>
    </row>
    <row r="1769" spans="1:3" ht="17.649999999999999" x14ac:dyDescent="0.5">
      <c r="A1769" s="19"/>
      <c r="B1769" s="2">
        <v>561450</v>
      </c>
      <c r="C1769" s="23" t="s">
        <v>1939</v>
      </c>
    </row>
    <row r="1770" spans="1:3" ht="17.649999999999999" x14ac:dyDescent="0.5">
      <c r="A1770" s="19"/>
      <c r="B1770" s="2">
        <v>56149</v>
      </c>
      <c r="C1770" s="23" t="s">
        <v>1332</v>
      </c>
    </row>
    <row r="1771" spans="1:3" ht="17.649999999999999" x14ac:dyDescent="0.5">
      <c r="A1771" s="19"/>
      <c r="B1771" s="2">
        <v>561491</v>
      </c>
      <c r="C1771" s="2" t="s">
        <v>892</v>
      </c>
    </row>
    <row r="1772" spans="1:3" ht="17.649999999999999" x14ac:dyDescent="0.5">
      <c r="A1772" s="19"/>
      <c r="B1772" s="2">
        <v>561492</v>
      </c>
      <c r="C1772" s="2" t="s">
        <v>893</v>
      </c>
    </row>
    <row r="1773" spans="1:3" ht="17.649999999999999" x14ac:dyDescent="0.5">
      <c r="A1773" s="19"/>
      <c r="B1773" s="2">
        <v>561499</v>
      </c>
      <c r="C1773" s="23" t="s">
        <v>894</v>
      </c>
    </row>
    <row r="1774" spans="1:3" ht="17.649999999999999" x14ac:dyDescent="0.5">
      <c r="A1774" s="19"/>
      <c r="B1774" s="6">
        <v>5615</v>
      </c>
      <c r="C1774" s="6" t="s">
        <v>1669</v>
      </c>
    </row>
    <row r="1775" spans="1:3" ht="17.649999999999999" x14ac:dyDescent="0.5">
      <c r="A1775" s="19"/>
      <c r="B1775" s="2">
        <v>56151</v>
      </c>
      <c r="C1775" s="23" t="s">
        <v>1333</v>
      </c>
    </row>
    <row r="1776" spans="1:3" ht="17.649999999999999" x14ac:dyDescent="0.5">
      <c r="A1776" s="19"/>
      <c r="B1776" s="2">
        <v>561510</v>
      </c>
      <c r="C1776" s="23" t="s">
        <v>1940</v>
      </c>
    </row>
    <row r="1777" spans="1:3" ht="17.649999999999999" x14ac:dyDescent="0.5">
      <c r="A1777" s="19"/>
      <c r="B1777" s="2">
        <v>56152</v>
      </c>
      <c r="C1777" s="23" t="s">
        <v>1334</v>
      </c>
    </row>
    <row r="1778" spans="1:3" ht="17.649999999999999" x14ac:dyDescent="0.5">
      <c r="A1778" s="19"/>
      <c r="B1778" s="2">
        <v>561520</v>
      </c>
      <c r="C1778" s="23" t="s">
        <v>1941</v>
      </c>
    </row>
    <row r="1779" spans="1:3" ht="17.649999999999999" x14ac:dyDescent="0.5">
      <c r="A1779" s="19"/>
      <c r="B1779" s="2">
        <v>56159</v>
      </c>
      <c r="C1779" s="23" t="s">
        <v>1335</v>
      </c>
    </row>
    <row r="1780" spans="1:3" ht="17.649999999999999" x14ac:dyDescent="0.5">
      <c r="A1780" s="19"/>
      <c r="B1780" s="2">
        <v>561591</v>
      </c>
      <c r="C1780" s="23" t="s">
        <v>943</v>
      </c>
    </row>
    <row r="1781" spans="1:3" ht="17.649999999999999" x14ac:dyDescent="0.5">
      <c r="A1781" s="19"/>
      <c r="B1781" s="2">
        <v>561599</v>
      </c>
      <c r="C1781" s="2" t="s">
        <v>895</v>
      </c>
    </row>
    <row r="1782" spans="1:3" ht="17.649999999999999" x14ac:dyDescent="0.5">
      <c r="A1782" s="19"/>
      <c r="B1782" s="6">
        <v>5616</v>
      </c>
      <c r="C1782" s="6" t="s">
        <v>1670</v>
      </c>
    </row>
    <row r="1783" spans="1:3" ht="17.649999999999999" x14ac:dyDescent="0.5">
      <c r="A1783" s="19"/>
      <c r="B1783" s="2">
        <v>56161</v>
      </c>
      <c r="C1783" s="23" t="s">
        <v>1336</v>
      </c>
    </row>
    <row r="1784" spans="1:3" ht="17.649999999999999" x14ac:dyDescent="0.5">
      <c r="A1784" s="19"/>
      <c r="B1784" s="2">
        <v>561611</v>
      </c>
      <c r="C1784" s="2" t="s">
        <v>384</v>
      </c>
    </row>
    <row r="1785" spans="1:3" ht="17.649999999999999" x14ac:dyDescent="0.5">
      <c r="A1785" s="19"/>
      <c r="B1785" s="2">
        <v>561612</v>
      </c>
      <c r="C1785" s="2" t="s">
        <v>385</v>
      </c>
    </row>
    <row r="1786" spans="1:3" ht="17.649999999999999" x14ac:dyDescent="0.5">
      <c r="A1786" s="19"/>
      <c r="B1786" s="2">
        <v>561613</v>
      </c>
      <c r="C1786" s="2" t="s">
        <v>386</v>
      </c>
    </row>
    <row r="1787" spans="1:3" ht="17.649999999999999" x14ac:dyDescent="0.5">
      <c r="A1787" s="19"/>
      <c r="B1787" s="2">
        <v>56162</v>
      </c>
      <c r="C1787" s="23" t="s">
        <v>1337</v>
      </c>
    </row>
    <row r="1788" spans="1:3" ht="17.649999999999999" x14ac:dyDescent="0.5">
      <c r="A1788" s="19"/>
      <c r="B1788" s="2">
        <v>561621</v>
      </c>
      <c r="C1788" s="2" t="s">
        <v>387</v>
      </c>
    </row>
    <row r="1789" spans="1:3" ht="17.649999999999999" x14ac:dyDescent="0.5">
      <c r="A1789" s="19"/>
      <c r="B1789" s="2">
        <v>561622</v>
      </c>
      <c r="C1789" s="2" t="s">
        <v>388</v>
      </c>
    </row>
    <row r="1790" spans="1:3" ht="17.649999999999999" x14ac:dyDescent="0.5">
      <c r="A1790" s="19"/>
      <c r="B1790" s="6">
        <v>5617</v>
      </c>
      <c r="C1790" s="6" t="s">
        <v>1671</v>
      </c>
    </row>
    <row r="1791" spans="1:3" ht="17.649999999999999" x14ac:dyDescent="0.5">
      <c r="A1791" s="19"/>
      <c r="B1791" s="2">
        <v>56171</v>
      </c>
      <c r="C1791" s="23" t="s">
        <v>1338</v>
      </c>
    </row>
    <row r="1792" spans="1:3" ht="17.649999999999999" x14ac:dyDescent="0.5">
      <c r="A1792" s="19"/>
      <c r="B1792" s="2">
        <v>561710</v>
      </c>
      <c r="C1792" s="23" t="s">
        <v>1942</v>
      </c>
    </row>
    <row r="1793" spans="1:3" ht="17.649999999999999" x14ac:dyDescent="0.5">
      <c r="A1793" s="19"/>
      <c r="B1793" s="2">
        <v>56172</v>
      </c>
      <c r="C1793" s="23" t="s">
        <v>1339</v>
      </c>
    </row>
    <row r="1794" spans="1:3" ht="17.649999999999999" x14ac:dyDescent="0.5">
      <c r="A1794" s="19"/>
      <c r="B1794" s="2">
        <v>561720</v>
      </c>
      <c r="C1794" s="2" t="s">
        <v>87</v>
      </c>
    </row>
    <row r="1795" spans="1:3" ht="17.649999999999999" x14ac:dyDescent="0.5">
      <c r="A1795" s="19"/>
      <c r="B1795" s="2">
        <v>56173</v>
      </c>
      <c r="C1795" s="23" t="s">
        <v>1340</v>
      </c>
    </row>
    <row r="1796" spans="1:3" ht="17.649999999999999" x14ac:dyDescent="0.5">
      <c r="A1796" s="19"/>
      <c r="B1796" s="2">
        <v>561730</v>
      </c>
      <c r="C1796" s="23" t="s">
        <v>1943</v>
      </c>
    </row>
    <row r="1797" spans="1:3" ht="17.649999999999999" x14ac:dyDescent="0.5">
      <c r="A1797" s="19"/>
      <c r="B1797" s="2">
        <v>56174</v>
      </c>
      <c r="C1797" s="23" t="s">
        <v>1341</v>
      </c>
    </row>
    <row r="1798" spans="1:3" ht="17.649999999999999" x14ac:dyDescent="0.5">
      <c r="A1798" s="19"/>
      <c r="B1798" s="2">
        <v>561740</v>
      </c>
      <c r="C1798" s="23" t="s">
        <v>1944</v>
      </c>
    </row>
    <row r="1799" spans="1:3" ht="17.649999999999999" x14ac:dyDescent="0.5">
      <c r="A1799" s="19"/>
      <c r="B1799" s="2">
        <v>56179</v>
      </c>
      <c r="C1799" s="23" t="s">
        <v>1342</v>
      </c>
    </row>
    <row r="1800" spans="1:3" ht="17.649999999999999" x14ac:dyDescent="0.5">
      <c r="A1800" s="19"/>
      <c r="B1800" s="2">
        <v>561790</v>
      </c>
      <c r="C1800" s="2" t="s">
        <v>88</v>
      </c>
    </row>
    <row r="1801" spans="1:3" ht="17.649999999999999" x14ac:dyDescent="0.5">
      <c r="A1801" s="19"/>
      <c r="B1801" s="6">
        <v>5619</v>
      </c>
      <c r="C1801" s="6" t="s">
        <v>1672</v>
      </c>
    </row>
    <row r="1802" spans="1:3" ht="17.649999999999999" x14ac:dyDescent="0.5">
      <c r="A1802" s="19"/>
      <c r="B1802" s="2">
        <v>56191</v>
      </c>
      <c r="C1802" s="23" t="s">
        <v>1343</v>
      </c>
    </row>
    <row r="1803" spans="1:3" ht="17.649999999999999" x14ac:dyDescent="0.5">
      <c r="A1803" s="19"/>
      <c r="B1803" s="2">
        <v>561910</v>
      </c>
      <c r="C1803" s="23" t="s">
        <v>1945</v>
      </c>
    </row>
    <row r="1804" spans="1:3" ht="17.649999999999999" x14ac:dyDescent="0.5">
      <c r="A1804" s="19"/>
      <c r="B1804" s="2">
        <v>56192</v>
      </c>
      <c r="C1804" s="23" t="s">
        <v>1344</v>
      </c>
    </row>
    <row r="1805" spans="1:3" ht="17.649999999999999" x14ac:dyDescent="0.5">
      <c r="A1805" s="19"/>
      <c r="B1805" s="2">
        <v>561920</v>
      </c>
      <c r="C1805" s="23" t="s">
        <v>1946</v>
      </c>
    </row>
    <row r="1806" spans="1:3" ht="17.649999999999999" x14ac:dyDescent="0.5">
      <c r="A1806" s="19"/>
      <c r="B1806" s="2">
        <v>56199</v>
      </c>
      <c r="C1806" s="23" t="s">
        <v>1345</v>
      </c>
    </row>
    <row r="1807" spans="1:3" ht="17.649999999999999" x14ac:dyDescent="0.5">
      <c r="A1807" s="19"/>
      <c r="B1807" s="2">
        <v>561990</v>
      </c>
      <c r="C1807" s="23" t="s">
        <v>1947</v>
      </c>
    </row>
    <row r="1808" spans="1:3" ht="17.649999999999999" x14ac:dyDescent="0.5">
      <c r="A1808" s="19"/>
      <c r="B1808" s="5">
        <v>562</v>
      </c>
      <c r="C1808" s="5" t="s">
        <v>1346</v>
      </c>
    </row>
    <row r="1809" spans="1:3" ht="17.649999999999999" x14ac:dyDescent="0.5">
      <c r="A1809" s="19"/>
      <c r="B1809" s="6">
        <v>5621</v>
      </c>
      <c r="C1809" s="6" t="s">
        <v>389</v>
      </c>
    </row>
    <row r="1810" spans="1:3" ht="17.649999999999999" x14ac:dyDescent="0.5">
      <c r="A1810" s="19"/>
      <c r="B1810" s="2">
        <v>56211</v>
      </c>
      <c r="C1810" s="2" t="s">
        <v>389</v>
      </c>
    </row>
    <row r="1811" spans="1:3" ht="17.649999999999999" x14ac:dyDescent="0.5">
      <c r="A1811" s="19"/>
      <c r="B1811" s="2">
        <v>562111</v>
      </c>
      <c r="C1811" s="2" t="s">
        <v>896</v>
      </c>
    </row>
    <row r="1812" spans="1:3" ht="17.649999999999999" x14ac:dyDescent="0.5">
      <c r="A1812" s="19"/>
      <c r="B1812" s="2">
        <v>562112</v>
      </c>
      <c r="C1812" s="23" t="s">
        <v>897</v>
      </c>
    </row>
    <row r="1813" spans="1:3" ht="17.649999999999999" x14ac:dyDescent="0.5">
      <c r="A1813" s="19"/>
      <c r="B1813" s="2">
        <v>562119</v>
      </c>
      <c r="C1813" s="23" t="s">
        <v>898</v>
      </c>
    </row>
    <row r="1814" spans="1:3" ht="17.649999999999999" x14ac:dyDescent="0.5">
      <c r="A1814" s="19"/>
      <c r="B1814" s="6">
        <v>5622</v>
      </c>
      <c r="C1814" s="6" t="s">
        <v>390</v>
      </c>
    </row>
    <row r="1815" spans="1:3" ht="17.649999999999999" x14ac:dyDescent="0.5">
      <c r="A1815" s="19"/>
      <c r="B1815" s="2">
        <v>56221</v>
      </c>
      <c r="C1815" s="2" t="s">
        <v>390</v>
      </c>
    </row>
    <row r="1816" spans="1:3" ht="17.649999999999999" x14ac:dyDescent="0.5">
      <c r="A1816" s="19"/>
      <c r="B1816" s="2">
        <v>562211</v>
      </c>
      <c r="C1816" s="23" t="s">
        <v>899</v>
      </c>
    </row>
    <row r="1817" spans="1:3" ht="17.649999999999999" x14ac:dyDescent="0.5">
      <c r="A1817" s="19"/>
      <c r="B1817" s="2">
        <v>562212</v>
      </c>
      <c r="C1817" s="23" t="s">
        <v>900</v>
      </c>
    </row>
    <row r="1818" spans="1:3" ht="17.649999999999999" x14ac:dyDescent="0.5">
      <c r="A1818" s="19"/>
      <c r="B1818" s="2">
        <v>562213</v>
      </c>
      <c r="C1818" s="23" t="s">
        <v>901</v>
      </c>
    </row>
    <row r="1819" spans="1:3" ht="17.649999999999999" x14ac:dyDescent="0.5">
      <c r="A1819" s="19"/>
      <c r="B1819" s="2">
        <v>562219</v>
      </c>
      <c r="C1819" s="23" t="s">
        <v>902</v>
      </c>
    </row>
    <row r="1820" spans="1:3" ht="17.649999999999999" x14ac:dyDescent="0.5">
      <c r="A1820" s="19"/>
      <c r="B1820" s="6">
        <v>5629</v>
      </c>
      <c r="C1820" s="6" t="s">
        <v>391</v>
      </c>
    </row>
    <row r="1821" spans="1:3" ht="17.649999999999999" x14ac:dyDescent="0.5">
      <c r="A1821" s="19"/>
      <c r="B1821" s="2">
        <v>56291</v>
      </c>
      <c r="C1821" s="2" t="s">
        <v>392</v>
      </c>
    </row>
    <row r="1822" spans="1:3" ht="17.649999999999999" x14ac:dyDescent="0.5">
      <c r="A1822" s="19"/>
      <c r="B1822" s="2">
        <v>562910</v>
      </c>
      <c r="C1822" s="2" t="s">
        <v>392</v>
      </c>
    </row>
    <row r="1823" spans="1:3" ht="17.649999999999999" x14ac:dyDescent="0.5">
      <c r="A1823" s="19"/>
      <c r="B1823" s="2">
        <v>56292</v>
      </c>
      <c r="C1823" s="2" t="s">
        <v>393</v>
      </c>
    </row>
    <row r="1824" spans="1:3" ht="17.649999999999999" x14ac:dyDescent="0.5">
      <c r="A1824" s="19"/>
      <c r="B1824" s="2">
        <v>562920</v>
      </c>
      <c r="C1824" s="2" t="s">
        <v>393</v>
      </c>
    </row>
    <row r="1825" spans="1:3" ht="17.649999999999999" x14ac:dyDescent="0.5">
      <c r="A1825" s="19"/>
      <c r="B1825" s="2">
        <v>56299</v>
      </c>
      <c r="C1825" s="2" t="s">
        <v>394</v>
      </c>
    </row>
    <row r="1826" spans="1:3" ht="17.649999999999999" x14ac:dyDescent="0.5">
      <c r="A1826" s="19"/>
      <c r="B1826" s="2">
        <v>562991</v>
      </c>
      <c r="C1826" s="2" t="s">
        <v>903</v>
      </c>
    </row>
    <row r="1827" spans="1:3" ht="17.649999999999999" x14ac:dyDescent="0.5">
      <c r="A1827" s="19"/>
      <c r="B1827" s="2">
        <v>562998</v>
      </c>
      <c r="C1827" s="23" t="s">
        <v>904</v>
      </c>
    </row>
    <row r="1828" spans="1:3" ht="17.649999999999999" x14ac:dyDescent="0.5">
      <c r="A1828" s="19"/>
      <c r="B1828" s="2"/>
      <c r="C1828" s="2"/>
    </row>
    <row r="1829" spans="1:3" ht="20.25" x14ac:dyDescent="0.35">
      <c r="A1829" s="11"/>
      <c r="B1829" s="14">
        <v>61</v>
      </c>
      <c r="C1829" s="14" t="s">
        <v>1673</v>
      </c>
    </row>
    <row r="1830" spans="1:3" ht="17.649999999999999" x14ac:dyDescent="0.5">
      <c r="A1830" s="19"/>
      <c r="B1830" s="5">
        <v>611</v>
      </c>
      <c r="C1830" s="5" t="s">
        <v>1747</v>
      </c>
    </row>
    <row r="1831" spans="1:3" ht="17.649999999999999" x14ac:dyDescent="0.5">
      <c r="A1831" s="19"/>
      <c r="B1831" s="6">
        <v>6111</v>
      </c>
      <c r="C1831" s="6" t="s">
        <v>1347</v>
      </c>
    </row>
    <row r="1832" spans="1:3" ht="17.649999999999999" x14ac:dyDescent="0.5">
      <c r="A1832" s="19"/>
      <c r="B1832" s="2">
        <v>61111</v>
      </c>
      <c r="C1832" s="2" t="s">
        <v>89</v>
      </c>
    </row>
    <row r="1833" spans="1:3" ht="17.649999999999999" x14ac:dyDescent="0.5">
      <c r="A1833" s="19"/>
      <c r="B1833" s="2">
        <v>611110</v>
      </c>
      <c r="C1833" s="2" t="s">
        <v>89</v>
      </c>
    </row>
    <row r="1834" spans="1:3" ht="17.649999999999999" x14ac:dyDescent="0.5">
      <c r="A1834" s="19"/>
      <c r="B1834" s="6">
        <v>6112</v>
      </c>
      <c r="C1834" s="6" t="s">
        <v>1674</v>
      </c>
    </row>
    <row r="1835" spans="1:3" ht="17.649999999999999" x14ac:dyDescent="0.5">
      <c r="A1835" s="19"/>
      <c r="B1835" s="2">
        <v>61121</v>
      </c>
      <c r="C1835" s="23" t="s">
        <v>1348</v>
      </c>
    </row>
    <row r="1836" spans="1:3" ht="17.649999999999999" x14ac:dyDescent="0.5">
      <c r="A1836" s="19"/>
      <c r="B1836" s="2">
        <v>611210</v>
      </c>
      <c r="C1836" s="2" t="s">
        <v>90</v>
      </c>
    </row>
    <row r="1837" spans="1:3" ht="17.649999999999999" x14ac:dyDescent="0.5">
      <c r="A1837" s="19"/>
      <c r="B1837" s="6">
        <v>6113</v>
      </c>
      <c r="C1837" s="6" t="s">
        <v>1675</v>
      </c>
    </row>
    <row r="1838" spans="1:3" ht="17.649999999999999" x14ac:dyDescent="0.5">
      <c r="A1838" s="19"/>
      <c r="B1838" s="2">
        <v>61131</v>
      </c>
      <c r="C1838" s="23" t="s">
        <v>1349</v>
      </c>
    </row>
    <row r="1839" spans="1:3" ht="17.649999999999999" x14ac:dyDescent="0.5">
      <c r="A1839" s="19"/>
      <c r="B1839" s="2">
        <v>611310</v>
      </c>
      <c r="C1839" s="2" t="s">
        <v>91</v>
      </c>
    </row>
    <row r="1840" spans="1:3" ht="17.649999999999999" x14ac:dyDescent="0.5">
      <c r="A1840" s="19"/>
      <c r="B1840" s="6">
        <v>6114</v>
      </c>
      <c r="C1840" s="6" t="s">
        <v>1676</v>
      </c>
    </row>
    <row r="1841" spans="1:3" ht="17.649999999999999" x14ac:dyDescent="0.5">
      <c r="A1841" s="19"/>
      <c r="B1841" s="2">
        <v>61141</v>
      </c>
      <c r="C1841" s="23" t="s">
        <v>1350</v>
      </c>
    </row>
    <row r="1842" spans="1:3" ht="17.649999999999999" x14ac:dyDescent="0.5">
      <c r="A1842" s="19"/>
      <c r="B1842" s="2">
        <v>611410</v>
      </c>
      <c r="C1842" s="2" t="s">
        <v>92</v>
      </c>
    </row>
    <row r="1843" spans="1:3" ht="17.649999999999999" x14ac:dyDescent="0.5">
      <c r="A1843" s="19"/>
      <c r="B1843" s="2">
        <v>61142</v>
      </c>
      <c r="C1843" s="23" t="s">
        <v>1351</v>
      </c>
    </row>
    <row r="1844" spans="1:3" ht="17.649999999999999" x14ac:dyDescent="0.5">
      <c r="A1844" s="19"/>
      <c r="B1844" s="2">
        <v>611420</v>
      </c>
      <c r="C1844" s="2" t="s">
        <v>93</v>
      </c>
    </row>
    <row r="1845" spans="1:3" ht="17.649999999999999" x14ac:dyDescent="0.5">
      <c r="A1845" s="19"/>
      <c r="B1845" s="2">
        <v>61143</v>
      </c>
      <c r="C1845" s="23" t="s">
        <v>1352</v>
      </c>
    </row>
    <row r="1846" spans="1:3" ht="17.649999999999999" x14ac:dyDescent="0.5">
      <c r="A1846" s="19"/>
      <c r="B1846" s="2">
        <v>611430</v>
      </c>
      <c r="C1846" s="2" t="s">
        <v>94</v>
      </c>
    </row>
    <row r="1847" spans="1:3" ht="17.649999999999999" x14ac:dyDescent="0.5">
      <c r="A1847" s="19"/>
      <c r="B1847" s="6">
        <v>6115</v>
      </c>
      <c r="C1847" s="6" t="s">
        <v>1677</v>
      </c>
    </row>
    <row r="1848" spans="1:3" ht="17.649999999999999" x14ac:dyDescent="0.5">
      <c r="A1848" s="19"/>
      <c r="B1848" s="2">
        <v>61151</v>
      </c>
      <c r="C1848" s="23" t="s">
        <v>1353</v>
      </c>
    </row>
    <row r="1849" spans="1:3" ht="17.649999999999999" x14ac:dyDescent="0.5">
      <c r="A1849" s="19"/>
      <c r="B1849" s="2">
        <v>611511</v>
      </c>
      <c r="C1849" s="2" t="s">
        <v>905</v>
      </c>
    </row>
    <row r="1850" spans="1:3" ht="17.649999999999999" x14ac:dyDescent="0.5">
      <c r="A1850" s="19"/>
      <c r="B1850" s="2">
        <v>611512</v>
      </c>
      <c r="C1850" s="2" t="s">
        <v>906</v>
      </c>
    </row>
    <row r="1851" spans="1:3" ht="17.649999999999999" x14ac:dyDescent="0.5">
      <c r="A1851" s="19"/>
      <c r="B1851" s="2">
        <v>611513</v>
      </c>
      <c r="C1851" s="2" t="s">
        <v>907</v>
      </c>
    </row>
    <row r="1852" spans="1:3" ht="17.649999999999999" x14ac:dyDescent="0.5">
      <c r="A1852" s="19"/>
      <c r="B1852" s="2">
        <v>611519</v>
      </c>
      <c r="C1852" s="2" t="s">
        <v>908</v>
      </c>
    </row>
    <row r="1853" spans="1:3" ht="17.649999999999999" x14ac:dyDescent="0.5">
      <c r="A1853" s="19"/>
      <c r="B1853" s="6">
        <v>6116</v>
      </c>
      <c r="C1853" s="6" t="s">
        <v>1678</v>
      </c>
    </row>
    <row r="1854" spans="1:3" ht="17.649999999999999" x14ac:dyDescent="0.5">
      <c r="A1854" s="19"/>
      <c r="B1854" s="2">
        <v>61161</v>
      </c>
      <c r="C1854" s="23" t="s">
        <v>1354</v>
      </c>
    </row>
    <row r="1855" spans="1:3" ht="17.649999999999999" x14ac:dyDescent="0.5">
      <c r="A1855" s="19"/>
      <c r="B1855" s="2">
        <v>611610</v>
      </c>
      <c r="C1855" s="2" t="s">
        <v>95</v>
      </c>
    </row>
    <row r="1856" spans="1:3" ht="17.649999999999999" x14ac:dyDescent="0.5">
      <c r="A1856" s="19"/>
      <c r="B1856" s="2">
        <v>61162</v>
      </c>
      <c r="C1856" s="23" t="s">
        <v>1355</v>
      </c>
    </row>
    <row r="1857" spans="1:3" ht="17.649999999999999" x14ac:dyDescent="0.5">
      <c r="A1857" s="19"/>
      <c r="B1857" s="2">
        <v>611620</v>
      </c>
      <c r="C1857" s="2" t="s">
        <v>96</v>
      </c>
    </row>
    <row r="1858" spans="1:3" ht="17.649999999999999" x14ac:dyDescent="0.5">
      <c r="A1858" s="19"/>
      <c r="B1858" s="2">
        <v>61163</v>
      </c>
      <c r="C1858" s="23" t="s">
        <v>1356</v>
      </c>
    </row>
    <row r="1859" spans="1:3" ht="17.649999999999999" x14ac:dyDescent="0.5">
      <c r="A1859" s="19"/>
      <c r="B1859" s="2">
        <v>611630</v>
      </c>
      <c r="C1859" s="2" t="s">
        <v>97</v>
      </c>
    </row>
    <row r="1860" spans="1:3" ht="17.649999999999999" x14ac:dyDescent="0.5">
      <c r="A1860" s="19"/>
      <c r="B1860" s="2">
        <v>61169</v>
      </c>
      <c r="C1860" s="23" t="s">
        <v>1357</v>
      </c>
    </row>
    <row r="1861" spans="1:3" ht="17.649999999999999" x14ac:dyDescent="0.5">
      <c r="A1861" s="19"/>
      <c r="B1861" s="2">
        <v>611691</v>
      </c>
      <c r="C1861" s="2" t="s">
        <v>909</v>
      </c>
    </row>
    <row r="1862" spans="1:3" ht="17.649999999999999" x14ac:dyDescent="0.5">
      <c r="A1862" s="19"/>
      <c r="B1862" s="2">
        <v>611692</v>
      </c>
      <c r="C1862" s="2" t="s">
        <v>910</v>
      </c>
    </row>
    <row r="1863" spans="1:3" ht="17.649999999999999" x14ac:dyDescent="0.5">
      <c r="A1863" s="19"/>
      <c r="B1863" s="2">
        <v>611699</v>
      </c>
      <c r="C1863" s="23" t="s">
        <v>911</v>
      </c>
    </row>
    <row r="1864" spans="1:3" ht="17.649999999999999" x14ac:dyDescent="0.5">
      <c r="A1864" s="19"/>
      <c r="B1864" s="6">
        <v>6117</v>
      </c>
      <c r="C1864" s="6" t="s">
        <v>1679</v>
      </c>
    </row>
    <row r="1865" spans="1:3" ht="17.649999999999999" x14ac:dyDescent="0.5">
      <c r="A1865" s="19"/>
      <c r="B1865" s="2">
        <v>61171</v>
      </c>
      <c r="C1865" s="23" t="s">
        <v>1358</v>
      </c>
    </row>
    <row r="1866" spans="1:3" ht="17.649999999999999" x14ac:dyDescent="0.5">
      <c r="A1866" s="19"/>
      <c r="B1866" s="2">
        <v>611710</v>
      </c>
      <c r="C1866" s="23" t="s">
        <v>1948</v>
      </c>
    </row>
    <row r="1867" spans="1:3" ht="17.649999999999999" x14ac:dyDescent="0.5">
      <c r="A1867" s="19"/>
      <c r="B1867" s="2"/>
      <c r="C1867" s="2"/>
    </row>
    <row r="1868" spans="1:3" ht="20.25" x14ac:dyDescent="0.35">
      <c r="A1868" s="11"/>
      <c r="B1868" s="14">
        <v>62</v>
      </c>
      <c r="C1868" s="14" t="s">
        <v>1680</v>
      </c>
    </row>
    <row r="1869" spans="1:3" ht="17.649999999999999" x14ac:dyDescent="0.5">
      <c r="A1869" s="19"/>
      <c r="B1869" s="5">
        <v>621</v>
      </c>
      <c r="C1869" s="5" t="s">
        <v>1681</v>
      </c>
    </row>
    <row r="1870" spans="1:3" ht="17.649999999999999" x14ac:dyDescent="0.5">
      <c r="A1870" s="19"/>
      <c r="B1870" s="6">
        <v>6211</v>
      </c>
      <c r="C1870" s="6" t="s">
        <v>1682</v>
      </c>
    </row>
    <row r="1871" spans="1:3" ht="17.649999999999999" x14ac:dyDescent="0.5">
      <c r="A1871" s="19"/>
      <c r="B1871" s="2">
        <v>62111</v>
      </c>
      <c r="C1871" s="23" t="s">
        <v>1359</v>
      </c>
    </row>
    <row r="1872" spans="1:3" ht="17.649999999999999" x14ac:dyDescent="0.5">
      <c r="A1872" s="19"/>
      <c r="B1872" s="2">
        <v>621111</v>
      </c>
      <c r="C1872" s="2" t="s">
        <v>912</v>
      </c>
    </row>
    <row r="1873" spans="1:3" ht="17.649999999999999" x14ac:dyDescent="0.5">
      <c r="A1873" s="19"/>
      <c r="B1873" s="2">
        <v>621112</v>
      </c>
      <c r="C1873" s="2" t="s">
        <v>913</v>
      </c>
    </row>
    <row r="1874" spans="1:3" ht="17.649999999999999" x14ac:dyDescent="0.5">
      <c r="A1874" s="19"/>
      <c r="B1874" s="6">
        <v>6212</v>
      </c>
      <c r="C1874" s="6" t="s">
        <v>1683</v>
      </c>
    </row>
    <row r="1875" spans="1:3" ht="17.649999999999999" x14ac:dyDescent="0.5">
      <c r="A1875" s="19"/>
      <c r="B1875" s="2">
        <v>62121</v>
      </c>
      <c r="C1875" s="23" t="s">
        <v>1360</v>
      </c>
    </row>
    <row r="1876" spans="1:3" ht="17.649999999999999" x14ac:dyDescent="0.5">
      <c r="A1876" s="19"/>
      <c r="B1876" s="2">
        <v>621210</v>
      </c>
      <c r="C1876" s="2" t="s">
        <v>98</v>
      </c>
    </row>
    <row r="1877" spans="1:3" ht="17.649999999999999" x14ac:dyDescent="0.5">
      <c r="A1877" s="19"/>
      <c r="B1877" s="6">
        <v>6213</v>
      </c>
      <c r="C1877" s="6" t="s">
        <v>1684</v>
      </c>
    </row>
    <row r="1878" spans="1:3" ht="17.649999999999999" x14ac:dyDescent="0.5">
      <c r="A1878" s="19"/>
      <c r="B1878" s="2">
        <v>62131</v>
      </c>
      <c r="C1878" s="23" t="s">
        <v>1361</v>
      </c>
    </row>
    <row r="1879" spans="1:3" ht="17.649999999999999" x14ac:dyDescent="0.5">
      <c r="A1879" s="19"/>
      <c r="B1879" s="2">
        <v>621310</v>
      </c>
      <c r="C1879" s="2" t="s">
        <v>99</v>
      </c>
    </row>
    <row r="1880" spans="1:3" ht="17.649999999999999" x14ac:dyDescent="0.5">
      <c r="A1880" s="19"/>
      <c r="B1880" s="2">
        <v>62132</v>
      </c>
      <c r="C1880" s="23" t="s">
        <v>1362</v>
      </c>
    </row>
    <row r="1881" spans="1:3" ht="17.649999999999999" x14ac:dyDescent="0.5">
      <c r="A1881" s="19"/>
      <c r="B1881" s="2">
        <v>621320</v>
      </c>
      <c r="C1881" s="23" t="s">
        <v>1949</v>
      </c>
    </row>
    <row r="1882" spans="1:3" ht="17.649999999999999" x14ac:dyDescent="0.5">
      <c r="A1882" s="19"/>
      <c r="B1882" s="2">
        <v>62133</v>
      </c>
      <c r="C1882" s="23" t="s">
        <v>1363</v>
      </c>
    </row>
    <row r="1883" spans="1:3" ht="17.649999999999999" x14ac:dyDescent="0.5">
      <c r="A1883" s="19"/>
      <c r="B1883" s="2">
        <v>621330</v>
      </c>
      <c r="C1883" s="2" t="s">
        <v>100</v>
      </c>
    </row>
    <row r="1884" spans="1:3" ht="27" x14ac:dyDescent="0.5">
      <c r="A1884" s="19"/>
      <c r="B1884" s="2">
        <v>62134</v>
      </c>
      <c r="C1884" s="23" t="s">
        <v>1364</v>
      </c>
    </row>
    <row r="1885" spans="1:3" ht="25.5" x14ac:dyDescent="0.5">
      <c r="A1885" s="19"/>
      <c r="B1885" s="2">
        <v>621340</v>
      </c>
      <c r="C1885" s="2" t="s">
        <v>101</v>
      </c>
    </row>
    <row r="1886" spans="1:3" ht="17.649999999999999" x14ac:dyDescent="0.5">
      <c r="A1886" s="19"/>
      <c r="B1886" s="2">
        <v>62139</v>
      </c>
      <c r="C1886" s="23" t="s">
        <v>1365</v>
      </c>
    </row>
    <row r="1887" spans="1:3" ht="17.649999999999999" x14ac:dyDescent="0.5">
      <c r="A1887" s="19"/>
      <c r="B1887" s="2">
        <v>621391</v>
      </c>
      <c r="C1887" s="2" t="s">
        <v>914</v>
      </c>
    </row>
    <row r="1888" spans="1:3" ht="17.649999999999999" x14ac:dyDescent="0.5">
      <c r="A1888" s="19"/>
      <c r="B1888" s="2">
        <v>621399</v>
      </c>
      <c r="C1888" s="23" t="s">
        <v>915</v>
      </c>
    </row>
    <row r="1889" spans="1:3" ht="17.649999999999999" x14ac:dyDescent="0.5">
      <c r="A1889" s="19"/>
      <c r="B1889" s="6">
        <v>6214</v>
      </c>
      <c r="C1889" s="6" t="s">
        <v>1685</v>
      </c>
    </row>
    <row r="1890" spans="1:3" ht="17.649999999999999" x14ac:dyDescent="0.5">
      <c r="A1890" s="19"/>
      <c r="B1890" s="2">
        <v>62141</v>
      </c>
      <c r="C1890" s="23" t="s">
        <v>1366</v>
      </c>
    </row>
    <row r="1891" spans="1:3" ht="17.649999999999999" x14ac:dyDescent="0.5">
      <c r="A1891" s="19"/>
      <c r="B1891" s="2">
        <v>621410</v>
      </c>
      <c r="C1891" s="2" t="s">
        <v>102</v>
      </c>
    </row>
    <row r="1892" spans="1:3" ht="17.649999999999999" x14ac:dyDescent="0.5">
      <c r="A1892" s="19"/>
      <c r="B1892" s="2">
        <v>62142</v>
      </c>
      <c r="C1892" s="23" t="s">
        <v>1367</v>
      </c>
    </row>
    <row r="1893" spans="1:3" ht="17.649999999999999" x14ac:dyDescent="0.5">
      <c r="A1893" s="19"/>
      <c r="B1893" s="2">
        <v>621420</v>
      </c>
      <c r="C1893" s="2" t="s">
        <v>103</v>
      </c>
    </row>
    <row r="1894" spans="1:3" ht="17.649999999999999" x14ac:dyDescent="0.5">
      <c r="A1894" s="19"/>
      <c r="B1894" s="2">
        <v>62149</v>
      </c>
      <c r="C1894" s="23" t="s">
        <v>1368</v>
      </c>
    </row>
    <row r="1895" spans="1:3" ht="17.649999999999999" x14ac:dyDescent="0.5">
      <c r="A1895" s="19"/>
      <c r="B1895" s="2">
        <v>621491</v>
      </c>
      <c r="C1895" s="2" t="s">
        <v>916</v>
      </c>
    </row>
    <row r="1896" spans="1:3" ht="17.649999999999999" x14ac:dyDescent="0.5">
      <c r="A1896" s="19"/>
      <c r="B1896" s="2">
        <v>621492</v>
      </c>
      <c r="C1896" s="2" t="s">
        <v>917</v>
      </c>
    </row>
    <row r="1897" spans="1:3" ht="17.649999999999999" x14ac:dyDescent="0.5">
      <c r="A1897" s="19"/>
      <c r="B1897" s="2">
        <v>621493</v>
      </c>
      <c r="C1897" s="2" t="s">
        <v>918</v>
      </c>
    </row>
    <row r="1898" spans="1:3" ht="17.649999999999999" x14ac:dyDescent="0.5">
      <c r="A1898" s="19"/>
      <c r="B1898" s="2">
        <v>621498</v>
      </c>
      <c r="C1898" s="2" t="s">
        <v>919</v>
      </c>
    </row>
    <row r="1899" spans="1:3" ht="17.649999999999999" x14ac:dyDescent="0.5">
      <c r="A1899" s="19"/>
      <c r="B1899" s="6">
        <v>6215</v>
      </c>
      <c r="C1899" s="6" t="s">
        <v>1686</v>
      </c>
    </row>
    <row r="1900" spans="1:3" ht="17.649999999999999" x14ac:dyDescent="0.5">
      <c r="A1900" s="19"/>
      <c r="B1900" s="2">
        <v>62151</v>
      </c>
      <c r="C1900" s="23" t="s">
        <v>1369</v>
      </c>
    </row>
    <row r="1901" spans="1:3" ht="17.649999999999999" x14ac:dyDescent="0.5">
      <c r="A1901" s="19"/>
      <c r="B1901" s="2">
        <v>621511</v>
      </c>
      <c r="C1901" s="2" t="s">
        <v>920</v>
      </c>
    </row>
    <row r="1902" spans="1:3" ht="17.649999999999999" x14ac:dyDescent="0.5">
      <c r="A1902" s="19"/>
      <c r="B1902" s="2">
        <v>621512</v>
      </c>
      <c r="C1902" s="2" t="s">
        <v>921</v>
      </c>
    </row>
    <row r="1903" spans="1:3" ht="17.649999999999999" x14ac:dyDescent="0.5">
      <c r="A1903" s="19"/>
      <c r="B1903" s="6">
        <v>6216</v>
      </c>
      <c r="C1903" s="6" t="s">
        <v>1687</v>
      </c>
    </row>
    <row r="1904" spans="1:3" ht="17.649999999999999" x14ac:dyDescent="0.5">
      <c r="A1904" s="19"/>
      <c r="B1904" s="2">
        <v>62161</v>
      </c>
      <c r="C1904" s="23" t="s">
        <v>1370</v>
      </c>
    </row>
    <row r="1905" spans="1:3" ht="17.649999999999999" x14ac:dyDescent="0.5">
      <c r="A1905" s="19"/>
      <c r="B1905" s="2">
        <v>621610</v>
      </c>
      <c r="C1905" s="23" t="s">
        <v>1950</v>
      </c>
    </row>
    <row r="1906" spans="1:3" ht="17.649999999999999" x14ac:dyDescent="0.5">
      <c r="A1906" s="19"/>
      <c r="B1906" s="6">
        <v>6219</v>
      </c>
      <c r="C1906" s="6" t="s">
        <v>1688</v>
      </c>
    </row>
    <row r="1907" spans="1:3" ht="17.649999999999999" x14ac:dyDescent="0.5">
      <c r="A1907" s="19"/>
      <c r="B1907" s="2">
        <v>62191</v>
      </c>
      <c r="C1907" s="23" t="s">
        <v>1371</v>
      </c>
    </row>
    <row r="1908" spans="1:3" ht="17.649999999999999" x14ac:dyDescent="0.5">
      <c r="A1908" s="19"/>
      <c r="B1908" s="2">
        <v>621910</v>
      </c>
      <c r="C1908" s="2" t="s">
        <v>104</v>
      </c>
    </row>
    <row r="1909" spans="1:3" ht="17.649999999999999" x14ac:dyDescent="0.5">
      <c r="A1909" s="19"/>
      <c r="B1909" s="2">
        <v>62199</v>
      </c>
      <c r="C1909" s="23" t="s">
        <v>1372</v>
      </c>
    </row>
    <row r="1910" spans="1:3" ht="17.649999999999999" x14ac:dyDescent="0.5">
      <c r="A1910" s="19"/>
      <c r="B1910" s="2">
        <v>621991</v>
      </c>
      <c r="C1910" s="2" t="s">
        <v>922</v>
      </c>
    </row>
    <row r="1911" spans="1:3" ht="17.649999999999999" x14ac:dyDescent="0.5">
      <c r="A1911" s="19"/>
      <c r="B1911" s="2">
        <v>621999</v>
      </c>
      <c r="C1911" s="23" t="s">
        <v>923</v>
      </c>
    </row>
    <row r="1912" spans="1:3" ht="17.649999999999999" x14ac:dyDescent="0.5">
      <c r="A1912" s="19"/>
      <c r="B1912" s="5">
        <v>622</v>
      </c>
      <c r="C1912" s="5" t="s">
        <v>1689</v>
      </c>
    </row>
    <row r="1913" spans="1:3" ht="17.649999999999999" x14ac:dyDescent="0.5">
      <c r="A1913" s="19"/>
      <c r="B1913" s="6">
        <v>6221</v>
      </c>
      <c r="C1913" s="6" t="s">
        <v>1690</v>
      </c>
    </row>
    <row r="1914" spans="1:3" ht="17.649999999999999" x14ac:dyDescent="0.5">
      <c r="A1914" s="19"/>
      <c r="B1914" s="2">
        <v>62211</v>
      </c>
      <c r="C1914" s="23" t="s">
        <v>1373</v>
      </c>
    </row>
    <row r="1915" spans="1:3" ht="17.649999999999999" x14ac:dyDescent="0.5">
      <c r="A1915" s="19"/>
      <c r="B1915" s="2">
        <v>622110</v>
      </c>
      <c r="C1915" s="2" t="s">
        <v>105</v>
      </c>
    </row>
    <row r="1916" spans="1:3" ht="17.649999999999999" x14ac:dyDescent="0.5">
      <c r="A1916" s="19"/>
      <c r="B1916" s="6">
        <v>6222</v>
      </c>
      <c r="C1916" s="6" t="s">
        <v>1691</v>
      </c>
    </row>
    <row r="1917" spans="1:3" ht="17.649999999999999" x14ac:dyDescent="0.5">
      <c r="A1917" s="19"/>
      <c r="B1917" s="2">
        <v>62221</v>
      </c>
      <c r="C1917" s="23" t="s">
        <v>1374</v>
      </c>
    </row>
    <row r="1918" spans="1:3" ht="17.649999999999999" x14ac:dyDescent="0.5">
      <c r="A1918" s="19"/>
      <c r="B1918" s="2">
        <v>622210</v>
      </c>
      <c r="C1918" s="2" t="s">
        <v>106</v>
      </c>
    </row>
    <row r="1919" spans="1:3" ht="17.649999999999999" x14ac:dyDescent="0.5">
      <c r="A1919" s="19"/>
      <c r="B1919" s="6">
        <v>6223</v>
      </c>
      <c r="C1919" s="6" t="s">
        <v>1692</v>
      </c>
    </row>
    <row r="1920" spans="1:3" ht="17.649999999999999" x14ac:dyDescent="0.5">
      <c r="A1920" s="19"/>
      <c r="B1920" s="2">
        <v>62231</v>
      </c>
      <c r="C1920" s="23" t="s">
        <v>1375</v>
      </c>
    </row>
    <row r="1921" spans="1:3" ht="17.649999999999999" x14ac:dyDescent="0.5">
      <c r="A1921" s="19"/>
      <c r="B1921" s="2">
        <v>622310</v>
      </c>
      <c r="C1921" s="2" t="s">
        <v>107</v>
      </c>
    </row>
    <row r="1922" spans="1:3" ht="17.649999999999999" x14ac:dyDescent="0.5">
      <c r="A1922" s="19"/>
      <c r="B1922" s="5">
        <v>623</v>
      </c>
      <c r="C1922" s="5" t="s">
        <v>1693</v>
      </c>
    </row>
    <row r="1923" spans="1:3" ht="17.649999999999999" x14ac:dyDescent="0.5">
      <c r="A1923" s="19" t="s">
        <v>138</v>
      </c>
      <c r="B1923" s="6">
        <v>6231</v>
      </c>
      <c r="C1923" s="6" t="s">
        <v>1748</v>
      </c>
    </row>
    <row r="1924" spans="1:3" ht="17.649999999999999" x14ac:dyDescent="0.5">
      <c r="A1924" s="19" t="s">
        <v>138</v>
      </c>
      <c r="B1924" s="2">
        <v>62311</v>
      </c>
      <c r="C1924" s="23" t="s">
        <v>1376</v>
      </c>
    </row>
    <row r="1925" spans="1:3" ht="17.649999999999999" x14ac:dyDescent="0.5">
      <c r="A1925" s="19" t="s">
        <v>138</v>
      </c>
      <c r="B1925" s="2">
        <v>623110</v>
      </c>
      <c r="C1925" s="2" t="s">
        <v>108</v>
      </c>
    </row>
    <row r="1926" spans="1:3" ht="28.15" x14ac:dyDescent="0.5">
      <c r="A1926" s="19" t="s">
        <v>138</v>
      </c>
      <c r="B1926" s="6">
        <v>6232</v>
      </c>
      <c r="C1926" s="6" t="s">
        <v>1694</v>
      </c>
    </row>
    <row r="1927" spans="1:3" ht="17.649999999999999" x14ac:dyDescent="0.5">
      <c r="A1927" s="19" t="s">
        <v>138</v>
      </c>
      <c r="B1927" s="2">
        <v>62321</v>
      </c>
      <c r="C1927" s="23" t="s">
        <v>1377</v>
      </c>
    </row>
    <row r="1928" spans="1:3" ht="17.649999999999999" x14ac:dyDescent="0.5">
      <c r="A1928" s="19" t="s">
        <v>138</v>
      </c>
      <c r="B1928" s="2">
        <v>623210</v>
      </c>
      <c r="C1928" s="2" t="s">
        <v>109</v>
      </c>
    </row>
    <row r="1929" spans="1:3" ht="17.649999999999999" x14ac:dyDescent="0.5">
      <c r="A1929" s="19"/>
      <c r="B1929" s="2">
        <v>62322</v>
      </c>
      <c r="C1929" s="23" t="s">
        <v>1378</v>
      </c>
    </row>
    <row r="1930" spans="1:3" ht="17.649999999999999" x14ac:dyDescent="0.5">
      <c r="A1930" s="19"/>
      <c r="B1930" s="2">
        <v>623220</v>
      </c>
      <c r="C1930" s="23" t="s">
        <v>110</v>
      </c>
    </row>
    <row r="1931" spans="1:3" ht="28.15" x14ac:dyDescent="0.5">
      <c r="A1931" s="19" t="s">
        <v>138</v>
      </c>
      <c r="B1931" s="6">
        <v>6233</v>
      </c>
      <c r="C1931" s="6" t="s">
        <v>1695</v>
      </c>
    </row>
    <row r="1932" spans="1:3" ht="27" x14ac:dyDescent="0.5">
      <c r="A1932" s="19" t="s">
        <v>138</v>
      </c>
      <c r="B1932" s="2">
        <v>62331</v>
      </c>
      <c r="C1932" s="23" t="s">
        <v>1379</v>
      </c>
    </row>
    <row r="1933" spans="1:3" ht="17.649999999999999" x14ac:dyDescent="0.5">
      <c r="A1933" s="19"/>
      <c r="B1933" s="2">
        <v>623311</v>
      </c>
      <c r="C1933" s="2" t="s">
        <v>924</v>
      </c>
    </row>
    <row r="1934" spans="1:3" ht="17.649999999999999" x14ac:dyDescent="0.5">
      <c r="A1934" s="19" t="s">
        <v>138</v>
      </c>
      <c r="B1934" s="2">
        <v>623312</v>
      </c>
      <c r="C1934" s="2" t="s">
        <v>925</v>
      </c>
    </row>
    <row r="1935" spans="1:3" ht="17.649999999999999" x14ac:dyDescent="0.5">
      <c r="A1935" s="19"/>
      <c r="B1935" s="6">
        <v>6239</v>
      </c>
      <c r="C1935" s="6" t="s">
        <v>1696</v>
      </c>
    </row>
    <row r="1936" spans="1:3" ht="17.649999999999999" x14ac:dyDescent="0.5">
      <c r="A1936" s="19"/>
      <c r="B1936" s="2">
        <v>62399</v>
      </c>
      <c r="C1936" s="23" t="s">
        <v>1380</v>
      </c>
    </row>
    <row r="1937" spans="1:3" ht="17.649999999999999" x14ac:dyDescent="0.5">
      <c r="A1937" s="19"/>
      <c r="B1937" s="2">
        <v>623990</v>
      </c>
      <c r="C1937" s="2" t="s">
        <v>111</v>
      </c>
    </row>
    <row r="1938" spans="1:3" ht="17.649999999999999" x14ac:dyDescent="0.5">
      <c r="A1938" s="19"/>
      <c r="B1938" s="5">
        <v>624</v>
      </c>
      <c r="C1938" s="5" t="s">
        <v>1697</v>
      </c>
    </row>
    <row r="1939" spans="1:3" ht="17.649999999999999" x14ac:dyDescent="0.5">
      <c r="A1939" s="19"/>
      <c r="B1939" s="6">
        <v>6241</v>
      </c>
      <c r="C1939" s="6" t="s">
        <v>1698</v>
      </c>
    </row>
    <row r="1940" spans="1:3" ht="17.649999999999999" x14ac:dyDescent="0.5">
      <c r="A1940" s="19"/>
      <c r="B1940" s="2">
        <v>62411</v>
      </c>
      <c r="C1940" s="23" t="s">
        <v>1381</v>
      </c>
    </row>
    <row r="1941" spans="1:3" ht="17.649999999999999" x14ac:dyDescent="0.5">
      <c r="A1941" s="19"/>
      <c r="B1941" s="2">
        <v>624110</v>
      </c>
      <c r="C1941" s="2" t="s">
        <v>112</v>
      </c>
    </row>
    <row r="1942" spans="1:3" ht="17.649999999999999" x14ac:dyDescent="0.5">
      <c r="A1942" s="19"/>
      <c r="B1942" s="2">
        <v>62412</v>
      </c>
      <c r="C1942" s="23" t="s">
        <v>1382</v>
      </c>
    </row>
    <row r="1943" spans="1:3" ht="17.649999999999999" x14ac:dyDescent="0.5">
      <c r="A1943" s="19"/>
      <c r="B1943" s="2">
        <v>624120</v>
      </c>
      <c r="C1943" s="2" t="s">
        <v>113</v>
      </c>
    </row>
    <row r="1944" spans="1:3" ht="17.649999999999999" x14ac:dyDescent="0.5">
      <c r="A1944" s="19"/>
      <c r="B1944" s="2">
        <v>62419</v>
      </c>
      <c r="C1944" s="23" t="s">
        <v>1383</v>
      </c>
    </row>
    <row r="1945" spans="1:3" ht="17.649999999999999" x14ac:dyDescent="0.5">
      <c r="A1945" s="19"/>
      <c r="B1945" s="2">
        <v>624190</v>
      </c>
      <c r="C1945" s="2" t="s">
        <v>114</v>
      </c>
    </row>
    <row r="1946" spans="1:3" ht="28.15" x14ac:dyDescent="0.5">
      <c r="A1946" s="19"/>
      <c r="B1946" s="6">
        <v>6242</v>
      </c>
      <c r="C1946" s="6" t="s">
        <v>1699</v>
      </c>
    </row>
    <row r="1947" spans="1:3" ht="17.649999999999999" x14ac:dyDescent="0.5">
      <c r="A1947" s="19"/>
      <c r="B1947" s="2">
        <v>62421</v>
      </c>
      <c r="C1947" s="23" t="s">
        <v>1384</v>
      </c>
    </row>
    <row r="1948" spans="1:3" ht="17.649999999999999" x14ac:dyDescent="0.5">
      <c r="A1948" s="19"/>
      <c r="B1948" s="2">
        <v>624210</v>
      </c>
      <c r="C1948" s="2" t="s">
        <v>115</v>
      </c>
    </row>
    <row r="1949" spans="1:3" ht="17.649999999999999" x14ac:dyDescent="0.5">
      <c r="A1949" s="19"/>
      <c r="B1949" s="2">
        <v>62422</v>
      </c>
      <c r="C1949" s="23" t="s">
        <v>1385</v>
      </c>
    </row>
    <row r="1950" spans="1:3" ht="17.649999999999999" x14ac:dyDescent="0.5">
      <c r="A1950" s="19"/>
      <c r="B1950" s="2">
        <v>624221</v>
      </c>
      <c r="C1950" s="2" t="s">
        <v>926</v>
      </c>
    </row>
    <row r="1951" spans="1:3" ht="17.649999999999999" x14ac:dyDescent="0.5">
      <c r="A1951" s="19"/>
      <c r="B1951" s="2">
        <v>624229</v>
      </c>
      <c r="C1951" s="23" t="s">
        <v>927</v>
      </c>
    </row>
    <row r="1952" spans="1:3" ht="17.649999999999999" x14ac:dyDescent="0.5">
      <c r="A1952" s="19"/>
      <c r="B1952" s="2">
        <v>62423</v>
      </c>
      <c r="C1952" s="23" t="s">
        <v>1386</v>
      </c>
    </row>
    <row r="1953" spans="1:3" ht="17.649999999999999" x14ac:dyDescent="0.5">
      <c r="A1953" s="19"/>
      <c r="B1953" s="2">
        <v>624230</v>
      </c>
      <c r="C1953" s="2" t="s">
        <v>116</v>
      </c>
    </row>
    <row r="1954" spans="1:3" ht="17.649999999999999" x14ac:dyDescent="0.5">
      <c r="A1954" s="19"/>
      <c r="B1954" s="6">
        <v>6243</v>
      </c>
      <c r="C1954" s="6" t="s">
        <v>1700</v>
      </c>
    </row>
    <row r="1955" spans="1:3" ht="17.649999999999999" x14ac:dyDescent="0.5">
      <c r="A1955" s="19"/>
      <c r="B1955" s="2">
        <v>62431</v>
      </c>
      <c r="C1955" s="23" t="s">
        <v>1749</v>
      </c>
    </row>
    <row r="1956" spans="1:3" ht="17.649999999999999" x14ac:dyDescent="0.5">
      <c r="A1956" s="19"/>
      <c r="B1956" s="2">
        <v>624310</v>
      </c>
      <c r="C1956" s="2" t="s">
        <v>117</v>
      </c>
    </row>
    <row r="1957" spans="1:3" ht="17.649999999999999" x14ac:dyDescent="0.5">
      <c r="A1957" s="19"/>
      <c r="B1957" s="6">
        <v>6244</v>
      </c>
      <c r="C1957" s="6" t="s">
        <v>1701</v>
      </c>
    </row>
    <row r="1958" spans="1:3" ht="17.649999999999999" x14ac:dyDescent="0.5">
      <c r="A1958" s="19"/>
      <c r="B1958" s="2">
        <v>62441</v>
      </c>
      <c r="C1958" s="23" t="s">
        <v>1387</v>
      </c>
    </row>
    <row r="1959" spans="1:3" ht="17.649999999999999" x14ac:dyDescent="0.5">
      <c r="A1959" s="19"/>
      <c r="B1959" s="2">
        <v>624410</v>
      </c>
      <c r="C1959" s="2" t="s">
        <v>118</v>
      </c>
    </row>
    <row r="1960" spans="1:3" ht="17.649999999999999" x14ac:dyDescent="0.5">
      <c r="A1960" s="19"/>
      <c r="B1960" s="2"/>
      <c r="C1960" s="2"/>
    </row>
    <row r="1961" spans="1:3" ht="20.25" x14ac:dyDescent="0.35">
      <c r="A1961" s="11"/>
      <c r="B1961" s="14">
        <v>71</v>
      </c>
      <c r="C1961" s="14" t="s">
        <v>1702</v>
      </c>
    </row>
    <row r="1962" spans="1:3" ht="31.9" x14ac:dyDescent="0.5">
      <c r="A1962" s="19"/>
      <c r="B1962" s="5">
        <v>711</v>
      </c>
      <c r="C1962" s="5" t="s">
        <v>1703</v>
      </c>
    </row>
    <row r="1963" spans="1:3" ht="17.649999999999999" x14ac:dyDescent="0.5">
      <c r="A1963" s="19"/>
      <c r="B1963" s="6">
        <v>7111</v>
      </c>
      <c r="C1963" s="6" t="s">
        <v>1704</v>
      </c>
    </row>
    <row r="1964" spans="1:3" ht="17.649999999999999" x14ac:dyDescent="0.5">
      <c r="A1964" s="19"/>
      <c r="B1964" s="2">
        <v>71111</v>
      </c>
      <c r="C1964" s="23" t="s">
        <v>1388</v>
      </c>
    </row>
    <row r="1965" spans="1:3" ht="17.649999999999999" x14ac:dyDescent="0.5">
      <c r="A1965" s="19"/>
      <c r="B1965" s="2">
        <v>711110</v>
      </c>
      <c r="C1965" s="2" t="s">
        <v>119</v>
      </c>
    </row>
    <row r="1966" spans="1:3" ht="17.649999999999999" x14ac:dyDescent="0.5">
      <c r="A1966" s="19"/>
      <c r="B1966" s="2">
        <v>71112</v>
      </c>
      <c r="C1966" s="23" t="s">
        <v>1750</v>
      </c>
    </row>
    <row r="1967" spans="1:3" ht="17.649999999999999" x14ac:dyDescent="0.5">
      <c r="A1967" s="19"/>
      <c r="B1967" s="2">
        <v>711120</v>
      </c>
      <c r="C1967" s="2" t="s">
        <v>120</v>
      </c>
    </row>
    <row r="1968" spans="1:3" ht="17.649999999999999" x14ac:dyDescent="0.5">
      <c r="A1968" s="19"/>
      <c r="B1968" s="2">
        <v>71113</v>
      </c>
      <c r="C1968" s="23" t="s">
        <v>1389</v>
      </c>
    </row>
    <row r="1969" spans="1:3" ht="17.649999999999999" x14ac:dyDescent="0.5">
      <c r="A1969" s="19"/>
      <c r="B1969" s="2">
        <v>711130</v>
      </c>
      <c r="C1969" s="2" t="s">
        <v>121</v>
      </c>
    </row>
    <row r="1970" spans="1:3" ht="17.649999999999999" x14ac:dyDescent="0.5">
      <c r="A1970" s="19"/>
      <c r="B1970" s="2">
        <v>71119</v>
      </c>
      <c r="C1970" s="23" t="s">
        <v>1390</v>
      </c>
    </row>
    <row r="1971" spans="1:3" ht="17.649999999999999" x14ac:dyDescent="0.5">
      <c r="A1971" s="19"/>
      <c r="B1971" s="2">
        <v>711190</v>
      </c>
      <c r="C1971" s="2" t="s">
        <v>122</v>
      </c>
    </row>
    <row r="1972" spans="1:3" ht="17.649999999999999" x14ac:dyDescent="0.5">
      <c r="A1972" s="19"/>
      <c r="B1972" s="6">
        <v>7112</v>
      </c>
      <c r="C1972" s="6" t="s">
        <v>1705</v>
      </c>
    </row>
    <row r="1973" spans="1:3" ht="17.649999999999999" x14ac:dyDescent="0.5">
      <c r="A1973" s="19"/>
      <c r="B1973" s="2">
        <v>71121</v>
      </c>
      <c r="C1973" s="23" t="s">
        <v>1391</v>
      </c>
    </row>
    <row r="1974" spans="1:3" ht="17.649999999999999" x14ac:dyDescent="0.5">
      <c r="A1974" s="19"/>
      <c r="B1974" s="2">
        <v>711211</v>
      </c>
      <c r="C1974" s="2" t="s">
        <v>395</v>
      </c>
    </row>
    <row r="1975" spans="1:3" ht="17.649999999999999" x14ac:dyDescent="0.5">
      <c r="A1975" s="19"/>
      <c r="B1975" s="2">
        <v>711212</v>
      </c>
      <c r="C1975" s="2" t="s">
        <v>928</v>
      </c>
    </row>
    <row r="1976" spans="1:3" ht="17.649999999999999" x14ac:dyDescent="0.5">
      <c r="A1976" s="19"/>
      <c r="B1976" s="2">
        <v>711219</v>
      </c>
      <c r="C1976" s="2" t="s">
        <v>929</v>
      </c>
    </row>
    <row r="1977" spans="1:3" ht="17.649999999999999" x14ac:dyDescent="0.5">
      <c r="A1977" s="19"/>
      <c r="B1977" s="6">
        <v>7113</v>
      </c>
      <c r="C1977" s="6" t="s">
        <v>1706</v>
      </c>
    </row>
    <row r="1978" spans="1:3" ht="17.649999999999999" x14ac:dyDescent="0.5">
      <c r="A1978" s="19"/>
      <c r="B1978" s="2">
        <v>71131</v>
      </c>
      <c r="C1978" s="23" t="s">
        <v>1392</v>
      </c>
    </row>
    <row r="1979" spans="1:3" ht="17.649999999999999" x14ac:dyDescent="0.5">
      <c r="A1979" s="19"/>
      <c r="B1979" s="2">
        <v>711310</v>
      </c>
      <c r="C1979" s="2" t="s">
        <v>123</v>
      </c>
    </row>
    <row r="1980" spans="1:3" ht="27" x14ac:dyDescent="0.5">
      <c r="A1980" s="19"/>
      <c r="B1980" s="2">
        <v>71132</v>
      </c>
      <c r="C1980" s="23" t="s">
        <v>1393</v>
      </c>
    </row>
    <row r="1981" spans="1:3" ht="25.5" x14ac:dyDescent="0.5">
      <c r="A1981" s="19"/>
      <c r="B1981" s="2">
        <v>711320</v>
      </c>
      <c r="C1981" s="2" t="s">
        <v>124</v>
      </c>
    </row>
    <row r="1982" spans="1:3" ht="28.15" x14ac:dyDescent="0.5">
      <c r="A1982" s="19"/>
      <c r="B1982" s="6">
        <v>7114</v>
      </c>
      <c r="C1982" s="6" t="s">
        <v>1707</v>
      </c>
    </row>
    <row r="1983" spans="1:3" ht="27" x14ac:dyDescent="0.5">
      <c r="A1983" s="19"/>
      <c r="B1983" s="2">
        <v>71141</v>
      </c>
      <c r="C1983" s="23" t="s">
        <v>1394</v>
      </c>
    </row>
    <row r="1984" spans="1:3" ht="25.5" x14ac:dyDescent="0.5">
      <c r="A1984" s="19"/>
      <c r="B1984" s="2">
        <v>711410</v>
      </c>
      <c r="C1984" s="23" t="s">
        <v>1951</v>
      </c>
    </row>
    <row r="1985" spans="1:3" ht="17.649999999999999" x14ac:dyDescent="0.5">
      <c r="A1985" s="19"/>
      <c r="B1985" s="6">
        <v>7115</v>
      </c>
      <c r="C1985" s="6" t="s">
        <v>1708</v>
      </c>
    </row>
    <row r="1986" spans="1:3" ht="17.649999999999999" x14ac:dyDescent="0.5">
      <c r="A1986" s="19"/>
      <c r="B1986" s="2">
        <v>71151</v>
      </c>
      <c r="C1986" s="23" t="s">
        <v>1395</v>
      </c>
    </row>
    <row r="1987" spans="1:3" ht="17.649999999999999" x14ac:dyDescent="0.5">
      <c r="A1987" s="19"/>
      <c r="B1987" s="2">
        <v>711510</v>
      </c>
      <c r="C1987" s="2" t="s">
        <v>125</v>
      </c>
    </row>
    <row r="1988" spans="1:3" ht="17.649999999999999" x14ac:dyDescent="0.5">
      <c r="A1988" s="19"/>
      <c r="B1988" s="5">
        <v>712</v>
      </c>
      <c r="C1988" s="5" t="s">
        <v>1709</v>
      </c>
    </row>
    <row r="1989" spans="1:3" ht="17.649999999999999" x14ac:dyDescent="0.5">
      <c r="A1989" s="19"/>
      <c r="B1989" s="6">
        <v>7121</v>
      </c>
      <c r="C1989" s="6" t="s">
        <v>1710</v>
      </c>
    </row>
    <row r="1990" spans="1:3" ht="17.649999999999999" x14ac:dyDescent="0.5">
      <c r="A1990" s="19"/>
      <c r="B1990" s="2">
        <v>71211</v>
      </c>
      <c r="C1990" s="23" t="s">
        <v>1396</v>
      </c>
    </row>
    <row r="1991" spans="1:3" ht="17.649999999999999" x14ac:dyDescent="0.5">
      <c r="A1991" s="19"/>
      <c r="B1991" s="2">
        <v>712110</v>
      </c>
      <c r="C1991" s="23" t="s">
        <v>126</v>
      </c>
    </row>
    <row r="1992" spans="1:3" ht="17.649999999999999" x14ac:dyDescent="0.5">
      <c r="A1992" s="19"/>
      <c r="B1992" s="2">
        <v>71212</v>
      </c>
      <c r="C1992" s="23" t="s">
        <v>1397</v>
      </c>
    </row>
    <row r="1993" spans="1:3" ht="17.649999999999999" x14ac:dyDescent="0.5">
      <c r="A1993" s="19"/>
      <c r="B1993" s="2">
        <v>712120</v>
      </c>
      <c r="C1993" s="23" t="s">
        <v>1952</v>
      </c>
    </row>
    <row r="1994" spans="1:3" ht="17.649999999999999" x14ac:dyDescent="0.5">
      <c r="A1994" s="19"/>
      <c r="B1994" s="2">
        <v>71213</v>
      </c>
      <c r="C1994" s="23" t="s">
        <v>1398</v>
      </c>
    </row>
    <row r="1995" spans="1:3" ht="17.649999999999999" x14ac:dyDescent="0.5">
      <c r="A1995" s="19"/>
      <c r="B1995" s="2">
        <v>712130</v>
      </c>
      <c r="C1995" s="2" t="s">
        <v>127</v>
      </c>
    </row>
    <row r="1996" spans="1:3" ht="17.649999999999999" x14ac:dyDescent="0.5">
      <c r="A1996" s="19"/>
      <c r="B1996" s="2">
        <v>71219</v>
      </c>
      <c r="C1996" s="23" t="s">
        <v>1399</v>
      </c>
    </row>
    <row r="1997" spans="1:3" ht="17.649999999999999" x14ac:dyDescent="0.5">
      <c r="A1997" s="19"/>
      <c r="B1997" s="2">
        <v>712190</v>
      </c>
      <c r="C1997" s="23" t="s">
        <v>1953</v>
      </c>
    </row>
    <row r="1998" spans="1:3" ht="17.649999999999999" x14ac:dyDescent="0.5">
      <c r="A1998" s="19"/>
      <c r="B1998" s="5">
        <v>713</v>
      </c>
      <c r="C1998" s="5" t="s">
        <v>1711</v>
      </c>
    </row>
    <row r="1999" spans="1:3" ht="17.649999999999999" x14ac:dyDescent="0.5">
      <c r="A1999" s="19"/>
      <c r="B1999" s="6">
        <v>7131</v>
      </c>
      <c r="C1999" s="6" t="s">
        <v>1712</v>
      </c>
    </row>
    <row r="2000" spans="1:3" ht="17.649999999999999" x14ac:dyDescent="0.5">
      <c r="A2000" s="19"/>
      <c r="B2000" s="2">
        <v>71311</v>
      </c>
      <c r="C2000" s="23" t="s">
        <v>1400</v>
      </c>
    </row>
    <row r="2001" spans="1:3" ht="17.649999999999999" x14ac:dyDescent="0.5">
      <c r="A2001" s="19"/>
      <c r="B2001" s="2">
        <v>713110</v>
      </c>
      <c r="C2001" s="2" t="s">
        <v>128</v>
      </c>
    </row>
    <row r="2002" spans="1:3" ht="17.649999999999999" x14ac:dyDescent="0.5">
      <c r="A2002" s="19"/>
      <c r="B2002" s="2">
        <v>71312</v>
      </c>
      <c r="C2002" s="23" t="s">
        <v>1401</v>
      </c>
    </row>
    <row r="2003" spans="1:3" ht="17.649999999999999" x14ac:dyDescent="0.5">
      <c r="A2003" s="19"/>
      <c r="B2003" s="2">
        <v>713120</v>
      </c>
      <c r="C2003" s="23" t="s">
        <v>1954</v>
      </c>
    </row>
    <row r="2004" spans="1:3" ht="17.649999999999999" x14ac:dyDescent="0.5">
      <c r="A2004" s="19"/>
      <c r="B2004" s="6">
        <v>7132</v>
      </c>
      <c r="C2004" s="6" t="s">
        <v>1713</v>
      </c>
    </row>
    <row r="2005" spans="1:3" ht="17.649999999999999" x14ac:dyDescent="0.5">
      <c r="A2005" s="19"/>
      <c r="B2005" s="2">
        <v>71321</v>
      </c>
      <c r="C2005" s="23" t="s">
        <v>1402</v>
      </c>
    </row>
    <row r="2006" spans="1:3" ht="17.649999999999999" x14ac:dyDescent="0.5">
      <c r="A2006" s="19"/>
      <c r="B2006" s="2">
        <v>713210</v>
      </c>
      <c r="C2006" s="23" t="s">
        <v>1955</v>
      </c>
    </row>
    <row r="2007" spans="1:3" ht="17.649999999999999" x14ac:dyDescent="0.5">
      <c r="A2007" s="19"/>
      <c r="B2007" s="2">
        <v>71329</v>
      </c>
      <c r="C2007" s="23" t="s">
        <v>1403</v>
      </c>
    </row>
    <row r="2008" spans="1:3" ht="17.649999999999999" x14ac:dyDescent="0.5">
      <c r="A2008" s="19"/>
      <c r="B2008" s="2">
        <v>713290</v>
      </c>
      <c r="C2008" s="23" t="s">
        <v>129</v>
      </c>
    </row>
    <row r="2009" spans="1:3" ht="17.649999999999999" x14ac:dyDescent="0.5">
      <c r="A2009" s="19"/>
      <c r="B2009" s="6">
        <v>7139</v>
      </c>
      <c r="C2009" s="6" t="s">
        <v>1714</v>
      </c>
    </row>
    <row r="2010" spans="1:3" ht="17.649999999999999" x14ac:dyDescent="0.5">
      <c r="A2010" s="19"/>
      <c r="B2010" s="2">
        <v>71391</v>
      </c>
      <c r="C2010" s="23" t="s">
        <v>1404</v>
      </c>
    </row>
    <row r="2011" spans="1:3" ht="17.649999999999999" x14ac:dyDescent="0.5">
      <c r="A2011" s="19"/>
      <c r="B2011" s="2">
        <v>713910</v>
      </c>
      <c r="C2011" s="23" t="s">
        <v>1956</v>
      </c>
    </row>
    <row r="2012" spans="1:3" ht="17.649999999999999" x14ac:dyDescent="0.5">
      <c r="A2012" s="19"/>
      <c r="B2012" s="2">
        <v>71392</v>
      </c>
      <c r="C2012" s="23" t="s">
        <v>1405</v>
      </c>
    </row>
    <row r="2013" spans="1:3" ht="17.649999999999999" x14ac:dyDescent="0.5">
      <c r="A2013" s="19"/>
      <c r="B2013" s="2">
        <v>713920</v>
      </c>
      <c r="C2013" s="23" t="s">
        <v>1957</v>
      </c>
    </row>
    <row r="2014" spans="1:3" ht="17.649999999999999" x14ac:dyDescent="0.5">
      <c r="A2014" s="19"/>
      <c r="B2014" s="2">
        <v>71393</v>
      </c>
      <c r="C2014" s="23" t="s">
        <v>1406</v>
      </c>
    </row>
    <row r="2015" spans="1:3" ht="17.649999999999999" x14ac:dyDescent="0.5">
      <c r="A2015" s="19"/>
      <c r="B2015" s="2">
        <v>713930</v>
      </c>
      <c r="C2015" s="23" t="s">
        <v>1958</v>
      </c>
    </row>
    <row r="2016" spans="1:3" ht="17.649999999999999" x14ac:dyDescent="0.5">
      <c r="A2016" s="19"/>
      <c r="B2016" s="2">
        <v>71394</v>
      </c>
      <c r="C2016" s="23" t="s">
        <v>1407</v>
      </c>
    </row>
    <row r="2017" spans="1:3" ht="17.649999999999999" x14ac:dyDescent="0.5">
      <c r="A2017" s="19"/>
      <c r="B2017" s="2">
        <v>713940</v>
      </c>
      <c r="C2017" s="2" t="s">
        <v>130</v>
      </c>
    </row>
    <row r="2018" spans="1:3" ht="17.649999999999999" x14ac:dyDescent="0.5">
      <c r="A2018" s="19"/>
      <c r="B2018" s="2">
        <v>71395</v>
      </c>
      <c r="C2018" s="23" t="s">
        <v>1408</v>
      </c>
    </row>
    <row r="2019" spans="1:3" ht="17.649999999999999" x14ac:dyDescent="0.5">
      <c r="A2019" s="19"/>
      <c r="B2019" s="2">
        <v>713950</v>
      </c>
      <c r="C2019" s="23" t="s">
        <v>1959</v>
      </c>
    </row>
    <row r="2020" spans="1:3" ht="17.649999999999999" x14ac:dyDescent="0.5">
      <c r="A2020" s="19"/>
      <c r="B2020" s="2">
        <v>71399</v>
      </c>
      <c r="C2020" s="23" t="s">
        <v>1409</v>
      </c>
    </row>
    <row r="2021" spans="1:3" ht="17.649999999999999" x14ac:dyDescent="0.5">
      <c r="A2021" s="19"/>
      <c r="B2021" s="2">
        <v>713990</v>
      </c>
      <c r="C2021" s="2" t="s">
        <v>131</v>
      </c>
    </row>
    <row r="2022" spans="1:3" ht="17.649999999999999" x14ac:dyDescent="0.5">
      <c r="A2022" s="19"/>
      <c r="B2022" s="2"/>
      <c r="C2022" s="2"/>
    </row>
    <row r="2023" spans="1:3" ht="20.25" x14ac:dyDescent="0.35">
      <c r="A2023" s="11"/>
      <c r="B2023" s="14">
        <v>72</v>
      </c>
      <c r="C2023" s="14" t="s">
        <v>1715</v>
      </c>
    </row>
    <row r="2024" spans="1:3" ht="17.649999999999999" x14ac:dyDescent="0.5">
      <c r="A2024" s="19"/>
      <c r="B2024" s="5">
        <v>721</v>
      </c>
      <c r="C2024" s="5" t="s">
        <v>1716</v>
      </c>
    </row>
    <row r="2025" spans="1:3" ht="17.649999999999999" x14ac:dyDescent="0.5">
      <c r="A2025" s="19"/>
      <c r="B2025" s="6">
        <v>7211</v>
      </c>
      <c r="C2025" s="6" t="s">
        <v>1717</v>
      </c>
    </row>
    <row r="2026" spans="1:3" ht="17.649999999999999" x14ac:dyDescent="0.5">
      <c r="A2026" s="19"/>
      <c r="B2026" s="2">
        <v>72111</v>
      </c>
      <c r="C2026" s="23" t="s">
        <v>1410</v>
      </c>
    </row>
    <row r="2027" spans="1:3" ht="17.649999999999999" x14ac:dyDescent="0.5">
      <c r="A2027" s="19"/>
      <c r="B2027" s="2">
        <v>721110</v>
      </c>
      <c r="C2027" s="2" t="s">
        <v>132</v>
      </c>
    </row>
    <row r="2028" spans="1:3" ht="17.649999999999999" x14ac:dyDescent="0.5">
      <c r="A2028" s="19"/>
      <c r="B2028" s="2">
        <v>72112</v>
      </c>
      <c r="C2028" s="23" t="s">
        <v>1411</v>
      </c>
    </row>
    <row r="2029" spans="1:3" ht="17.649999999999999" x14ac:dyDescent="0.5">
      <c r="A2029" s="19"/>
      <c r="B2029" s="2">
        <v>721120</v>
      </c>
      <c r="C2029" s="23" t="s">
        <v>1960</v>
      </c>
    </row>
    <row r="2030" spans="1:3" ht="17.649999999999999" x14ac:dyDescent="0.5">
      <c r="A2030" s="19"/>
      <c r="B2030" s="2">
        <v>72119</v>
      </c>
      <c r="C2030" s="23" t="s">
        <v>1412</v>
      </c>
    </row>
    <row r="2031" spans="1:3" ht="17.649999999999999" x14ac:dyDescent="0.5">
      <c r="A2031" s="19"/>
      <c r="B2031" s="2">
        <v>721191</v>
      </c>
      <c r="C2031" s="2" t="s">
        <v>396</v>
      </c>
    </row>
    <row r="2032" spans="1:3" ht="17.649999999999999" x14ac:dyDescent="0.5">
      <c r="A2032" s="19"/>
      <c r="B2032" s="2">
        <v>721199</v>
      </c>
      <c r="C2032" s="2" t="s">
        <v>930</v>
      </c>
    </row>
    <row r="2033" spans="1:3" ht="17.649999999999999" x14ac:dyDescent="0.5">
      <c r="A2033" s="19"/>
      <c r="B2033" s="6">
        <v>7212</v>
      </c>
      <c r="C2033" s="6" t="s">
        <v>1718</v>
      </c>
    </row>
    <row r="2034" spans="1:3" ht="17.649999999999999" x14ac:dyDescent="0.5">
      <c r="A2034" s="19"/>
      <c r="B2034" s="2">
        <v>72121</v>
      </c>
      <c r="C2034" s="23" t="s">
        <v>1413</v>
      </c>
    </row>
    <row r="2035" spans="1:3" ht="17.649999999999999" x14ac:dyDescent="0.5">
      <c r="A2035" s="19"/>
      <c r="B2035" s="2">
        <v>721211</v>
      </c>
      <c r="C2035" s="2" t="s">
        <v>397</v>
      </c>
    </row>
    <row r="2036" spans="1:3" ht="17.649999999999999" x14ac:dyDescent="0.5">
      <c r="A2036" s="19"/>
      <c r="B2036" s="2">
        <v>721214</v>
      </c>
      <c r="C2036" s="2" t="s">
        <v>931</v>
      </c>
    </row>
    <row r="2037" spans="1:3" ht="17.649999999999999" x14ac:dyDescent="0.5">
      <c r="A2037" s="19"/>
      <c r="B2037" s="6">
        <v>7213</v>
      </c>
      <c r="C2037" s="6" t="s">
        <v>1719</v>
      </c>
    </row>
    <row r="2038" spans="1:3" ht="17.649999999999999" x14ac:dyDescent="0.5">
      <c r="A2038" s="19"/>
      <c r="B2038" s="2">
        <v>72131</v>
      </c>
      <c r="C2038" s="23" t="s">
        <v>1414</v>
      </c>
    </row>
    <row r="2039" spans="1:3" ht="17.649999999999999" x14ac:dyDescent="0.5">
      <c r="A2039" s="19"/>
      <c r="B2039" s="2">
        <v>721310</v>
      </c>
      <c r="C2039" s="2" t="s">
        <v>133</v>
      </c>
    </row>
    <row r="2040" spans="1:3" ht="17.649999999999999" x14ac:dyDescent="0.5">
      <c r="A2040" s="19"/>
      <c r="B2040" s="5">
        <v>722</v>
      </c>
      <c r="C2040" s="5" t="s">
        <v>1720</v>
      </c>
    </row>
    <row r="2041" spans="1:3" ht="17.649999999999999" x14ac:dyDescent="0.5">
      <c r="A2041" s="19"/>
      <c r="B2041" s="6">
        <v>7223</v>
      </c>
      <c r="C2041" s="6" t="s">
        <v>1721</v>
      </c>
    </row>
    <row r="2042" spans="1:3" ht="17.649999999999999" x14ac:dyDescent="0.5">
      <c r="A2042" s="19"/>
      <c r="B2042" s="2">
        <v>72231</v>
      </c>
      <c r="C2042" s="23" t="s">
        <v>1415</v>
      </c>
    </row>
    <row r="2043" spans="1:3" ht="17.649999999999999" x14ac:dyDescent="0.5">
      <c r="A2043" s="19"/>
      <c r="B2043" s="2">
        <v>722310</v>
      </c>
      <c r="C2043" s="23" t="s">
        <v>1961</v>
      </c>
    </row>
    <row r="2044" spans="1:3" ht="17.649999999999999" x14ac:dyDescent="0.5">
      <c r="A2044" s="19"/>
      <c r="B2044" s="2">
        <v>72232</v>
      </c>
      <c r="C2044" s="23" t="s">
        <v>1416</v>
      </c>
    </row>
    <row r="2045" spans="1:3" ht="17.649999999999999" x14ac:dyDescent="0.5">
      <c r="A2045" s="19"/>
      <c r="B2045" s="2">
        <v>722320</v>
      </c>
      <c r="C2045" s="23" t="s">
        <v>1962</v>
      </c>
    </row>
    <row r="2046" spans="1:3" ht="17.649999999999999" x14ac:dyDescent="0.5">
      <c r="A2046" s="19"/>
      <c r="B2046" s="2">
        <v>72233</v>
      </c>
      <c r="C2046" s="23" t="s">
        <v>1417</v>
      </c>
    </row>
    <row r="2047" spans="1:3" ht="17.649999999999999" x14ac:dyDescent="0.5">
      <c r="A2047" s="19"/>
      <c r="B2047" s="2">
        <v>722330</v>
      </c>
      <c r="C2047" s="23" t="s">
        <v>1963</v>
      </c>
    </row>
    <row r="2048" spans="1:3" ht="17.649999999999999" x14ac:dyDescent="0.5">
      <c r="A2048" s="19"/>
      <c r="B2048" s="6">
        <v>7224</v>
      </c>
      <c r="C2048" s="6" t="s">
        <v>1722</v>
      </c>
    </row>
    <row r="2049" spans="1:3" ht="17.649999999999999" x14ac:dyDescent="0.5">
      <c r="A2049" s="19"/>
      <c r="B2049" s="2">
        <v>72241</v>
      </c>
      <c r="C2049" s="23" t="s">
        <v>1418</v>
      </c>
    </row>
    <row r="2050" spans="1:3" ht="17.649999999999999" x14ac:dyDescent="0.5">
      <c r="A2050" s="19"/>
      <c r="B2050" s="2">
        <v>722410</v>
      </c>
      <c r="C2050" s="2" t="s">
        <v>134</v>
      </c>
    </row>
    <row r="2051" spans="1:3" ht="17.649999999999999" x14ac:dyDescent="0.5">
      <c r="A2051" s="19" t="s">
        <v>139</v>
      </c>
      <c r="B2051" s="6">
        <v>7225</v>
      </c>
      <c r="C2051" s="6" t="s">
        <v>1754</v>
      </c>
    </row>
    <row r="2052" spans="1:3" ht="17.649999999999999" x14ac:dyDescent="0.5">
      <c r="A2052" s="19" t="s">
        <v>139</v>
      </c>
      <c r="B2052" s="2">
        <v>72251</v>
      </c>
      <c r="C2052" s="23" t="s">
        <v>1755</v>
      </c>
    </row>
    <row r="2053" spans="1:3" ht="17.649999999999999" x14ac:dyDescent="0.5">
      <c r="A2053" s="19" t="s">
        <v>139</v>
      </c>
      <c r="B2053" s="2">
        <v>722511</v>
      </c>
      <c r="C2053" s="2" t="s">
        <v>135</v>
      </c>
    </row>
    <row r="2054" spans="1:3" ht="17.649999999999999" x14ac:dyDescent="0.5">
      <c r="A2054" s="19" t="s">
        <v>139</v>
      </c>
      <c r="B2054" s="2">
        <v>722513</v>
      </c>
      <c r="C2054" s="2" t="s">
        <v>932</v>
      </c>
    </row>
    <row r="2055" spans="1:3" ht="17.649999999999999" x14ac:dyDescent="0.5">
      <c r="A2055" s="19" t="s">
        <v>139</v>
      </c>
      <c r="B2055" s="2">
        <v>722514</v>
      </c>
      <c r="C2055" s="2" t="s">
        <v>933</v>
      </c>
    </row>
    <row r="2056" spans="1:3" ht="17.649999999999999" x14ac:dyDescent="0.5">
      <c r="A2056" s="19" t="s">
        <v>139</v>
      </c>
      <c r="B2056" s="2">
        <v>722515</v>
      </c>
      <c r="C2056" s="2" t="s">
        <v>934</v>
      </c>
    </row>
    <row r="2057" spans="1:3" ht="17.649999999999999" x14ac:dyDescent="0.5">
      <c r="A2057" s="19"/>
      <c r="B2057" s="2"/>
      <c r="C2057" s="2"/>
    </row>
    <row r="2058" spans="1:3" ht="20.25" x14ac:dyDescent="0.35">
      <c r="A2058" s="11"/>
      <c r="B2058" s="14">
        <v>81</v>
      </c>
      <c r="C2058" s="14" t="s">
        <v>1723</v>
      </c>
    </row>
    <row r="2059" spans="1:3" ht="17.649999999999999" x14ac:dyDescent="0.5">
      <c r="A2059" s="19"/>
      <c r="B2059" s="5">
        <v>811</v>
      </c>
      <c r="C2059" s="5" t="s">
        <v>1724</v>
      </c>
    </row>
    <row r="2060" spans="1:3" ht="17.649999999999999" x14ac:dyDescent="0.5">
      <c r="A2060" s="19"/>
      <c r="B2060" s="6">
        <v>8111</v>
      </c>
      <c r="C2060" s="6" t="s">
        <v>1725</v>
      </c>
    </row>
    <row r="2061" spans="1:3" ht="17.649999999999999" x14ac:dyDescent="0.5">
      <c r="A2061" s="19"/>
      <c r="B2061" s="2">
        <v>81111</v>
      </c>
      <c r="C2061" s="23" t="s">
        <v>1419</v>
      </c>
    </row>
    <row r="2062" spans="1:3" ht="17.649999999999999" x14ac:dyDescent="0.5">
      <c r="A2062" s="19"/>
      <c r="B2062" s="2">
        <v>811111</v>
      </c>
      <c r="C2062" s="2" t="s">
        <v>398</v>
      </c>
    </row>
    <row r="2063" spans="1:3" ht="17.649999999999999" x14ac:dyDescent="0.5">
      <c r="A2063" s="19"/>
      <c r="B2063" s="2">
        <v>811112</v>
      </c>
      <c r="C2063" s="2" t="s">
        <v>399</v>
      </c>
    </row>
    <row r="2064" spans="1:3" ht="17.649999999999999" x14ac:dyDescent="0.5">
      <c r="A2064" s="19"/>
      <c r="B2064" s="2">
        <v>811113</v>
      </c>
      <c r="C2064" s="2" t="s">
        <v>935</v>
      </c>
    </row>
    <row r="2065" spans="1:3" ht="17.649999999999999" x14ac:dyDescent="0.5">
      <c r="A2065" s="19"/>
      <c r="B2065" s="2">
        <v>811118</v>
      </c>
      <c r="C2065" s="2" t="s">
        <v>936</v>
      </c>
    </row>
    <row r="2066" spans="1:3" ht="17.649999999999999" x14ac:dyDescent="0.5">
      <c r="A2066" s="19"/>
      <c r="B2066" s="2">
        <v>81112</v>
      </c>
      <c r="C2066" s="23" t="s">
        <v>1420</v>
      </c>
    </row>
    <row r="2067" spans="1:3" ht="17.649999999999999" x14ac:dyDescent="0.5">
      <c r="A2067" s="19"/>
      <c r="B2067" s="2">
        <v>811121</v>
      </c>
      <c r="C2067" s="2" t="s">
        <v>400</v>
      </c>
    </row>
    <row r="2068" spans="1:3" ht="17.649999999999999" x14ac:dyDescent="0.5">
      <c r="A2068" s="19"/>
      <c r="B2068" s="2">
        <v>811122</v>
      </c>
      <c r="C2068" s="2" t="s">
        <v>401</v>
      </c>
    </row>
    <row r="2069" spans="1:3" ht="17.649999999999999" x14ac:dyDescent="0.5">
      <c r="A2069" s="19"/>
      <c r="B2069" s="2">
        <v>81119</v>
      </c>
      <c r="C2069" s="23" t="s">
        <v>1421</v>
      </c>
    </row>
    <row r="2070" spans="1:3" ht="17.649999999999999" x14ac:dyDescent="0.5">
      <c r="A2070" s="19"/>
      <c r="B2070" s="2">
        <v>811191</v>
      </c>
      <c r="C2070" s="2" t="s">
        <v>937</v>
      </c>
    </row>
    <row r="2071" spans="1:3" ht="17.649999999999999" x14ac:dyDescent="0.5">
      <c r="A2071" s="19"/>
      <c r="B2071" s="2">
        <v>811192</v>
      </c>
      <c r="C2071" s="2" t="s">
        <v>402</v>
      </c>
    </row>
    <row r="2072" spans="1:3" ht="17.649999999999999" x14ac:dyDescent="0.5">
      <c r="A2072" s="19"/>
      <c r="B2072" s="2">
        <v>811198</v>
      </c>
      <c r="C2072" s="2" t="s">
        <v>938</v>
      </c>
    </row>
    <row r="2073" spans="1:3" ht="17.649999999999999" x14ac:dyDescent="0.5">
      <c r="A2073" s="19"/>
      <c r="B2073" s="6">
        <v>8112</v>
      </c>
      <c r="C2073" s="6" t="s">
        <v>1726</v>
      </c>
    </row>
    <row r="2074" spans="1:3" ht="17.649999999999999" x14ac:dyDescent="0.5">
      <c r="A2074" s="19"/>
      <c r="B2074" s="2">
        <v>81121</v>
      </c>
      <c r="C2074" s="23" t="s">
        <v>1422</v>
      </c>
    </row>
    <row r="2075" spans="1:3" ht="17.649999999999999" x14ac:dyDescent="0.5">
      <c r="A2075" s="19"/>
      <c r="B2075" s="2">
        <v>811211</v>
      </c>
      <c r="C2075" s="2" t="s">
        <v>451</v>
      </c>
    </row>
    <row r="2076" spans="1:3" ht="17.649999999999999" x14ac:dyDescent="0.5">
      <c r="A2076" s="19"/>
      <c r="B2076" s="2">
        <v>811212</v>
      </c>
      <c r="C2076" s="2" t="s">
        <v>452</v>
      </c>
    </row>
    <row r="2077" spans="1:3" ht="17.649999999999999" x14ac:dyDescent="0.5">
      <c r="A2077" s="19"/>
      <c r="B2077" s="2">
        <v>811213</v>
      </c>
      <c r="C2077" s="2" t="s">
        <v>453</v>
      </c>
    </row>
    <row r="2078" spans="1:3" ht="17.649999999999999" x14ac:dyDescent="0.5">
      <c r="A2078" s="19"/>
      <c r="B2078" s="2">
        <v>811219</v>
      </c>
      <c r="C2078" s="2" t="s">
        <v>454</v>
      </c>
    </row>
    <row r="2079" spans="1:3" ht="28.15" x14ac:dyDescent="0.5">
      <c r="A2079" s="19"/>
      <c r="B2079" s="6">
        <v>8113</v>
      </c>
      <c r="C2079" s="6" t="s">
        <v>1727</v>
      </c>
    </row>
    <row r="2080" spans="1:3" ht="27" x14ac:dyDescent="0.5">
      <c r="A2080" s="19"/>
      <c r="B2080" s="2">
        <v>81131</v>
      </c>
      <c r="C2080" s="23" t="s">
        <v>1423</v>
      </c>
    </row>
    <row r="2081" spans="1:3" ht="25.5" x14ac:dyDescent="0.5">
      <c r="A2081" s="19"/>
      <c r="B2081" s="2">
        <v>811310</v>
      </c>
      <c r="C2081" s="2" t="s">
        <v>136</v>
      </c>
    </row>
    <row r="2082" spans="1:3" ht="17.649999999999999" x14ac:dyDescent="0.5">
      <c r="A2082" s="19"/>
      <c r="B2082" s="6">
        <v>8114</v>
      </c>
      <c r="C2082" s="6" t="s">
        <v>1728</v>
      </c>
    </row>
    <row r="2083" spans="1:3" ht="17.649999999999999" x14ac:dyDescent="0.5">
      <c r="A2083" s="19"/>
      <c r="B2083" s="2">
        <v>81141</v>
      </c>
      <c r="C2083" s="23" t="s">
        <v>1424</v>
      </c>
    </row>
    <row r="2084" spans="1:3" ht="17.649999999999999" x14ac:dyDescent="0.5">
      <c r="A2084" s="19"/>
      <c r="B2084" s="2">
        <v>811411</v>
      </c>
      <c r="C2084" s="2" t="s">
        <v>403</v>
      </c>
    </row>
    <row r="2085" spans="1:3" ht="17.649999999999999" x14ac:dyDescent="0.5">
      <c r="A2085" s="19"/>
      <c r="B2085" s="2">
        <v>811412</v>
      </c>
      <c r="C2085" s="2" t="s">
        <v>404</v>
      </c>
    </row>
    <row r="2086" spans="1:3" ht="17.649999999999999" x14ac:dyDescent="0.5">
      <c r="A2086" s="19"/>
      <c r="B2086" s="2">
        <v>81142</v>
      </c>
      <c r="C2086" s="23" t="s">
        <v>1425</v>
      </c>
    </row>
    <row r="2087" spans="1:3" ht="17.649999999999999" x14ac:dyDescent="0.5">
      <c r="A2087" s="19"/>
      <c r="B2087" s="2">
        <v>811420</v>
      </c>
      <c r="C2087" s="23" t="s">
        <v>1964</v>
      </c>
    </row>
    <row r="2088" spans="1:3" ht="17.649999999999999" x14ac:dyDescent="0.5">
      <c r="A2088" s="19"/>
      <c r="B2088" s="2">
        <v>81143</v>
      </c>
      <c r="C2088" s="23" t="s">
        <v>1426</v>
      </c>
    </row>
    <row r="2089" spans="1:3" ht="17.649999999999999" x14ac:dyDescent="0.5">
      <c r="A2089" s="19"/>
      <c r="B2089" s="2">
        <v>811430</v>
      </c>
      <c r="C2089" s="23" t="s">
        <v>1965</v>
      </c>
    </row>
    <row r="2090" spans="1:3" ht="17.649999999999999" x14ac:dyDescent="0.5">
      <c r="A2090" s="19"/>
      <c r="B2090" s="2">
        <v>81149</v>
      </c>
      <c r="C2090" s="23" t="s">
        <v>1427</v>
      </c>
    </row>
    <row r="2091" spans="1:3" ht="17.649999999999999" x14ac:dyDescent="0.5">
      <c r="A2091" s="19"/>
      <c r="B2091" s="2">
        <v>811490</v>
      </c>
      <c r="C2091" s="2" t="s">
        <v>137</v>
      </c>
    </row>
    <row r="2092" spans="1:3" ht="17.649999999999999" x14ac:dyDescent="0.5">
      <c r="A2092" s="19"/>
      <c r="B2092" s="5">
        <v>812</v>
      </c>
      <c r="C2092" s="5" t="s">
        <v>1428</v>
      </c>
    </row>
    <row r="2093" spans="1:3" ht="17.649999999999999" x14ac:dyDescent="0.5">
      <c r="A2093" s="19"/>
      <c r="B2093" s="6">
        <v>8121</v>
      </c>
      <c r="C2093" s="6" t="s">
        <v>405</v>
      </c>
    </row>
    <row r="2094" spans="1:3" ht="17.649999999999999" x14ac:dyDescent="0.5">
      <c r="A2094" s="19"/>
      <c r="B2094" s="2">
        <v>81211</v>
      </c>
      <c r="C2094" s="2" t="s">
        <v>406</v>
      </c>
    </row>
    <row r="2095" spans="1:3" ht="17.649999999999999" x14ac:dyDescent="0.5">
      <c r="A2095" s="19"/>
      <c r="B2095" s="2">
        <v>812111</v>
      </c>
      <c r="C2095" s="2" t="s">
        <v>455</v>
      </c>
    </row>
    <row r="2096" spans="1:3" ht="17.649999999999999" x14ac:dyDescent="0.5">
      <c r="A2096" s="19"/>
      <c r="B2096" s="2">
        <v>812112</v>
      </c>
      <c r="C2096" s="2" t="s">
        <v>456</v>
      </c>
    </row>
    <row r="2097" spans="1:3" ht="17.649999999999999" x14ac:dyDescent="0.5">
      <c r="A2097" s="19"/>
      <c r="B2097" s="2">
        <v>812113</v>
      </c>
      <c r="C2097" s="2" t="s">
        <v>457</v>
      </c>
    </row>
    <row r="2098" spans="1:3" ht="17.649999999999999" x14ac:dyDescent="0.5">
      <c r="A2098" s="19"/>
      <c r="B2098" s="2">
        <v>81219</v>
      </c>
      <c r="C2098" s="2" t="s">
        <v>407</v>
      </c>
    </row>
    <row r="2099" spans="1:3" ht="17.649999999999999" x14ac:dyDescent="0.5">
      <c r="A2099" s="19"/>
      <c r="B2099" s="2">
        <v>812191</v>
      </c>
      <c r="C2099" s="2" t="s">
        <v>458</v>
      </c>
    </row>
    <row r="2100" spans="1:3" ht="17.649999999999999" x14ac:dyDescent="0.5">
      <c r="A2100" s="19"/>
      <c r="B2100" s="2">
        <v>812199</v>
      </c>
      <c r="C2100" s="2" t="s">
        <v>407</v>
      </c>
    </row>
    <row r="2101" spans="1:3" ht="17.649999999999999" x14ac:dyDescent="0.5">
      <c r="A2101" s="19"/>
      <c r="B2101" s="6">
        <v>8122</v>
      </c>
      <c r="C2101" s="6" t="s">
        <v>408</v>
      </c>
    </row>
    <row r="2102" spans="1:3" ht="17.649999999999999" x14ac:dyDescent="0.5">
      <c r="A2102" s="19"/>
      <c r="B2102" s="2">
        <v>81221</v>
      </c>
      <c r="C2102" s="2" t="s">
        <v>409</v>
      </c>
    </row>
    <row r="2103" spans="1:3" ht="17.649999999999999" x14ac:dyDescent="0.5">
      <c r="A2103" s="19"/>
      <c r="B2103" s="2">
        <v>812210</v>
      </c>
      <c r="C2103" s="2" t="s">
        <v>409</v>
      </c>
    </row>
    <row r="2104" spans="1:3" ht="17.649999999999999" x14ac:dyDescent="0.5">
      <c r="A2104" s="19"/>
      <c r="B2104" s="2">
        <v>81222</v>
      </c>
      <c r="C2104" s="2" t="s">
        <v>410</v>
      </c>
    </row>
    <row r="2105" spans="1:3" ht="17.649999999999999" x14ac:dyDescent="0.5">
      <c r="A2105" s="19"/>
      <c r="B2105" s="2">
        <v>812220</v>
      </c>
      <c r="C2105" s="2" t="s">
        <v>410</v>
      </c>
    </row>
    <row r="2106" spans="1:3" ht="17.649999999999999" x14ac:dyDescent="0.5">
      <c r="A2106" s="19"/>
      <c r="B2106" s="6">
        <v>8123</v>
      </c>
      <c r="C2106" s="6" t="s">
        <v>411</v>
      </c>
    </row>
    <row r="2107" spans="1:3" ht="17.649999999999999" x14ac:dyDescent="0.5">
      <c r="A2107" s="19"/>
      <c r="B2107" s="2">
        <v>81231</v>
      </c>
      <c r="C2107" s="2" t="s">
        <v>412</v>
      </c>
    </row>
    <row r="2108" spans="1:3" ht="17.649999999999999" x14ac:dyDescent="0.5">
      <c r="A2108" s="19"/>
      <c r="B2108" s="2">
        <v>812310</v>
      </c>
      <c r="C2108" s="2" t="s">
        <v>412</v>
      </c>
    </row>
    <row r="2109" spans="1:3" ht="17.649999999999999" x14ac:dyDescent="0.5">
      <c r="A2109" s="19"/>
      <c r="B2109" s="2">
        <v>81232</v>
      </c>
      <c r="C2109" s="2" t="s">
        <v>413</v>
      </c>
    </row>
    <row r="2110" spans="1:3" ht="17.649999999999999" x14ac:dyDescent="0.5">
      <c r="A2110" s="19"/>
      <c r="B2110" s="2">
        <v>812320</v>
      </c>
      <c r="C2110" s="2" t="s">
        <v>413</v>
      </c>
    </row>
    <row r="2111" spans="1:3" ht="17.649999999999999" x14ac:dyDescent="0.5">
      <c r="A2111" s="19"/>
      <c r="B2111" s="2">
        <v>81233</v>
      </c>
      <c r="C2111" s="2" t="s">
        <v>414</v>
      </c>
    </row>
    <row r="2112" spans="1:3" ht="17.649999999999999" x14ac:dyDescent="0.5">
      <c r="A2112" s="19"/>
      <c r="B2112" s="2">
        <v>812331</v>
      </c>
      <c r="C2112" s="2" t="s">
        <v>459</v>
      </c>
    </row>
    <row r="2113" spans="1:3" ht="17.649999999999999" x14ac:dyDescent="0.5">
      <c r="A2113" s="19"/>
      <c r="B2113" s="2">
        <v>812332</v>
      </c>
      <c r="C2113" s="23" t="s">
        <v>944</v>
      </c>
    </row>
    <row r="2114" spans="1:3" ht="17.649999999999999" x14ac:dyDescent="0.5">
      <c r="A2114" s="19"/>
      <c r="B2114" s="6">
        <v>8129</v>
      </c>
      <c r="C2114" s="6" t="s">
        <v>415</v>
      </c>
    </row>
    <row r="2115" spans="1:3" ht="17.649999999999999" x14ac:dyDescent="0.5">
      <c r="A2115" s="19"/>
      <c r="B2115" s="2">
        <v>81291</v>
      </c>
      <c r="C2115" s="2" t="s">
        <v>416</v>
      </c>
    </row>
    <row r="2116" spans="1:3" ht="17.649999999999999" x14ac:dyDescent="0.5">
      <c r="A2116" s="19"/>
      <c r="B2116" s="2">
        <v>812910</v>
      </c>
      <c r="C2116" s="2" t="s">
        <v>416</v>
      </c>
    </row>
    <row r="2117" spans="1:3" ht="17.649999999999999" x14ac:dyDescent="0.5">
      <c r="A2117" s="19"/>
      <c r="B2117" s="2">
        <v>81292</v>
      </c>
      <c r="C2117" s="2" t="s">
        <v>417</v>
      </c>
    </row>
    <row r="2118" spans="1:3" ht="17.649999999999999" x14ac:dyDescent="0.5">
      <c r="A2118" s="19"/>
      <c r="B2118" s="2">
        <v>812921</v>
      </c>
      <c r="C2118" s="2" t="s">
        <v>418</v>
      </c>
    </row>
    <row r="2119" spans="1:3" ht="17.649999999999999" x14ac:dyDescent="0.5">
      <c r="A2119" s="19"/>
      <c r="B2119" s="2">
        <v>812922</v>
      </c>
      <c r="C2119" s="2" t="s">
        <v>419</v>
      </c>
    </row>
    <row r="2120" spans="1:3" ht="17.649999999999999" x14ac:dyDescent="0.5">
      <c r="A2120" s="19"/>
      <c r="B2120" s="2">
        <v>81293</v>
      </c>
      <c r="C2120" s="2" t="s">
        <v>420</v>
      </c>
    </row>
    <row r="2121" spans="1:3" ht="17.649999999999999" x14ac:dyDescent="0.5">
      <c r="A2121" s="19"/>
      <c r="B2121" s="2">
        <v>812930</v>
      </c>
      <c r="C2121" s="2" t="s">
        <v>420</v>
      </c>
    </row>
    <row r="2122" spans="1:3" ht="17.649999999999999" x14ac:dyDescent="0.5">
      <c r="A2122" s="19"/>
      <c r="B2122" s="2">
        <v>81299</v>
      </c>
      <c r="C2122" s="2" t="s">
        <v>421</v>
      </c>
    </row>
    <row r="2123" spans="1:3" ht="17.649999999999999" x14ac:dyDescent="0.5">
      <c r="A2123" s="19"/>
      <c r="B2123" s="2">
        <v>812990</v>
      </c>
      <c r="C2123" s="2" t="s">
        <v>421</v>
      </c>
    </row>
    <row r="2124" spans="1:3" ht="31.9" x14ac:dyDescent="0.5">
      <c r="A2124" s="19"/>
      <c r="B2124" s="5">
        <v>813</v>
      </c>
      <c r="C2124" s="5" t="s">
        <v>1429</v>
      </c>
    </row>
    <row r="2125" spans="1:3" ht="17.649999999999999" x14ac:dyDescent="0.5">
      <c r="A2125" s="19"/>
      <c r="B2125" s="6">
        <v>8131</v>
      </c>
      <c r="C2125" s="6" t="s">
        <v>422</v>
      </c>
    </row>
    <row r="2126" spans="1:3" ht="17.649999999999999" x14ac:dyDescent="0.5">
      <c r="A2126" s="19"/>
      <c r="B2126" s="2">
        <v>81311</v>
      </c>
      <c r="C2126" s="2" t="s">
        <v>422</v>
      </c>
    </row>
    <row r="2127" spans="1:3" ht="17.649999999999999" x14ac:dyDescent="0.5">
      <c r="A2127" s="19"/>
      <c r="B2127" s="2">
        <v>813110</v>
      </c>
      <c r="C2127" s="2" t="s">
        <v>422</v>
      </c>
    </row>
    <row r="2128" spans="1:3" ht="17.649999999999999" x14ac:dyDescent="0.5">
      <c r="A2128" s="19"/>
      <c r="B2128" s="6">
        <v>8132</v>
      </c>
      <c r="C2128" s="6" t="s">
        <v>423</v>
      </c>
    </row>
    <row r="2129" spans="1:3" ht="17.649999999999999" x14ac:dyDescent="0.5">
      <c r="A2129" s="19"/>
      <c r="B2129" s="2">
        <v>81321</v>
      </c>
      <c r="C2129" s="2" t="s">
        <v>423</v>
      </c>
    </row>
    <row r="2130" spans="1:3" ht="17.649999999999999" x14ac:dyDescent="0.5">
      <c r="A2130" s="19"/>
      <c r="B2130" s="2">
        <v>813211</v>
      </c>
      <c r="C2130" s="2" t="s">
        <v>460</v>
      </c>
    </row>
    <row r="2131" spans="1:3" ht="17.649999999999999" x14ac:dyDescent="0.5">
      <c r="A2131" s="19"/>
      <c r="B2131" s="2">
        <v>813212</v>
      </c>
      <c r="C2131" s="2" t="s">
        <v>461</v>
      </c>
    </row>
    <row r="2132" spans="1:3" ht="17.649999999999999" x14ac:dyDescent="0.5">
      <c r="A2132" s="19"/>
      <c r="B2132" s="2">
        <v>813219</v>
      </c>
      <c r="C2132" s="2" t="s">
        <v>462</v>
      </c>
    </row>
    <row r="2133" spans="1:3" ht="17.649999999999999" x14ac:dyDescent="0.5">
      <c r="A2133" s="19"/>
      <c r="B2133" s="6">
        <v>8133</v>
      </c>
      <c r="C2133" s="6" t="s">
        <v>424</v>
      </c>
    </row>
    <row r="2134" spans="1:3" ht="17.649999999999999" x14ac:dyDescent="0.5">
      <c r="A2134" s="19"/>
      <c r="B2134" s="2">
        <v>81331</v>
      </c>
      <c r="C2134" s="2" t="s">
        <v>424</v>
      </c>
    </row>
    <row r="2135" spans="1:3" ht="17.649999999999999" x14ac:dyDescent="0.5">
      <c r="A2135" s="19"/>
      <c r="B2135" s="2">
        <v>813311</v>
      </c>
      <c r="C2135" s="2" t="s">
        <v>463</v>
      </c>
    </row>
    <row r="2136" spans="1:3" ht="17.649999999999999" x14ac:dyDescent="0.5">
      <c r="A2136" s="19"/>
      <c r="B2136" s="2">
        <v>813312</v>
      </c>
      <c r="C2136" s="2" t="s">
        <v>464</v>
      </c>
    </row>
    <row r="2137" spans="1:3" ht="17.649999999999999" x14ac:dyDescent="0.5">
      <c r="A2137" s="19"/>
      <c r="B2137" s="2">
        <v>813319</v>
      </c>
      <c r="C2137" s="2" t="s">
        <v>465</v>
      </c>
    </row>
    <row r="2138" spans="1:3" ht="17.649999999999999" x14ac:dyDescent="0.5">
      <c r="A2138" s="19"/>
      <c r="B2138" s="6">
        <v>8134</v>
      </c>
      <c r="C2138" s="6" t="s">
        <v>425</v>
      </c>
    </row>
    <row r="2139" spans="1:3" ht="17.649999999999999" x14ac:dyDescent="0.5">
      <c r="A2139" s="19"/>
      <c r="B2139" s="2">
        <v>81341</v>
      </c>
      <c r="C2139" s="2" t="s">
        <v>425</v>
      </c>
    </row>
    <row r="2140" spans="1:3" ht="17.649999999999999" x14ac:dyDescent="0.5">
      <c r="A2140" s="19"/>
      <c r="B2140" s="2">
        <v>813410</v>
      </c>
      <c r="C2140" s="2" t="s">
        <v>425</v>
      </c>
    </row>
    <row r="2141" spans="1:3" ht="17.649999999999999" x14ac:dyDescent="0.5">
      <c r="A2141" s="19"/>
      <c r="B2141" s="6">
        <v>8139</v>
      </c>
      <c r="C2141" s="6" t="s">
        <v>426</v>
      </c>
    </row>
    <row r="2142" spans="1:3" ht="17.649999999999999" x14ac:dyDescent="0.5">
      <c r="A2142" s="19"/>
      <c r="B2142" s="2">
        <v>81391</v>
      </c>
      <c r="C2142" s="2" t="s">
        <v>427</v>
      </c>
    </row>
    <row r="2143" spans="1:3" ht="17.649999999999999" x14ac:dyDescent="0.5">
      <c r="A2143" s="19"/>
      <c r="B2143" s="2">
        <v>813910</v>
      </c>
      <c r="C2143" s="2" t="s">
        <v>427</v>
      </c>
    </row>
    <row r="2144" spans="1:3" ht="17.649999999999999" x14ac:dyDescent="0.5">
      <c r="A2144" s="19"/>
      <c r="B2144" s="2">
        <v>81392</v>
      </c>
      <c r="C2144" s="2" t="s">
        <v>428</v>
      </c>
    </row>
    <row r="2145" spans="1:3" ht="17.649999999999999" x14ac:dyDescent="0.5">
      <c r="A2145" s="19"/>
      <c r="B2145" s="2">
        <v>813920</v>
      </c>
      <c r="C2145" s="2" t="s">
        <v>428</v>
      </c>
    </row>
    <row r="2146" spans="1:3" ht="17.649999999999999" x14ac:dyDescent="0.5">
      <c r="A2146" s="19"/>
      <c r="B2146" s="2">
        <v>81393</v>
      </c>
      <c r="C2146" s="2" t="s">
        <v>429</v>
      </c>
    </row>
    <row r="2147" spans="1:3" ht="17.649999999999999" x14ac:dyDescent="0.5">
      <c r="A2147" s="19"/>
      <c r="B2147" s="2">
        <v>813930</v>
      </c>
      <c r="C2147" s="2" t="s">
        <v>429</v>
      </c>
    </row>
    <row r="2148" spans="1:3" ht="17.649999999999999" x14ac:dyDescent="0.5">
      <c r="A2148" s="19"/>
      <c r="B2148" s="2">
        <v>81394</v>
      </c>
      <c r="C2148" s="2" t="s">
        <v>430</v>
      </c>
    </row>
    <row r="2149" spans="1:3" ht="17.649999999999999" x14ac:dyDescent="0.5">
      <c r="A2149" s="19"/>
      <c r="B2149" s="2">
        <v>813940</v>
      </c>
      <c r="C2149" s="2" t="s">
        <v>430</v>
      </c>
    </row>
    <row r="2150" spans="1:3" ht="25.5" x14ac:dyDescent="0.5">
      <c r="A2150" s="19"/>
      <c r="B2150" s="2">
        <v>81399</v>
      </c>
      <c r="C2150" s="2" t="s">
        <v>431</v>
      </c>
    </row>
    <row r="2151" spans="1:3" ht="25.5" x14ac:dyDescent="0.5">
      <c r="A2151" s="19"/>
      <c r="B2151" s="2">
        <v>813990</v>
      </c>
      <c r="C2151" s="2" t="s">
        <v>431</v>
      </c>
    </row>
    <row r="2152" spans="1:3" ht="17.649999999999999" x14ac:dyDescent="0.5">
      <c r="A2152" s="19"/>
      <c r="B2152" s="5">
        <v>814</v>
      </c>
      <c r="C2152" s="5" t="s">
        <v>1729</v>
      </c>
    </row>
    <row r="2153" spans="1:3" ht="17.649999999999999" x14ac:dyDescent="0.5">
      <c r="A2153" s="19"/>
      <c r="B2153" s="6">
        <v>8141</v>
      </c>
      <c r="C2153" s="6" t="s">
        <v>1730</v>
      </c>
    </row>
    <row r="2154" spans="1:3" ht="17.649999999999999" x14ac:dyDescent="0.5">
      <c r="A2154" s="19"/>
      <c r="B2154" s="2">
        <v>81411</v>
      </c>
      <c r="C2154" s="23" t="s">
        <v>1430</v>
      </c>
    </row>
    <row r="2155" spans="1:3" ht="17.649999999999999" x14ac:dyDescent="0.5">
      <c r="A2155" s="19"/>
      <c r="B2155" s="2">
        <v>814110</v>
      </c>
      <c r="C2155" s="23" t="s">
        <v>1966</v>
      </c>
    </row>
    <row r="2156" spans="1:3" ht="17.649999999999999" x14ac:dyDescent="0.5">
      <c r="A2156" s="19"/>
      <c r="B2156" s="2"/>
      <c r="C2156" s="2"/>
    </row>
    <row r="2157" spans="1:3" ht="20.25" x14ac:dyDescent="0.35">
      <c r="A2157" s="11"/>
      <c r="B2157" s="14">
        <v>92</v>
      </c>
      <c r="C2157" s="14" t="s">
        <v>1974</v>
      </c>
    </row>
    <row r="2158" spans="1:3" ht="30" x14ac:dyDescent="0.5">
      <c r="A2158" s="19"/>
      <c r="B2158" s="5">
        <v>921</v>
      </c>
      <c r="C2158" s="5" t="s">
        <v>466</v>
      </c>
    </row>
    <row r="2159" spans="1:3" ht="17.649999999999999" x14ac:dyDescent="0.5">
      <c r="A2159" s="19"/>
      <c r="B2159" s="6">
        <v>9211</v>
      </c>
      <c r="C2159" s="6" t="s">
        <v>466</v>
      </c>
    </row>
    <row r="2160" spans="1:3" ht="17.649999999999999" x14ac:dyDescent="0.5">
      <c r="A2160" s="19"/>
      <c r="B2160" s="2">
        <v>92111</v>
      </c>
      <c r="C2160" s="2" t="s">
        <v>467</v>
      </c>
    </row>
    <row r="2161" spans="1:3" ht="17.649999999999999" x14ac:dyDescent="0.5">
      <c r="A2161" s="19"/>
      <c r="B2161" s="2">
        <v>921110</v>
      </c>
      <c r="C2161" s="2" t="s">
        <v>467</v>
      </c>
    </row>
    <row r="2162" spans="1:3" ht="17.649999999999999" x14ac:dyDescent="0.5">
      <c r="A2162" s="19"/>
      <c r="B2162" s="2">
        <v>92112</v>
      </c>
      <c r="C2162" s="2" t="s">
        <v>468</v>
      </c>
    </row>
    <row r="2163" spans="1:3" ht="17.649999999999999" x14ac:dyDescent="0.5">
      <c r="A2163" s="19"/>
      <c r="B2163" s="2">
        <v>921120</v>
      </c>
      <c r="C2163" s="2" t="s">
        <v>468</v>
      </c>
    </row>
    <row r="2164" spans="1:3" ht="17.649999999999999" x14ac:dyDescent="0.5">
      <c r="A2164" s="19"/>
      <c r="B2164" s="2">
        <v>92113</v>
      </c>
      <c r="C2164" s="2" t="s">
        <v>469</v>
      </c>
    </row>
    <row r="2165" spans="1:3" ht="17.649999999999999" x14ac:dyDescent="0.5">
      <c r="A2165" s="19"/>
      <c r="B2165" s="2">
        <v>921130</v>
      </c>
      <c r="C2165" s="2" t="s">
        <v>469</v>
      </c>
    </row>
    <row r="2166" spans="1:3" ht="17.649999999999999" x14ac:dyDescent="0.5">
      <c r="A2166" s="19"/>
      <c r="B2166" s="2">
        <v>92114</v>
      </c>
      <c r="C2166" s="2" t="s">
        <v>470</v>
      </c>
    </row>
    <row r="2167" spans="1:3" ht="17.649999999999999" x14ac:dyDescent="0.5">
      <c r="A2167" s="19"/>
      <c r="B2167" s="2">
        <v>921140</v>
      </c>
      <c r="C2167" s="2" t="s">
        <v>470</v>
      </c>
    </row>
    <row r="2168" spans="1:3" ht="17.649999999999999" x14ac:dyDescent="0.5">
      <c r="A2168" s="19"/>
      <c r="B2168" s="2">
        <v>92115</v>
      </c>
      <c r="C2168" s="2" t="s">
        <v>471</v>
      </c>
    </row>
    <row r="2169" spans="1:3" ht="17.649999999999999" x14ac:dyDescent="0.5">
      <c r="A2169" s="19"/>
      <c r="B2169" s="2">
        <v>921150</v>
      </c>
      <c r="C2169" s="2" t="s">
        <v>471</v>
      </c>
    </row>
    <row r="2170" spans="1:3" ht="17.649999999999999" x14ac:dyDescent="0.5">
      <c r="A2170" s="19"/>
      <c r="B2170" s="2">
        <v>92119</v>
      </c>
      <c r="C2170" s="2" t="s">
        <v>472</v>
      </c>
    </row>
    <row r="2171" spans="1:3" ht="17.649999999999999" x14ac:dyDescent="0.5">
      <c r="A2171" s="19"/>
      <c r="B2171" s="2">
        <v>921190</v>
      </c>
      <c r="C2171" s="2" t="s">
        <v>472</v>
      </c>
    </row>
    <row r="2172" spans="1:3" ht="17.649999999999999" x14ac:dyDescent="0.5">
      <c r="A2172" s="19"/>
      <c r="B2172" s="5">
        <v>922</v>
      </c>
      <c r="C2172" s="5" t="s">
        <v>473</v>
      </c>
    </row>
    <row r="2173" spans="1:3" ht="17.649999999999999" x14ac:dyDescent="0.5">
      <c r="A2173" s="19"/>
      <c r="B2173" s="6">
        <v>9221</v>
      </c>
      <c r="C2173" s="6" t="s">
        <v>473</v>
      </c>
    </row>
    <row r="2174" spans="1:3" ht="17.649999999999999" x14ac:dyDescent="0.5">
      <c r="A2174" s="19"/>
      <c r="B2174" s="2">
        <v>92211</v>
      </c>
      <c r="C2174" s="2" t="s">
        <v>474</v>
      </c>
    </row>
    <row r="2175" spans="1:3" ht="17.649999999999999" x14ac:dyDescent="0.5">
      <c r="A2175" s="19"/>
      <c r="B2175" s="2">
        <v>922110</v>
      </c>
      <c r="C2175" s="2" t="s">
        <v>474</v>
      </c>
    </row>
    <row r="2176" spans="1:3" ht="17.649999999999999" x14ac:dyDescent="0.5">
      <c r="A2176" s="19"/>
      <c r="B2176" s="2">
        <v>92212</v>
      </c>
      <c r="C2176" s="2" t="s">
        <v>475</v>
      </c>
    </row>
    <row r="2177" spans="1:3" ht="17.649999999999999" x14ac:dyDescent="0.5">
      <c r="A2177" s="19"/>
      <c r="B2177" s="2">
        <v>922120</v>
      </c>
      <c r="C2177" s="2" t="s">
        <v>475</v>
      </c>
    </row>
    <row r="2178" spans="1:3" ht="17.649999999999999" x14ac:dyDescent="0.5">
      <c r="A2178" s="19"/>
      <c r="B2178" s="2">
        <v>92213</v>
      </c>
      <c r="C2178" s="2" t="s">
        <v>476</v>
      </c>
    </row>
    <row r="2179" spans="1:3" ht="17.649999999999999" x14ac:dyDescent="0.5">
      <c r="A2179" s="19"/>
      <c r="B2179" s="2">
        <v>922130</v>
      </c>
      <c r="C2179" s="2" t="s">
        <v>476</v>
      </c>
    </row>
    <row r="2180" spans="1:3" ht="17.649999999999999" x14ac:dyDescent="0.5">
      <c r="A2180" s="19"/>
      <c r="B2180" s="2">
        <v>92214</v>
      </c>
      <c r="C2180" s="2" t="s">
        <v>477</v>
      </c>
    </row>
    <row r="2181" spans="1:3" ht="17.649999999999999" x14ac:dyDescent="0.5">
      <c r="A2181" s="19"/>
      <c r="B2181" s="2">
        <v>922140</v>
      </c>
      <c r="C2181" s="2" t="s">
        <v>477</v>
      </c>
    </row>
    <row r="2182" spans="1:3" ht="17.649999999999999" x14ac:dyDescent="0.5">
      <c r="A2182" s="19"/>
      <c r="B2182" s="2">
        <v>92215</v>
      </c>
      <c r="C2182" s="2" t="s">
        <v>478</v>
      </c>
    </row>
    <row r="2183" spans="1:3" ht="17.649999999999999" x14ac:dyDescent="0.5">
      <c r="A2183" s="19"/>
      <c r="B2183" s="2">
        <v>922150</v>
      </c>
      <c r="C2183" s="2" t="s">
        <v>478</v>
      </c>
    </row>
    <row r="2184" spans="1:3" ht="17.649999999999999" x14ac:dyDescent="0.5">
      <c r="A2184" s="19"/>
      <c r="B2184" s="2">
        <v>92216</v>
      </c>
      <c r="C2184" s="2" t="s">
        <v>479</v>
      </c>
    </row>
    <row r="2185" spans="1:3" ht="17.649999999999999" x14ac:dyDescent="0.5">
      <c r="A2185" s="19"/>
      <c r="B2185" s="2">
        <v>922160</v>
      </c>
      <c r="C2185" s="2" t="s">
        <v>479</v>
      </c>
    </row>
    <row r="2186" spans="1:3" ht="17.649999999999999" x14ac:dyDescent="0.5">
      <c r="A2186" s="19"/>
      <c r="B2186" s="2">
        <v>92219</v>
      </c>
      <c r="C2186" s="23" t="s">
        <v>480</v>
      </c>
    </row>
    <row r="2187" spans="1:3" ht="17.649999999999999" x14ac:dyDescent="0.5">
      <c r="A2187" s="19"/>
      <c r="B2187" s="2">
        <v>922190</v>
      </c>
      <c r="C2187" s="23" t="s">
        <v>480</v>
      </c>
    </row>
    <row r="2188" spans="1:3" ht="17.649999999999999" x14ac:dyDescent="0.5">
      <c r="A2188" s="19"/>
      <c r="B2188" s="5">
        <v>923</v>
      </c>
      <c r="C2188" s="5" t="s">
        <v>481</v>
      </c>
    </row>
    <row r="2189" spans="1:3" ht="17.649999999999999" x14ac:dyDescent="0.5">
      <c r="A2189" s="19"/>
      <c r="B2189" s="6">
        <v>9231</v>
      </c>
      <c r="C2189" s="6" t="s">
        <v>481</v>
      </c>
    </row>
    <row r="2190" spans="1:3" ht="17.649999999999999" x14ac:dyDescent="0.5">
      <c r="A2190" s="19"/>
      <c r="B2190" s="2">
        <v>92311</v>
      </c>
      <c r="C2190" s="2" t="s">
        <v>482</v>
      </c>
    </row>
    <row r="2191" spans="1:3" ht="17.649999999999999" x14ac:dyDescent="0.5">
      <c r="A2191" s="19"/>
      <c r="B2191" s="2">
        <v>923110</v>
      </c>
      <c r="C2191" s="2" t="s">
        <v>482</v>
      </c>
    </row>
    <row r="2192" spans="1:3" ht="17.649999999999999" x14ac:dyDescent="0.5">
      <c r="A2192" s="19"/>
      <c r="B2192" s="2">
        <v>92312</v>
      </c>
      <c r="C2192" s="2" t="s">
        <v>483</v>
      </c>
    </row>
    <row r="2193" spans="1:3" ht="17.649999999999999" x14ac:dyDescent="0.5">
      <c r="A2193" s="19"/>
      <c r="B2193" s="2">
        <v>923120</v>
      </c>
      <c r="C2193" s="2" t="s">
        <v>483</v>
      </c>
    </row>
    <row r="2194" spans="1:3" ht="25.5" x14ac:dyDescent="0.5">
      <c r="A2194" s="19"/>
      <c r="B2194" s="2">
        <v>92313</v>
      </c>
      <c r="C2194" s="2" t="s">
        <v>484</v>
      </c>
    </row>
    <row r="2195" spans="1:3" ht="25.5" x14ac:dyDescent="0.5">
      <c r="A2195" s="19"/>
      <c r="B2195" s="2">
        <v>923130</v>
      </c>
      <c r="C2195" s="2" t="s">
        <v>484</v>
      </c>
    </row>
    <row r="2196" spans="1:3" ht="17.649999999999999" x14ac:dyDescent="0.5">
      <c r="A2196" s="19"/>
      <c r="B2196" s="2">
        <v>92314</v>
      </c>
      <c r="C2196" s="2" t="s">
        <v>485</v>
      </c>
    </row>
    <row r="2197" spans="1:3" ht="17.649999999999999" x14ac:dyDescent="0.5">
      <c r="A2197" s="19"/>
      <c r="B2197" s="2">
        <v>923140</v>
      </c>
      <c r="C2197" s="2" t="s">
        <v>485</v>
      </c>
    </row>
    <row r="2198" spans="1:3" ht="17.649999999999999" x14ac:dyDescent="0.5">
      <c r="A2198" s="19"/>
      <c r="B2198" s="5">
        <v>924</v>
      </c>
      <c r="C2198" s="5" t="s">
        <v>486</v>
      </c>
    </row>
    <row r="2199" spans="1:3" ht="17.649999999999999" x14ac:dyDescent="0.5">
      <c r="A2199" s="19"/>
      <c r="B2199" s="6">
        <v>9241</v>
      </c>
      <c r="C2199" s="6" t="s">
        <v>486</v>
      </c>
    </row>
    <row r="2200" spans="1:3" ht="25.5" x14ac:dyDescent="0.5">
      <c r="A2200" s="19"/>
      <c r="B2200" s="2">
        <v>92411</v>
      </c>
      <c r="C2200" s="2" t="s">
        <v>487</v>
      </c>
    </row>
    <row r="2201" spans="1:3" ht="25.5" x14ac:dyDescent="0.5">
      <c r="A2201" s="19"/>
      <c r="B2201" s="2">
        <v>924110</v>
      </c>
      <c r="C2201" s="2" t="s">
        <v>487</v>
      </c>
    </row>
    <row r="2202" spans="1:3" ht="17.649999999999999" x14ac:dyDescent="0.5">
      <c r="A2202" s="19"/>
      <c r="B2202" s="2">
        <v>92412</v>
      </c>
      <c r="C2202" s="2" t="s">
        <v>488</v>
      </c>
    </row>
    <row r="2203" spans="1:3" ht="17.649999999999999" x14ac:dyDescent="0.5">
      <c r="A2203" s="19"/>
      <c r="B2203" s="2">
        <v>924120</v>
      </c>
      <c r="C2203" s="2" t="s">
        <v>488</v>
      </c>
    </row>
    <row r="2204" spans="1:3" ht="30" x14ac:dyDescent="0.5">
      <c r="A2204" s="19"/>
      <c r="B2204" s="5">
        <v>925</v>
      </c>
      <c r="C2204" s="5" t="s">
        <v>489</v>
      </c>
    </row>
    <row r="2205" spans="1:3" ht="26.25" x14ac:dyDescent="0.5">
      <c r="A2205" s="19"/>
      <c r="B2205" s="6">
        <v>9251</v>
      </c>
      <c r="C2205" s="6" t="s">
        <v>489</v>
      </c>
    </row>
    <row r="2206" spans="1:3" ht="17.649999999999999" x14ac:dyDescent="0.5">
      <c r="A2206" s="19"/>
      <c r="B2206" s="2">
        <v>92511</v>
      </c>
      <c r="C2206" s="23" t="s">
        <v>490</v>
      </c>
    </row>
    <row r="2207" spans="1:3" ht="17.649999999999999" x14ac:dyDescent="0.5">
      <c r="A2207" s="19"/>
      <c r="B2207" s="2">
        <v>925110</v>
      </c>
      <c r="C2207" s="23" t="s">
        <v>490</v>
      </c>
    </row>
    <row r="2208" spans="1:3" ht="17.649999999999999" x14ac:dyDescent="0.5">
      <c r="A2208" s="19"/>
      <c r="B2208" s="2">
        <v>92512</v>
      </c>
      <c r="C2208" s="23" t="s">
        <v>491</v>
      </c>
    </row>
    <row r="2209" spans="1:3" ht="17.649999999999999" x14ac:dyDescent="0.5">
      <c r="A2209" s="19"/>
      <c r="B2209" s="2">
        <v>925120</v>
      </c>
      <c r="C2209" s="23" t="s">
        <v>491</v>
      </c>
    </row>
    <row r="2210" spans="1:3" ht="17.649999999999999" x14ac:dyDescent="0.5">
      <c r="A2210" s="19"/>
      <c r="B2210" s="5">
        <v>926</v>
      </c>
      <c r="C2210" s="5" t="s">
        <v>492</v>
      </c>
    </row>
    <row r="2211" spans="1:3" ht="17.649999999999999" x14ac:dyDescent="0.5">
      <c r="A2211" s="19"/>
      <c r="B2211" s="6">
        <v>9261</v>
      </c>
      <c r="C2211" s="6" t="s">
        <v>492</v>
      </c>
    </row>
    <row r="2212" spans="1:3" ht="17.649999999999999" x14ac:dyDescent="0.5">
      <c r="A2212" s="19"/>
      <c r="B2212" s="2">
        <v>92611</v>
      </c>
      <c r="C2212" s="2" t="s">
        <v>493</v>
      </c>
    </row>
    <row r="2213" spans="1:3" ht="17.649999999999999" x14ac:dyDescent="0.5">
      <c r="A2213" s="19"/>
      <c r="B2213" s="2">
        <v>926110</v>
      </c>
      <c r="C2213" s="2" t="s">
        <v>493</v>
      </c>
    </row>
    <row r="2214" spans="1:3" ht="17.649999999999999" x14ac:dyDescent="0.5">
      <c r="A2214" s="19"/>
      <c r="B2214" s="2">
        <v>92612</v>
      </c>
      <c r="C2214" s="2" t="s">
        <v>494</v>
      </c>
    </row>
    <row r="2215" spans="1:3" ht="17.649999999999999" x14ac:dyDescent="0.5">
      <c r="A2215" s="19"/>
      <c r="B2215" s="2">
        <v>926120</v>
      </c>
      <c r="C2215" s="2" t="s">
        <v>494</v>
      </c>
    </row>
    <row r="2216" spans="1:3" ht="25.5" x14ac:dyDescent="0.5">
      <c r="A2216" s="19"/>
      <c r="B2216" s="2">
        <v>92613</v>
      </c>
      <c r="C2216" s="2" t="s">
        <v>495</v>
      </c>
    </row>
    <row r="2217" spans="1:3" ht="25.5" x14ac:dyDescent="0.5">
      <c r="A2217" s="19"/>
      <c r="B2217" s="2">
        <v>926130</v>
      </c>
      <c r="C2217" s="2" t="s">
        <v>495</v>
      </c>
    </row>
    <row r="2218" spans="1:3" ht="17.649999999999999" x14ac:dyDescent="0.5">
      <c r="A2218" s="19"/>
      <c r="B2218" s="2">
        <v>92614</v>
      </c>
      <c r="C2218" s="2" t="s">
        <v>496</v>
      </c>
    </row>
    <row r="2219" spans="1:3" ht="17.649999999999999" x14ac:dyDescent="0.5">
      <c r="A2219" s="19"/>
      <c r="B2219" s="2">
        <v>926140</v>
      </c>
      <c r="C2219" s="2" t="s">
        <v>496</v>
      </c>
    </row>
    <row r="2220" spans="1:3" ht="25.5" x14ac:dyDescent="0.5">
      <c r="A2220" s="19"/>
      <c r="B2220" s="2">
        <v>92615</v>
      </c>
      <c r="C2220" s="23" t="s">
        <v>497</v>
      </c>
    </row>
    <row r="2221" spans="1:3" ht="25.5" x14ac:dyDescent="0.5">
      <c r="A2221" s="19"/>
      <c r="B2221" s="2">
        <v>926150</v>
      </c>
      <c r="C2221" s="23" t="s">
        <v>497</v>
      </c>
    </row>
    <row r="2222" spans="1:3" ht="17.649999999999999" x14ac:dyDescent="0.5">
      <c r="A2222" s="19"/>
      <c r="B2222" s="5">
        <v>927</v>
      </c>
      <c r="C2222" s="5" t="s">
        <v>498</v>
      </c>
    </row>
    <row r="2223" spans="1:3" ht="17.649999999999999" x14ac:dyDescent="0.5">
      <c r="A2223" s="19"/>
      <c r="B2223" s="6">
        <v>9271</v>
      </c>
      <c r="C2223" s="6" t="s">
        <v>498</v>
      </c>
    </row>
    <row r="2224" spans="1:3" ht="17.649999999999999" x14ac:dyDescent="0.5">
      <c r="A2224" s="19"/>
      <c r="B2224" s="2">
        <v>92711</v>
      </c>
      <c r="C2224" s="2" t="s">
        <v>498</v>
      </c>
    </row>
    <row r="2225" spans="1:3" ht="17.649999999999999" x14ac:dyDescent="0.5">
      <c r="A2225" s="19"/>
      <c r="B2225" s="2">
        <v>927110</v>
      </c>
      <c r="C2225" s="2" t="s">
        <v>498</v>
      </c>
    </row>
    <row r="2226" spans="1:3" ht="17.649999999999999" x14ac:dyDescent="0.5">
      <c r="A2226" s="19"/>
      <c r="B2226" s="5">
        <v>928</v>
      </c>
      <c r="C2226" s="5" t="s">
        <v>499</v>
      </c>
    </row>
    <row r="2227" spans="1:3" ht="17.649999999999999" x14ac:dyDescent="0.5">
      <c r="A2227" s="19"/>
      <c r="B2227" s="6">
        <v>9281</v>
      </c>
      <c r="C2227" s="6" t="s">
        <v>499</v>
      </c>
    </row>
    <row r="2228" spans="1:3" ht="17.649999999999999" x14ac:dyDescent="0.5">
      <c r="A2228" s="19"/>
      <c r="B2228" s="2">
        <v>92811</v>
      </c>
      <c r="C2228" s="2" t="s">
        <v>500</v>
      </c>
    </row>
    <row r="2229" spans="1:3" ht="17.649999999999999" x14ac:dyDescent="0.5">
      <c r="A2229" s="19"/>
      <c r="B2229" s="2">
        <v>928110</v>
      </c>
      <c r="C2229" s="2" t="s">
        <v>500</v>
      </c>
    </row>
    <row r="2230" spans="1:3" ht="17.649999999999999" x14ac:dyDescent="0.5">
      <c r="A2230" s="19"/>
      <c r="B2230" s="2">
        <v>92812</v>
      </c>
      <c r="C2230" s="2" t="s">
        <v>501</v>
      </c>
    </row>
    <row r="2231" spans="1:3" ht="17.649999999999999" x14ac:dyDescent="0.5">
      <c r="A2231" s="19"/>
      <c r="B2231" s="2">
        <v>928120</v>
      </c>
      <c r="C2231" s="2" t="s">
        <v>501</v>
      </c>
    </row>
  </sheetData>
  <mergeCells count="2">
    <mergeCell ref="A1:C1"/>
    <mergeCell ref="A2:C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DD17-8360-4FFA-B208-F085AF030B68}">
  <sheetPr codeName="Sheet3"/>
  <dimension ref="A1:B1008"/>
  <sheetViews>
    <sheetView workbookViewId="0">
      <selection activeCell="J11" sqref="J11"/>
    </sheetView>
  </sheetViews>
  <sheetFormatPr defaultRowHeight="12.75" x14ac:dyDescent="0.35"/>
  <cols>
    <col min="1" max="1" width="14.796875" bestFit="1" customWidth="1"/>
    <col min="2" max="2" width="40.33203125" bestFit="1" customWidth="1"/>
  </cols>
  <sheetData>
    <row r="1" spans="1:2" ht="13.15" x14ac:dyDescent="0.4">
      <c r="A1" s="33" t="s">
        <v>1980</v>
      </c>
      <c r="B1" s="30"/>
    </row>
    <row r="3" spans="1:2" ht="13.15" x14ac:dyDescent="0.4">
      <c r="A3" s="33" t="s">
        <v>1981</v>
      </c>
      <c r="B3" s="31" t="s">
        <v>1982</v>
      </c>
    </row>
    <row r="4" spans="1:2" x14ac:dyDescent="0.35">
      <c r="A4" s="34">
        <v>111</v>
      </c>
      <c r="B4" s="32" t="s">
        <v>1983</v>
      </c>
    </row>
    <row r="5" spans="1:2" x14ac:dyDescent="0.35">
      <c r="A5" s="34">
        <v>112</v>
      </c>
      <c r="B5" s="32" t="s">
        <v>1984</v>
      </c>
    </row>
    <row r="6" spans="1:2" x14ac:dyDescent="0.35">
      <c r="A6" s="34">
        <v>115</v>
      </c>
      <c r="B6" s="32" t="s">
        <v>1985</v>
      </c>
    </row>
    <row r="7" spans="1:2" x14ac:dyDescent="0.35">
      <c r="A7" s="34">
        <v>116</v>
      </c>
      <c r="B7" s="32" t="s">
        <v>1986</v>
      </c>
    </row>
    <row r="8" spans="1:2" x14ac:dyDescent="0.35">
      <c r="A8" s="34">
        <v>119</v>
      </c>
      <c r="B8" s="32" t="s">
        <v>1987</v>
      </c>
    </row>
    <row r="9" spans="1:2" x14ac:dyDescent="0.35">
      <c r="A9" s="34">
        <v>131</v>
      </c>
      <c r="B9" s="32" t="s">
        <v>1988</v>
      </c>
    </row>
    <row r="10" spans="1:2" x14ac:dyDescent="0.35">
      <c r="A10" s="34">
        <v>132</v>
      </c>
      <c r="B10" s="32" t="s">
        <v>1989</v>
      </c>
    </row>
    <row r="11" spans="1:2" x14ac:dyDescent="0.35">
      <c r="A11" s="34">
        <v>133</v>
      </c>
      <c r="B11" s="32" t="s">
        <v>1990</v>
      </c>
    </row>
    <row r="12" spans="1:2" x14ac:dyDescent="0.35">
      <c r="A12" s="34">
        <v>134</v>
      </c>
      <c r="B12" s="32" t="s">
        <v>1991</v>
      </c>
    </row>
    <row r="13" spans="1:2" x14ac:dyDescent="0.35">
      <c r="A13" s="34">
        <v>139</v>
      </c>
      <c r="B13" s="32" t="s">
        <v>1992</v>
      </c>
    </row>
    <row r="14" spans="1:2" x14ac:dyDescent="0.35">
      <c r="A14" s="34">
        <v>161</v>
      </c>
      <c r="B14" s="32" t="s">
        <v>1993</v>
      </c>
    </row>
    <row r="15" spans="1:2" x14ac:dyDescent="0.35">
      <c r="A15" s="34">
        <v>171</v>
      </c>
      <c r="B15" s="32" t="s">
        <v>1994</v>
      </c>
    </row>
    <row r="16" spans="1:2" x14ac:dyDescent="0.35">
      <c r="A16" s="34">
        <v>172</v>
      </c>
      <c r="B16" s="32" t="s">
        <v>1995</v>
      </c>
    </row>
    <row r="17" spans="1:2" x14ac:dyDescent="0.35">
      <c r="A17" s="34">
        <v>173</v>
      </c>
      <c r="B17" s="32" t="s">
        <v>1996</v>
      </c>
    </row>
    <row r="18" spans="1:2" x14ac:dyDescent="0.35">
      <c r="A18" s="34">
        <v>174</v>
      </c>
      <c r="B18" s="32" t="s">
        <v>1997</v>
      </c>
    </row>
    <row r="19" spans="1:2" x14ac:dyDescent="0.35">
      <c r="A19" s="34">
        <v>175</v>
      </c>
      <c r="B19" s="32" t="s">
        <v>1998</v>
      </c>
    </row>
    <row r="20" spans="1:2" x14ac:dyDescent="0.35">
      <c r="A20" s="34">
        <v>179</v>
      </c>
      <c r="B20" s="32" t="s">
        <v>1999</v>
      </c>
    </row>
    <row r="21" spans="1:2" x14ac:dyDescent="0.35">
      <c r="A21" s="34">
        <v>181</v>
      </c>
      <c r="B21" s="32" t="s">
        <v>2000</v>
      </c>
    </row>
    <row r="22" spans="1:2" x14ac:dyDescent="0.35">
      <c r="A22" s="34">
        <v>182</v>
      </c>
      <c r="B22" s="32" t="s">
        <v>2001</v>
      </c>
    </row>
    <row r="23" spans="1:2" x14ac:dyDescent="0.35">
      <c r="A23" s="34">
        <v>191</v>
      </c>
      <c r="B23" s="32" t="s">
        <v>2002</v>
      </c>
    </row>
    <row r="24" spans="1:2" x14ac:dyDescent="0.35">
      <c r="A24" s="34">
        <v>211</v>
      </c>
      <c r="B24" s="32" t="s">
        <v>2003</v>
      </c>
    </row>
    <row r="25" spans="1:2" x14ac:dyDescent="0.35">
      <c r="A25" s="34">
        <v>212</v>
      </c>
      <c r="B25" s="32" t="s">
        <v>2004</v>
      </c>
    </row>
    <row r="26" spans="1:2" x14ac:dyDescent="0.35">
      <c r="A26" s="34">
        <v>213</v>
      </c>
      <c r="B26" s="32" t="s">
        <v>2005</v>
      </c>
    </row>
    <row r="27" spans="1:2" x14ac:dyDescent="0.35">
      <c r="A27" s="34">
        <v>214</v>
      </c>
      <c r="B27" s="32" t="s">
        <v>2006</v>
      </c>
    </row>
    <row r="28" spans="1:2" x14ac:dyDescent="0.35">
      <c r="A28" s="34">
        <v>219</v>
      </c>
      <c r="B28" s="32" t="s">
        <v>2007</v>
      </c>
    </row>
    <row r="29" spans="1:2" x14ac:dyDescent="0.35">
      <c r="A29" s="34">
        <v>241</v>
      </c>
      <c r="B29" s="32" t="s">
        <v>2008</v>
      </c>
    </row>
    <row r="30" spans="1:2" x14ac:dyDescent="0.35">
      <c r="A30" s="34">
        <v>251</v>
      </c>
      <c r="B30" s="32" t="s">
        <v>2009</v>
      </c>
    </row>
    <row r="31" spans="1:2" x14ac:dyDescent="0.35">
      <c r="A31" s="34">
        <v>252</v>
      </c>
      <c r="B31" s="32" t="s">
        <v>2010</v>
      </c>
    </row>
    <row r="32" spans="1:2" x14ac:dyDescent="0.35">
      <c r="A32" s="34">
        <v>253</v>
      </c>
      <c r="B32" s="32" t="s">
        <v>2011</v>
      </c>
    </row>
    <row r="33" spans="1:2" x14ac:dyDescent="0.35">
      <c r="A33" s="34">
        <v>254</v>
      </c>
      <c r="B33" s="32" t="s">
        <v>2012</v>
      </c>
    </row>
    <row r="34" spans="1:2" x14ac:dyDescent="0.35">
      <c r="A34" s="34">
        <v>259</v>
      </c>
      <c r="B34" s="32" t="s">
        <v>2013</v>
      </c>
    </row>
    <row r="35" spans="1:2" x14ac:dyDescent="0.35">
      <c r="A35" s="34">
        <v>271</v>
      </c>
      <c r="B35" s="32" t="s">
        <v>2014</v>
      </c>
    </row>
    <row r="36" spans="1:2" x14ac:dyDescent="0.35">
      <c r="A36" s="34">
        <v>272</v>
      </c>
      <c r="B36" s="32" t="s">
        <v>2015</v>
      </c>
    </row>
    <row r="37" spans="1:2" x14ac:dyDescent="0.35">
      <c r="A37" s="34">
        <v>273</v>
      </c>
      <c r="B37" s="32" t="s">
        <v>2016</v>
      </c>
    </row>
    <row r="38" spans="1:2" x14ac:dyDescent="0.35">
      <c r="A38" s="34">
        <v>279</v>
      </c>
      <c r="B38" s="32" t="s">
        <v>2017</v>
      </c>
    </row>
    <row r="39" spans="1:2" x14ac:dyDescent="0.35">
      <c r="A39" s="34">
        <v>291</v>
      </c>
      <c r="B39" s="32" t="s">
        <v>2018</v>
      </c>
    </row>
    <row r="40" spans="1:2" x14ac:dyDescent="0.35">
      <c r="A40" s="34">
        <v>711</v>
      </c>
      <c r="B40" s="32" t="s">
        <v>2019</v>
      </c>
    </row>
    <row r="41" spans="1:2" x14ac:dyDescent="0.35">
      <c r="A41" s="34">
        <v>721</v>
      </c>
      <c r="B41" s="32" t="s">
        <v>2020</v>
      </c>
    </row>
    <row r="42" spans="1:2" x14ac:dyDescent="0.35">
      <c r="A42" s="34">
        <v>722</v>
      </c>
      <c r="B42" s="32" t="s">
        <v>2021</v>
      </c>
    </row>
    <row r="43" spans="1:2" x14ac:dyDescent="0.35">
      <c r="A43" s="34">
        <v>723</v>
      </c>
      <c r="B43" s="32" t="s">
        <v>2022</v>
      </c>
    </row>
    <row r="44" spans="1:2" x14ac:dyDescent="0.35">
      <c r="A44" s="34">
        <v>724</v>
      </c>
      <c r="B44" s="32" t="s">
        <v>2023</v>
      </c>
    </row>
    <row r="45" spans="1:2" x14ac:dyDescent="0.35">
      <c r="A45" s="34">
        <v>741</v>
      </c>
      <c r="B45" s="32" t="s">
        <v>2024</v>
      </c>
    </row>
    <row r="46" spans="1:2" x14ac:dyDescent="0.35">
      <c r="A46" s="34">
        <v>742</v>
      </c>
      <c r="B46" s="32" t="s">
        <v>2025</v>
      </c>
    </row>
    <row r="47" spans="1:2" x14ac:dyDescent="0.35">
      <c r="A47" s="34">
        <v>751</v>
      </c>
      <c r="B47" s="32" t="s">
        <v>2026</v>
      </c>
    </row>
    <row r="48" spans="1:2" x14ac:dyDescent="0.35">
      <c r="A48" s="34">
        <v>752</v>
      </c>
      <c r="B48" s="32" t="s">
        <v>2027</v>
      </c>
    </row>
    <row r="49" spans="1:2" x14ac:dyDescent="0.35">
      <c r="A49" s="34">
        <v>761</v>
      </c>
      <c r="B49" s="32" t="s">
        <v>2028</v>
      </c>
    </row>
    <row r="50" spans="1:2" x14ac:dyDescent="0.35">
      <c r="A50" s="34">
        <v>762</v>
      </c>
      <c r="B50" s="32" t="s">
        <v>2029</v>
      </c>
    </row>
    <row r="51" spans="1:2" x14ac:dyDescent="0.35">
      <c r="A51" s="34">
        <v>781</v>
      </c>
      <c r="B51" s="32" t="s">
        <v>2030</v>
      </c>
    </row>
    <row r="52" spans="1:2" x14ac:dyDescent="0.35">
      <c r="A52" s="34">
        <v>782</v>
      </c>
      <c r="B52" s="32" t="s">
        <v>2031</v>
      </c>
    </row>
    <row r="53" spans="1:2" x14ac:dyDescent="0.35">
      <c r="A53" s="34">
        <v>783</v>
      </c>
      <c r="B53" s="32" t="s">
        <v>2032</v>
      </c>
    </row>
    <row r="54" spans="1:2" x14ac:dyDescent="0.35">
      <c r="A54" s="34">
        <v>811</v>
      </c>
      <c r="B54" s="32" t="s">
        <v>2033</v>
      </c>
    </row>
    <row r="55" spans="1:2" x14ac:dyDescent="0.35">
      <c r="A55" s="34">
        <v>831</v>
      </c>
      <c r="B55" s="32" t="s">
        <v>2034</v>
      </c>
    </row>
    <row r="56" spans="1:2" x14ac:dyDescent="0.35">
      <c r="A56" s="34">
        <v>851</v>
      </c>
      <c r="B56" s="32" t="s">
        <v>2035</v>
      </c>
    </row>
    <row r="57" spans="1:2" x14ac:dyDescent="0.35">
      <c r="A57" s="34">
        <v>912</v>
      </c>
      <c r="B57" s="32" t="s">
        <v>2036</v>
      </c>
    </row>
    <row r="58" spans="1:2" x14ac:dyDescent="0.35">
      <c r="A58" s="34">
        <v>913</v>
      </c>
      <c r="B58" s="32" t="s">
        <v>2037</v>
      </c>
    </row>
    <row r="59" spans="1:2" x14ac:dyDescent="0.35">
      <c r="A59" s="34">
        <v>919</v>
      </c>
      <c r="B59" s="32" t="s">
        <v>2038</v>
      </c>
    </row>
    <row r="60" spans="1:2" x14ac:dyDescent="0.35">
      <c r="A60" s="34">
        <v>921</v>
      </c>
      <c r="B60" s="32" t="s">
        <v>2039</v>
      </c>
    </row>
    <row r="61" spans="1:2" x14ac:dyDescent="0.35">
      <c r="A61" s="34">
        <v>971</v>
      </c>
      <c r="B61" s="32" t="s">
        <v>2040</v>
      </c>
    </row>
    <row r="62" spans="1:2" x14ac:dyDescent="0.35">
      <c r="A62" s="34">
        <v>1011</v>
      </c>
      <c r="B62" s="32" t="s">
        <v>2041</v>
      </c>
    </row>
    <row r="63" spans="1:2" x14ac:dyDescent="0.35">
      <c r="A63" s="34">
        <v>1021</v>
      </c>
      <c r="B63" s="32" t="s">
        <v>2042</v>
      </c>
    </row>
    <row r="64" spans="1:2" x14ac:dyDescent="0.35">
      <c r="A64" s="34">
        <v>1031</v>
      </c>
      <c r="B64" s="32" t="s">
        <v>2043</v>
      </c>
    </row>
    <row r="65" spans="1:2" x14ac:dyDescent="0.35">
      <c r="A65" s="34">
        <v>1041</v>
      </c>
      <c r="B65" s="32" t="s">
        <v>2044</v>
      </c>
    </row>
    <row r="66" spans="1:2" x14ac:dyDescent="0.35">
      <c r="A66" s="34">
        <v>1044</v>
      </c>
      <c r="B66" s="32" t="s">
        <v>2045</v>
      </c>
    </row>
    <row r="67" spans="1:2" x14ac:dyDescent="0.35">
      <c r="A67" s="34">
        <v>1061</v>
      </c>
      <c r="B67" s="32" t="s">
        <v>2046</v>
      </c>
    </row>
    <row r="68" spans="1:2" x14ac:dyDescent="0.35">
      <c r="A68" s="34">
        <v>1081</v>
      </c>
      <c r="B68" s="32" t="s">
        <v>2047</v>
      </c>
    </row>
    <row r="69" spans="1:2" x14ac:dyDescent="0.35">
      <c r="A69" s="34">
        <v>1094</v>
      </c>
      <c r="B69" s="32" t="s">
        <v>2048</v>
      </c>
    </row>
    <row r="70" spans="1:2" x14ac:dyDescent="0.35">
      <c r="A70" s="34">
        <v>1099</v>
      </c>
      <c r="B70" s="32" t="s">
        <v>2049</v>
      </c>
    </row>
    <row r="71" spans="1:2" x14ac:dyDescent="0.35">
      <c r="A71" s="34">
        <v>1221</v>
      </c>
      <c r="B71" s="32" t="s">
        <v>2050</v>
      </c>
    </row>
    <row r="72" spans="1:2" x14ac:dyDescent="0.35">
      <c r="A72" s="34">
        <v>1222</v>
      </c>
      <c r="B72" s="32" t="s">
        <v>2051</v>
      </c>
    </row>
    <row r="73" spans="1:2" x14ac:dyDescent="0.35">
      <c r="A73" s="34">
        <v>1231</v>
      </c>
      <c r="B73" s="32" t="s">
        <v>2052</v>
      </c>
    </row>
    <row r="74" spans="1:2" x14ac:dyDescent="0.35">
      <c r="A74" s="34">
        <v>1241</v>
      </c>
      <c r="B74" s="32" t="s">
        <v>2053</v>
      </c>
    </row>
    <row r="75" spans="1:2" x14ac:dyDescent="0.35">
      <c r="A75" s="34">
        <v>1311</v>
      </c>
      <c r="B75" s="32" t="s">
        <v>2054</v>
      </c>
    </row>
    <row r="76" spans="1:2" x14ac:dyDescent="0.35">
      <c r="A76" s="34">
        <v>1321</v>
      </c>
      <c r="B76" s="32" t="s">
        <v>2055</v>
      </c>
    </row>
    <row r="77" spans="1:2" x14ac:dyDescent="0.35">
      <c r="A77" s="34">
        <v>1381</v>
      </c>
      <c r="B77" s="32" t="s">
        <v>2056</v>
      </c>
    </row>
    <row r="78" spans="1:2" x14ac:dyDescent="0.35">
      <c r="A78" s="34">
        <v>1382</v>
      </c>
      <c r="B78" s="32" t="s">
        <v>2057</v>
      </c>
    </row>
    <row r="79" spans="1:2" x14ac:dyDescent="0.35">
      <c r="A79" s="34">
        <v>1389</v>
      </c>
      <c r="B79" s="32" t="s">
        <v>2058</v>
      </c>
    </row>
    <row r="80" spans="1:2" x14ac:dyDescent="0.35">
      <c r="A80" s="34">
        <v>1411</v>
      </c>
      <c r="B80" s="32" t="s">
        <v>2059</v>
      </c>
    </row>
    <row r="81" spans="1:2" x14ac:dyDescent="0.35">
      <c r="A81" s="34">
        <v>1422</v>
      </c>
      <c r="B81" s="32" t="s">
        <v>2060</v>
      </c>
    </row>
    <row r="82" spans="1:2" x14ac:dyDescent="0.35">
      <c r="A82" s="34">
        <v>1423</v>
      </c>
      <c r="B82" s="32" t="s">
        <v>2061</v>
      </c>
    </row>
    <row r="83" spans="1:2" x14ac:dyDescent="0.35">
      <c r="A83" s="34">
        <v>1429</v>
      </c>
      <c r="B83" s="32" t="s">
        <v>2062</v>
      </c>
    </row>
    <row r="84" spans="1:2" x14ac:dyDescent="0.35">
      <c r="A84" s="34">
        <v>1442</v>
      </c>
      <c r="B84" s="32" t="s">
        <v>2063</v>
      </c>
    </row>
    <row r="85" spans="1:2" x14ac:dyDescent="0.35">
      <c r="A85" s="34">
        <v>1446</v>
      </c>
      <c r="B85" s="32" t="s">
        <v>2064</v>
      </c>
    </row>
    <row r="86" spans="1:2" x14ac:dyDescent="0.35">
      <c r="A86" s="34">
        <v>1455</v>
      </c>
      <c r="B86" s="32" t="s">
        <v>2065</v>
      </c>
    </row>
    <row r="87" spans="1:2" x14ac:dyDescent="0.35">
      <c r="A87" s="34">
        <v>1459</v>
      </c>
      <c r="B87" s="32" t="s">
        <v>2066</v>
      </c>
    </row>
    <row r="88" spans="1:2" x14ac:dyDescent="0.35">
      <c r="A88" s="34">
        <v>1474</v>
      </c>
      <c r="B88" s="32" t="s">
        <v>2067</v>
      </c>
    </row>
    <row r="89" spans="1:2" x14ac:dyDescent="0.35">
      <c r="A89" s="34">
        <v>1475</v>
      </c>
      <c r="B89" s="32" t="s">
        <v>2068</v>
      </c>
    </row>
    <row r="90" spans="1:2" x14ac:dyDescent="0.35">
      <c r="A90" s="34">
        <v>1479</v>
      </c>
      <c r="B90" s="32" t="s">
        <v>2069</v>
      </c>
    </row>
    <row r="91" spans="1:2" x14ac:dyDescent="0.35">
      <c r="A91" s="34">
        <v>1481</v>
      </c>
      <c r="B91" s="32" t="s">
        <v>2070</v>
      </c>
    </row>
    <row r="92" spans="1:2" x14ac:dyDescent="0.35">
      <c r="A92" s="34">
        <v>1499</v>
      </c>
      <c r="B92" s="32" t="s">
        <v>2071</v>
      </c>
    </row>
    <row r="93" spans="1:2" x14ac:dyDescent="0.35">
      <c r="A93" s="34">
        <v>1521</v>
      </c>
      <c r="B93" s="32" t="s">
        <v>2072</v>
      </c>
    </row>
    <row r="94" spans="1:2" x14ac:dyDescent="0.35">
      <c r="A94" s="34">
        <v>1522</v>
      </c>
      <c r="B94" s="32" t="s">
        <v>2073</v>
      </c>
    </row>
    <row r="95" spans="1:2" x14ac:dyDescent="0.35">
      <c r="A95" s="34">
        <v>1531</v>
      </c>
      <c r="B95" s="32" t="s">
        <v>2074</v>
      </c>
    </row>
    <row r="96" spans="1:2" x14ac:dyDescent="0.35">
      <c r="A96" s="34">
        <v>1541</v>
      </c>
      <c r="B96" s="32" t="s">
        <v>2075</v>
      </c>
    </row>
    <row r="97" spans="1:2" x14ac:dyDescent="0.35">
      <c r="A97" s="34">
        <v>1542</v>
      </c>
      <c r="B97" s="32" t="s">
        <v>2076</v>
      </c>
    </row>
    <row r="98" spans="1:2" x14ac:dyDescent="0.35">
      <c r="A98" s="34">
        <v>1611</v>
      </c>
      <c r="B98" s="32" t="s">
        <v>2077</v>
      </c>
    </row>
    <row r="99" spans="1:2" x14ac:dyDescent="0.35">
      <c r="A99" s="34">
        <v>1622</v>
      </c>
      <c r="B99" s="32" t="s">
        <v>2078</v>
      </c>
    </row>
    <row r="100" spans="1:2" x14ac:dyDescent="0.35">
      <c r="A100" s="34">
        <v>1623</v>
      </c>
      <c r="B100" s="32" t="s">
        <v>2079</v>
      </c>
    </row>
    <row r="101" spans="1:2" x14ac:dyDescent="0.35">
      <c r="A101" s="34">
        <v>1629</v>
      </c>
      <c r="B101" s="32" t="s">
        <v>2080</v>
      </c>
    </row>
    <row r="102" spans="1:2" x14ac:dyDescent="0.35">
      <c r="A102" s="34">
        <v>1711</v>
      </c>
      <c r="B102" s="32" t="s">
        <v>2081</v>
      </c>
    </row>
    <row r="103" spans="1:2" x14ac:dyDescent="0.35">
      <c r="A103" s="34">
        <v>1721</v>
      </c>
      <c r="B103" s="32" t="s">
        <v>2082</v>
      </c>
    </row>
    <row r="104" spans="1:2" x14ac:dyDescent="0.35">
      <c r="A104" s="34">
        <v>1731</v>
      </c>
      <c r="B104" s="32" t="s">
        <v>2083</v>
      </c>
    </row>
    <row r="105" spans="1:2" x14ac:dyDescent="0.35">
      <c r="A105" s="34">
        <v>1741</v>
      </c>
      <c r="B105" s="32" t="s">
        <v>2084</v>
      </c>
    </row>
    <row r="106" spans="1:2" x14ac:dyDescent="0.35">
      <c r="A106" s="34">
        <v>1742</v>
      </c>
      <c r="B106" s="32" t="s">
        <v>2085</v>
      </c>
    </row>
    <row r="107" spans="1:2" x14ac:dyDescent="0.35">
      <c r="A107" s="34">
        <v>1743</v>
      </c>
      <c r="B107" s="32" t="s">
        <v>2086</v>
      </c>
    </row>
    <row r="108" spans="1:2" x14ac:dyDescent="0.35">
      <c r="A108" s="34">
        <v>1751</v>
      </c>
      <c r="B108" s="32" t="s">
        <v>2087</v>
      </c>
    </row>
    <row r="109" spans="1:2" x14ac:dyDescent="0.35">
      <c r="A109" s="34">
        <v>1752</v>
      </c>
      <c r="B109" s="32" t="s">
        <v>2088</v>
      </c>
    </row>
    <row r="110" spans="1:2" x14ac:dyDescent="0.35">
      <c r="A110" s="34">
        <v>1761</v>
      </c>
      <c r="B110" s="32" t="s">
        <v>2089</v>
      </c>
    </row>
    <row r="111" spans="1:2" x14ac:dyDescent="0.35">
      <c r="A111" s="34">
        <v>1771</v>
      </c>
      <c r="B111" s="32" t="s">
        <v>2090</v>
      </c>
    </row>
    <row r="112" spans="1:2" x14ac:dyDescent="0.35">
      <c r="A112" s="34">
        <v>1781</v>
      </c>
      <c r="B112" s="32" t="s">
        <v>2091</v>
      </c>
    </row>
    <row r="113" spans="1:2" x14ac:dyDescent="0.35">
      <c r="A113" s="34">
        <v>1791</v>
      </c>
      <c r="B113" s="32" t="s">
        <v>2092</v>
      </c>
    </row>
    <row r="114" spans="1:2" x14ac:dyDescent="0.35">
      <c r="A114" s="34">
        <v>1793</v>
      </c>
      <c r="B114" s="32" t="s">
        <v>2093</v>
      </c>
    </row>
    <row r="115" spans="1:2" x14ac:dyDescent="0.35">
      <c r="A115" s="34">
        <v>1794</v>
      </c>
      <c r="B115" s="32" t="s">
        <v>2094</v>
      </c>
    </row>
    <row r="116" spans="1:2" x14ac:dyDescent="0.35">
      <c r="A116" s="34">
        <v>1795</v>
      </c>
      <c r="B116" s="32" t="s">
        <v>2095</v>
      </c>
    </row>
    <row r="117" spans="1:2" x14ac:dyDescent="0.35">
      <c r="A117" s="34">
        <v>1796</v>
      </c>
      <c r="B117" s="32" t="s">
        <v>2096</v>
      </c>
    </row>
    <row r="118" spans="1:2" x14ac:dyDescent="0.35">
      <c r="A118" s="34">
        <v>1799</v>
      </c>
      <c r="B118" s="32" t="s">
        <v>2097</v>
      </c>
    </row>
    <row r="119" spans="1:2" x14ac:dyDescent="0.35">
      <c r="A119" s="34">
        <v>2011</v>
      </c>
      <c r="B119" s="32" t="s">
        <v>2098</v>
      </c>
    </row>
    <row r="120" spans="1:2" x14ac:dyDescent="0.35">
      <c r="A120" s="34">
        <v>2013</v>
      </c>
      <c r="B120" s="32" t="s">
        <v>2099</v>
      </c>
    </row>
    <row r="121" spans="1:2" x14ac:dyDescent="0.35">
      <c r="A121" s="34">
        <v>2015</v>
      </c>
      <c r="B121" s="32" t="s">
        <v>2100</v>
      </c>
    </row>
    <row r="122" spans="1:2" x14ac:dyDescent="0.35">
      <c r="A122" s="34">
        <v>2021</v>
      </c>
      <c r="B122" s="32" t="s">
        <v>2101</v>
      </c>
    </row>
    <row r="123" spans="1:2" x14ac:dyDescent="0.35">
      <c r="A123" s="34">
        <v>2022</v>
      </c>
      <c r="B123" s="32" t="s">
        <v>2102</v>
      </c>
    </row>
    <row r="124" spans="1:2" x14ac:dyDescent="0.35">
      <c r="A124" s="34">
        <v>2023</v>
      </c>
      <c r="B124" s="32" t="s">
        <v>2103</v>
      </c>
    </row>
    <row r="125" spans="1:2" x14ac:dyDescent="0.35">
      <c r="A125" s="34">
        <v>2024</v>
      </c>
      <c r="B125" s="32" t="s">
        <v>2104</v>
      </c>
    </row>
    <row r="126" spans="1:2" x14ac:dyDescent="0.35">
      <c r="A126" s="34">
        <v>2026</v>
      </c>
      <c r="B126" s="32" t="s">
        <v>2105</v>
      </c>
    </row>
    <row r="127" spans="1:2" x14ac:dyDescent="0.35">
      <c r="A127" s="34">
        <v>2032</v>
      </c>
      <c r="B127" s="32" t="s">
        <v>2106</v>
      </c>
    </row>
    <row r="128" spans="1:2" x14ac:dyDescent="0.35">
      <c r="A128" s="34">
        <v>2033</v>
      </c>
      <c r="B128" s="32" t="s">
        <v>2107</v>
      </c>
    </row>
    <row r="129" spans="1:2" x14ac:dyDescent="0.35">
      <c r="A129" s="34">
        <v>2034</v>
      </c>
      <c r="B129" s="32" t="s">
        <v>2108</v>
      </c>
    </row>
    <row r="130" spans="1:2" x14ac:dyDescent="0.35">
      <c r="A130" s="34">
        <v>2035</v>
      </c>
      <c r="B130" s="32" t="s">
        <v>2109</v>
      </c>
    </row>
    <row r="131" spans="1:2" x14ac:dyDescent="0.35">
      <c r="A131" s="34">
        <v>2037</v>
      </c>
      <c r="B131" s="32" t="s">
        <v>2110</v>
      </c>
    </row>
    <row r="132" spans="1:2" x14ac:dyDescent="0.35">
      <c r="A132" s="34">
        <v>2038</v>
      </c>
      <c r="B132" s="32" t="s">
        <v>2111</v>
      </c>
    </row>
    <row r="133" spans="1:2" x14ac:dyDescent="0.35">
      <c r="A133" s="34">
        <v>2041</v>
      </c>
      <c r="B133" s="32" t="s">
        <v>2112</v>
      </c>
    </row>
    <row r="134" spans="1:2" x14ac:dyDescent="0.35">
      <c r="A134" s="34">
        <v>2043</v>
      </c>
      <c r="B134" s="32" t="s">
        <v>2113</v>
      </c>
    </row>
    <row r="135" spans="1:2" x14ac:dyDescent="0.35">
      <c r="A135" s="34">
        <v>2044</v>
      </c>
      <c r="B135" s="32" t="s">
        <v>2114</v>
      </c>
    </row>
    <row r="136" spans="1:2" x14ac:dyDescent="0.35">
      <c r="A136" s="34">
        <v>2045</v>
      </c>
      <c r="B136" s="32" t="s">
        <v>2115</v>
      </c>
    </row>
    <row r="137" spans="1:2" x14ac:dyDescent="0.35">
      <c r="A137" s="34">
        <v>2046</v>
      </c>
      <c r="B137" s="32" t="s">
        <v>2116</v>
      </c>
    </row>
    <row r="138" spans="1:2" x14ac:dyDescent="0.35">
      <c r="A138" s="34">
        <v>2047</v>
      </c>
      <c r="B138" s="32" t="s">
        <v>2117</v>
      </c>
    </row>
    <row r="139" spans="1:2" x14ac:dyDescent="0.35">
      <c r="A139" s="34">
        <v>2048</v>
      </c>
      <c r="B139" s="32" t="s">
        <v>2118</v>
      </c>
    </row>
    <row r="140" spans="1:2" x14ac:dyDescent="0.35">
      <c r="A140" s="34">
        <v>2051</v>
      </c>
      <c r="B140" s="32" t="s">
        <v>2119</v>
      </c>
    </row>
    <row r="141" spans="1:2" x14ac:dyDescent="0.35">
      <c r="A141" s="34">
        <v>2052</v>
      </c>
      <c r="B141" s="32" t="s">
        <v>2120</v>
      </c>
    </row>
    <row r="142" spans="1:2" x14ac:dyDescent="0.35">
      <c r="A142" s="34">
        <v>2053</v>
      </c>
      <c r="B142" s="32" t="s">
        <v>2121</v>
      </c>
    </row>
    <row r="143" spans="1:2" x14ac:dyDescent="0.35">
      <c r="A143" s="34">
        <v>2061</v>
      </c>
      <c r="B143" s="32" t="s">
        <v>2122</v>
      </c>
    </row>
    <row r="144" spans="1:2" x14ac:dyDescent="0.35">
      <c r="A144" s="34">
        <v>2062</v>
      </c>
      <c r="B144" s="32" t="s">
        <v>2123</v>
      </c>
    </row>
    <row r="145" spans="1:2" x14ac:dyDescent="0.35">
      <c r="A145" s="34">
        <v>2063</v>
      </c>
      <c r="B145" s="32" t="s">
        <v>2124</v>
      </c>
    </row>
    <row r="146" spans="1:2" x14ac:dyDescent="0.35">
      <c r="A146" s="34">
        <v>2064</v>
      </c>
      <c r="B146" s="32" t="s">
        <v>2125</v>
      </c>
    </row>
    <row r="147" spans="1:2" x14ac:dyDescent="0.35">
      <c r="A147" s="34">
        <v>2066</v>
      </c>
      <c r="B147" s="32" t="s">
        <v>2126</v>
      </c>
    </row>
    <row r="148" spans="1:2" x14ac:dyDescent="0.35">
      <c r="A148" s="34">
        <v>2067</v>
      </c>
      <c r="B148" s="32" t="s">
        <v>2127</v>
      </c>
    </row>
    <row r="149" spans="1:2" x14ac:dyDescent="0.35">
      <c r="A149" s="34">
        <v>2068</v>
      </c>
      <c r="B149" s="32" t="s">
        <v>2128</v>
      </c>
    </row>
    <row r="150" spans="1:2" x14ac:dyDescent="0.35">
      <c r="A150" s="34">
        <v>2074</v>
      </c>
      <c r="B150" s="32" t="s">
        <v>2129</v>
      </c>
    </row>
    <row r="151" spans="1:2" x14ac:dyDescent="0.35">
      <c r="A151" s="34">
        <v>2075</v>
      </c>
      <c r="B151" s="32" t="s">
        <v>2130</v>
      </c>
    </row>
    <row r="152" spans="1:2" x14ac:dyDescent="0.35">
      <c r="A152" s="34">
        <v>2076</v>
      </c>
      <c r="B152" s="32" t="s">
        <v>2131</v>
      </c>
    </row>
    <row r="153" spans="1:2" x14ac:dyDescent="0.35">
      <c r="A153" s="34">
        <v>2077</v>
      </c>
      <c r="B153" s="32" t="s">
        <v>2132</v>
      </c>
    </row>
    <row r="154" spans="1:2" x14ac:dyDescent="0.35">
      <c r="A154" s="34">
        <v>2079</v>
      </c>
      <c r="B154" s="32" t="s">
        <v>2133</v>
      </c>
    </row>
    <row r="155" spans="1:2" x14ac:dyDescent="0.35">
      <c r="A155" s="34">
        <v>2082</v>
      </c>
      <c r="B155" s="32" t="s">
        <v>2134</v>
      </c>
    </row>
    <row r="156" spans="1:2" x14ac:dyDescent="0.35">
      <c r="A156" s="34">
        <v>2083</v>
      </c>
      <c r="B156" s="32" t="s">
        <v>2135</v>
      </c>
    </row>
    <row r="157" spans="1:2" x14ac:dyDescent="0.35">
      <c r="A157" s="34">
        <v>2084</v>
      </c>
      <c r="B157" s="32" t="s">
        <v>2136</v>
      </c>
    </row>
    <row r="158" spans="1:2" x14ac:dyDescent="0.35">
      <c r="A158" s="34">
        <v>2085</v>
      </c>
      <c r="B158" s="32" t="s">
        <v>2137</v>
      </c>
    </row>
    <row r="159" spans="1:2" x14ac:dyDescent="0.35">
      <c r="A159" s="34">
        <v>2086</v>
      </c>
      <c r="B159" s="32" t="s">
        <v>2138</v>
      </c>
    </row>
    <row r="160" spans="1:2" x14ac:dyDescent="0.35">
      <c r="A160" s="34">
        <v>2087</v>
      </c>
      <c r="B160" s="32" t="s">
        <v>2139</v>
      </c>
    </row>
    <row r="161" spans="1:2" x14ac:dyDescent="0.35">
      <c r="A161" s="34">
        <v>2091</v>
      </c>
      <c r="B161" s="32" t="s">
        <v>2140</v>
      </c>
    </row>
    <row r="162" spans="1:2" x14ac:dyDescent="0.35">
      <c r="A162" s="34">
        <v>2092</v>
      </c>
      <c r="B162" s="32" t="s">
        <v>2141</v>
      </c>
    </row>
    <row r="163" spans="1:2" x14ac:dyDescent="0.35">
      <c r="A163" s="34">
        <v>2095</v>
      </c>
      <c r="B163" s="32" t="s">
        <v>2142</v>
      </c>
    </row>
    <row r="164" spans="1:2" x14ac:dyDescent="0.35">
      <c r="A164" s="34">
        <v>2096</v>
      </c>
      <c r="B164" s="32" t="s">
        <v>2143</v>
      </c>
    </row>
    <row r="165" spans="1:2" x14ac:dyDescent="0.35">
      <c r="A165" s="34">
        <v>2097</v>
      </c>
      <c r="B165" s="32" t="s">
        <v>2144</v>
      </c>
    </row>
    <row r="166" spans="1:2" x14ac:dyDescent="0.35">
      <c r="A166" s="34">
        <v>2098</v>
      </c>
      <c r="B166" s="32" t="s">
        <v>2145</v>
      </c>
    </row>
    <row r="167" spans="1:2" x14ac:dyDescent="0.35">
      <c r="A167" s="34">
        <v>2099</v>
      </c>
      <c r="B167" s="32" t="s">
        <v>2146</v>
      </c>
    </row>
    <row r="168" spans="1:2" x14ac:dyDescent="0.35">
      <c r="A168" s="34">
        <v>2111</v>
      </c>
      <c r="B168" s="32" t="s">
        <v>2147</v>
      </c>
    </row>
    <row r="169" spans="1:2" x14ac:dyDescent="0.35">
      <c r="A169" s="34">
        <v>2121</v>
      </c>
      <c r="B169" s="32" t="s">
        <v>2148</v>
      </c>
    </row>
    <row r="170" spans="1:2" x14ac:dyDescent="0.35">
      <c r="A170" s="34">
        <v>2131</v>
      </c>
      <c r="B170" s="32" t="s">
        <v>2149</v>
      </c>
    </row>
    <row r="171" spans="1:2" x14ac:dyDescent="0.35">
      <c r="A171" s="34">
        <v>2141</v>
      </c>
      <c r="B171" s="32" t="s">
        <v>2150</v>
      </c>
    </row>
    <row r="172" spans="1:2" x14ac:dyDescent="0.35">
      <c r="A172" s="34">
        <v>2211</v>
      </c>
      <c r="B172" s="32" t="s">
        <v>2151</v>
      </c>
    </row>
    <row r="173" spans="1:2" x14ac:dyDescent="0.35">
      <c r="A173" s="34">
        <v>2221</v>
      </c>
      <c r="B173" s="32" t="s">
        <v>2152</v>
      </c>
    </row>
    <row r="174" spans="1:2" x14ac:dyDescent="0.35">
      <c r="A174" s="34">
        <v>2231</v>
      </c>
      <c r="B174" s="32" t="s">
        <v>2153</v>
      </c>
    </row>
    <row r="175" spans="1:2" x14ac:dyDescent="0.35">
      <c r="A175" s="34">
        <v>2241</v>
      </c>
      <c r="B175" s="32" t="s">
        <v>2154</v>
      </c>
    </row>
    <row r="176" spans="1:2" x14ac:dyDescent="0.35">
      <c r="A176" s="34">
        <v>2251</v>
      </c>
      <c r="B176" s="32" t="s">
        <v>2155</v>
      </c>
    </row>
    <row r="177" spans="1:2" x14ac:dyDescent="0.35">
      <c r="A177" s="34">
        <v>2252</v>
      </c>
      <c r="B177" s="32" t="s">
        <v>2156</v>
      </c>
    </row>
    <row r="178" spans="1:2" x14ac:dyDescent="0.35">
      <c r="A178" s="34">
        <v>2253</v>
      </c>
      <c r="B178" s="32" t="s">
        <v>2157</v>
      </c>
    </row>
    <row r="179" spans="1:2" x14ac:dyDescent="0.35">
      <c r="A179" s="34">
        <v>2254</v>
      </c>
      <c r="B179" s="32" t="s">
        <v>2158</v>
      </c>
    </row>
    <row r="180" spans="1:2" x14ac:dyDescent="0.35">
      <c r="A180" s="34">
        <v>2257</v>
      </c>
      <c r="B180" s="32" t="s">
        <v>2159</v>
      </c>
    </row>
    <row r="181" spans="1:2" x14ac:dyDescent="0.35">
      <c r="A181" s="34">
        <v>2258</v>
      </c>
      <c r="B181" s="32" t="s">
        <v>2160</v>
      </c>
    </row>
    <row r="182" spans="1:2" x14ac:dyDescent="0.35">
      <c r="A182" s="34">
        <v>2259</v>
      </c>
      <c r="B182" s="32" t="s">
        <v>2161</v>
      </c>
    </row>
    <row r="183" spans="1:2" x14ac:dyDescent="0.35">
      <c r="A183" s="34">
        <v>2261</v>
      </c>
      <c r="B183" s="32" t="s">
        <v>2162</v>
      </c>
    </row>
    <row r="184" spans="1:2" x14ac:dyDescent="0.35">
      <c r="A184" s="34">
        <v>2262</v>
      </c>
      <c r="B184" s="32" t="s">
        <v>2163</v>
      </c>
    </row>
    <row r="185" spans="1:2" x14ac:dyDescent="0.35">
      <c r="A185" s="34">
        <v>2269</v>
      </c>
      <c r="B185" s="32" t="s">
        <v>2164</v>
      </c>
    </row>
    <row r="186" spans="1:2" x14ac:dyDescent="0.35">
      <c r="A186" s="34">
        <v>2273</v>
      </c>
      <c r="B186" s="32" t="s">
        <v>2165</v>
      </c>
    </row>
    <row r="187" spans="1:2" x14ac:dyDescent="0.35">
      <c r="A187" s="34">
        <v>2281</v>
      </c>
      <c r="B187" s="32" t="s">
        <v>2166</v>
      </c>
    </row>
    <row r="188" spans="1:2" x14ac:dyDescent="0.35">
      <c r="A188" s="34">
        <v>2282</v>
      </c>
      <c r="B188" s="32" t="s">
        <v>2167</v>
      </c>
    </row>
    <row r="189" spans="1:2" x14ac:dyDescent="0.35">
      <c r="A189" s="34">
        <v>2284</v>
      </c>
      <c r="B189" s="32" t="s">
        <v>2168</v>
      </c>
    </row>
    <row r="190" spans="1:2" x14ac:dyDescent="0.35">
      <c r="A190" s="34">
        <v>2295</v>
      </c>
      <c r="B190" s="32" t="s">
        <v>2169</v>
      </c>
    </row>
    <row r="191" spans="1:2" x14ac:dyDescent="0.35">
      <c r="A191" s="34">
        <v>2296</v>
      </c>
      <c r="B191" s="32" t="s">
        <v>2170</v>
      </c>
    </row>
    <row r="192" spans="1:2" x14ac:dyDescent="0.35">
      <c r="A192" s="34">
        <v>2297</v>
      </c>
      <c r="B192" s="32" t="s">
        <v>2171</v>
      </c>
    </row>
    <row r="193" spans="1:2" x14ac:dyDescent="0.35">
      <c r="A193" s="34">
        <v>2298</v>
      </c>
      <c r="B193" s="32" t="s">
        <v>2172</v>
      </c>
    </row>
    <row r="194" spans="1:2" x14ac:dyDescent="0.35">
      <c r="A194" s="34">
        <v>2299</v>
      </c>
      <c r="B194" s="32" t="s">
        <v>2173</v>
      </c>
    </row>
    <row r="195" spans="1:2" x14ac:dyDescent="0.35">
      <c r="A195" s="34">
        <v>2311</v>
      </c>
      <c r="B195" s="32" t="s">
        <v>2174</v>
      </c>
    </row>
    <row r="196" spans="1:2" x14ac:dyDescent="0.35">
      <c r="A196" s="34">
        <v>2321</v>
      </c>
      <c r="B196" s="32" t="s">
        <v>2175</v>
      </c>
    </row>
    <row r="197" spans="1:2" x14ac:dyDescent="0.35">
      <c r="A197" s="34">
        <v>2322</v>
      </c>
      <c r="B197" s="32" t="s">
        <v>2176</v>
      </c>
    </row>
    <row r="198" spans="1:2" x14ac:dyDescent="0.35">
      <c r="A198" s="34">
        <v>2323</v>
      </c>
      <c r="B198" s="32" t="s">
        <v>2177</v>
      </c>
    </row>
    <row r="199" spans="1:2" x14ac:dyDescent="0.35">
      <c r="A199" s="34">
        <v>2325</v>
      </c>
      <c r="B199" s="32" t="s">
        <v>2178</v>
      </c>
    </row>
    <row r="200" spans="1:2" x14ac:dyDescent="0.35">
      <c r="A200" s="34">
        <v>2326</v>
      </c>
      <c r="B200" s="32" t="s">
        <v>2179</v>
      </c>
    </row>
    <row r="201" spans="1:2" x14ac:dyDescent="0.35">
      <c r="A201" s="34">
        <v>2329</v>
      </c>
      <c r="B201" s="32" t="s">
        <v>2180</v>
      </c>
    </row>
    <row r="202" spans="1:2" x14ac:dyDescent="0.35">
      <c r="A202" s="34">
        <v>2331</v>
      </c>
      <c r="B202" s="32" t="s">
        <v>2181</v>
      </c>
    </row>
    <row r="203" spans="1:2" x14ac:dyDescent="0.35">
      <c r="A203" s="34">
        <v>2335</v>
      </c>
      <c r="B203" s="32" t="s">
        <v>2182</v>
      </c>
    </row>
    <row r="204" spans="1:2" x14ac:dyDescent="0.35">
      <c r="A204" s="34">
        <v>2337</v>
      </c>
      <c r="B204" s="32" t="s">
        <v>2183</v>
      </c>
    </row>
    <row r="205" spans="1:2" x14ac:dyDescent="0.35">
      <c r="A205" s="34">
        <v>2339</v>
      </c>
      <c r="B205" s="32" t="s">
        <v>2184</v>
      </c>
    </row>
    <row r="206" spans="1:2" x14ac:dyDescent="0.35">
      <c r="A206" s="34">
        <v>2341</v>
      </c>
      <c r="B206" s="32" t="s">
        <v>2185</v>
      </c>
    </row>
    <row r="207" spans="1:2" x14ac:dyDescent="0.35">
      <c r="A207" s="34">
        <v>2342</v>
      </c>
      <c r="B207" s="32" t="s">
        <v>2186</v>
      </c>
    </row>
    <row r="208" spans="1:2" x14ac:dyDescent="0.35">
      <c r="A208" s="34">
        <v>2353</v>
      </c>
      <c r="B208" s="32" t="s">
        <v>2187</v>
      </c>
    </row>
    <row r="209" spans="1:2" x14ac:dyDescent="0.35">
      <c r="A209" s="34">
        <v>2361</v>
      </c>
      <c r="B209" s="32" t="s">
        <v>2188</v>
      </c>
    </row>
    <row r="210" spans="1:2" x14ac:dyDescent="0.35">
      <c r="A210" s="34">
        <v>2369</v>
      </c>
      <c r="B210" s="32" t="s">
        <v>2189</v>
      </c>
    </row>
    <row r="211" spans="1:2" x14ac:dyDescent="0.35">
      <c r="A211" s="34">
        <v>2371</v>
      </c>
      <c r="B211" s="32" t="s">
        <v>2190</v>
      </c>
    </row>
    <row r="212" spans="1:2" x14ac:dyDescent="0.35">
      <c r="A212" s="34">
        <v>2381</v>
      </c>
      <c r="B212" s="32" t="s">
        <v>2191</v>
      </c>
    </row>
    <row r="213" spans="1:2" x14ac:dyDescent="0.35">
      <c r="A213" s="34">
        <v>2384</v>
      </c>
      <c r="B213" s="32" t="s">
        <v>2192</v>
      </c>
    </row>
    <row r="214" spans="1:2" x14ac:dyDescent="0.35">
      <c r="A214" s="34">
        <v>2385</v>
      </c>
      <c r="B214" s="32" t="s">
        <v>2193</v>
      </c>
    </row>
    <row r="215" spans="1:2" x14ac:dyDescent="0.35">
      <c r="A215" s="34">
        <v>2386</v>
      </c>
      <c r="B215" s="32" t="s">
        <v>2194</v>
      </c>
    </row>
    <row r="216" spans="1:2" x14ac:dyDescent="0.35">
      <c r="A216" s="34">
        <v>2387</v>
      </c>
      <c r="B216" s="32" t="s">
        <v>2195</v>
      </c>
    </row>
    <row r="217" spans="1:2" x14ac:dyDescent="0.35">
      <c r="A217" s="34">
        <v>2389</v>
      </c>
      <c r="B217" s="32" t="s">
        <v>2196</v>
      </c>
    </row>
    <row r="218" spans="1:2" x14ac:dyDescent="0.35">
      <c r="A218" s="34">
        <v>2391</v>
      </c>
      <c r="B218" s="32" t="s">
        <v>2197</v>
      </c>
    </row>
    <row r="219" spans="1:2" x14ac:dyDescent="0.35">
      <c r="A219" s="34">
        <v>2392</v>
      </c>
      <c r="B219" s="32" t="s">
        <v>2198</v>
      </c>
    </row>
    <row r="220" spans="1:2" x14ac:dyDescent="0.35">
      <c r="A220" s="34">
        <v>2393</v>
      </c>
      <c r="B220" s="32" t="s">
        <v>2199</v>
      </c>
    </row>
    <row r="221" spans="1:2" x14ac:dyDescent="0.35">
      <c r="A221" s="34">
        <v>2394</v>
      </c>
      <c r="B221" s="32" t="s">
        <v>2200</v>
      </c>
    </row>
    <row r="222" spans="1:2" x14ac:dyDescent="0.35">
      <c r="A222" s="34">
        <v>2395</v>
      </c>
      <c r="B222" s="32" t="s">
        <v>2201</v>
      </c>
    </row>
    <row r="223" spans="1:2" x14ac:dyDescent="0.35">
      <c r="A223" s="34">
        <v>2396</v>
      </c>
      <c r="B223" s="32" t="s">
        <v>2202</v>
      </c>
    </row>
    <row r="224" spans="1:2" x14ac:dyDescent="0.35">
      <c r="A224" s="34">
        <v>2397</v>
      </c>
      <c r="B224" s="32" t="s">
        <v>2203</v>
      </c>
    </row>
    <row r="225" spans="1:2" x14ac:dyDescent="0.35">
      <c r="A225" s="34">
        <v>2399</v>
      </c>
      <c r="B225" s="32" t="s">
        <v>2204</v>
      </c>
    </row>
    <row r="226" spans="1:2" x14ac:dyDescent="0.35">
      <c r="A226" s="34">
        <v>2411</v>
      </c>
      <c r="B226" s="32" t="s">
        <v>2205</v>
      </c>
    </row>
    <row r="227" spans="1:2" x14ac:dyDescent="0.35">
      <c r="A227" s="34">
        <v>2421</v>
      </c>
      <c r="B227" s="32" t="s">
        <v>2206</v>
      </c>
    </row>
    <row r="228" spans="1:2" x14ac:dyDescent="0.35">
      <c r="A228" s="34">
        <v>2426</v>
      </c>
      <c r="B228" s="32" t="s">
        <v>2207</v>
      </c>
    </row>
    <row r="229" spans="1:2" x14ac:dyDescent="0.35">
      <c r="A229" s="34">
        <v>2429</v>
      </c>
      <c r="B229" s="32" t="s">
        <v>2208</v>
      </c>
    </row>
    <row r="230" spans="1:2" x14ac:dyDescent="0.35">
      <c r="A230" s="34">
        <v>2431</v>
      </c>
      <c r="B230" s="32" t="s">
        <v>2209</v>
      </c>
    </row>
    <row r="231" spans="1:2" x14ac:dyDescent="0.35">
      <c r="A231" s="34">
        <v>2434</v>
      </c>
      <c r="B231" s="32" t="s">
        <v>2210</v>
      </c>
    </row>
    <row r="232" spans="1:2" x14ac:dyDescent="0.35">
      <c r="A232" s="34">
        <v>2435</v>
      </c>
      <c r="B232" s="32" t="s">
        <v>2211</v>
      </c>
    </row>
    <row r="233" spans="1:2" x14ac:dyDescent="0.35">
      <c r="A233" s="34">
        <v>2436</v>
      </c>
      <c r="B233" s="32" t="s">
        <v>2212</v>
      </c>
    </row>
    <row r="234" spans="1:2" x14ac:dyDescent="0.35">
      <c r="A234" s="34">
        <v>2439</v>
      </c>
      <c r="B234" s="32" t="s">
        <v>2213</v>
      </c>
    </row>
    <row r="235" spans="1:2" x14ac:dyDescent="0.35">
      <c r="A235" s="34">
        <v>2441</v>
      </c>
      <c r="B235" s="32" t="s">
        <v>2214</v>
      </c>
    </row>
    <row r="236" spans="1:2" x14ac:dyDescent="0.35">
      <c r="A236" s="34">
        <v>2448</v>
      </c>
      <c r="B236" s="32" t="s">
        <v>2215</v>
      </c>
    </row>
    <row r="237" spans="1:2" x14ac:dyDescent="0.35">
      <c r="A237" s="34">
        <v>2449</v>
      </c>
      <c r="B237" s="32" t="s">
        <v>2216</v>
      </c>
    </row>
    <row r="238" spans="1:2" x14ac:dyDescent="0.35">
      <c r="A238" s="34">
        <v>2451</v>
      </c>
      <c r="B238" s="32" t="s">
        <v>2217</v>
      </c>
    </row>
    <row r="239" spans="1:2" x14ac:dyDescent="0.35">
      <c r="A239" s="34">
        <v>2452</v>
      </c>
      <c r="B239" s="32" t="s">
        <v>2218</v>
      </c>
    </row>
    <row r="240" spans="1:2" x14ac:dyDescent="0.35">
      <c r="A240" s="34">
        <v>2491</v>
      </c>
      <c r="B240" s="32" t="s">
        <v>2219</v>
      </c>
    </row>
    <row r="241" spans="1:2" x14ac:dyDescent="0.35">
      <c r="A241" s="34">
        <v>2493</v>
      </c>
      <c r="B241" s="32" t="s">
        <v>2220</v>
      </c>
    </row>
    <row r="242" spans="1:2" x14ac:dyDescent="0.35">
      <c r="A242" s="34">
        <v>2499</v>
      </c>
      <c r="B242" s="32" t="s">
        <v>2221</v>
      </c>
    </row>
    <row r="243" spans="1:2" x14ac:dyDescent="0.35">
      <c r="A243" s="34">
        <v>2511</v>
      </c>
      <c r="B243" s="32" t="s">
        <v>2222</v>
      </c>
    </row>
    <row r="244" spans="1:2" x14ac:dyDescent="0.35">
      <c r="A244" s="34">
        <v>2512</v>
      </c>
      <c r="B244" s="32" t="s">
        <v>2223</v>
      </c>
    </row>
    <row r="245" spans="1:2" x14ac:dyDescent="0.35">
      <c r="A245" s="34">
        <v>2514</v>
      </c>
      <c r="B245" s="32" t="s">
        <v>2224</v>
      </c>
    </row>
    <row r="246" spans="1:2" x14ac:dyDescent="0.35">
      <c r="A246" s="34">
        <v>2515</v>
      </c>
      <c r="B246" s="32" t="s">
        <v>2225</v>
      </c>
    </row>
    <row r="247" spans="1:2" x14ac:dyDescent="0.35">
      <c r="A247" s="34">
        <v>2517</v>
      </c>
      <c r="B247" s="32" t="s">
        <v>2226</v>
      </c>
    </row>
    <row r="248" spans="1:2" x14ac:dyDescent="0.35">
      <c r="A248" s="34">
        <v>2519</v>
      </c>
      <c r="B248" s="32" t="s">
        <v>2227</v>
      </c>
    </row>
    <row r="249" spans="1:2" x14ac:dyDescent="0.35">
      <c r="A249" s="34">
        <v>2521</v>
      </c>
      <c r="B249" s="32" t="s">
        <v>2228</v>
      </c>
    </row>
    <row r="250" spans="1:2" x14ac:dyDescent="0.35">
      <c r="A250" s="34">
        <v>2522</v>
      </c>
      <c r="B250" s="32" t="s">
        <v>2229</v>
      </c>
    </row>
    <row r="251" spans="1:2" x14ac:dyDescent="0.35">
      <c r="A251" s="34">
        <v>2531</v>
      </c>
      <c r="B251" s="32" t="s">
        <v>2230</v>
      </c>
    </row>
    <row r="252" spans="1:2" x14ac:dyDescent="0.35">
      <c r="A252" s="34">
        <v>2541</v>
      </c>
      <c r="B252" s="32" t="s">
        <v>2231</v>
      </c>
    </row>
    <row r="253" spans="1:2" x14ac:dyDescent="0.35">
      <c r="A253" s="34">
        <v>2542</v>
      </c>
      <c r="B253" s="32" t="s">
        <v>2232</v>
      </c>
    </row>
    <row r="254" spans="1:2" x14ac:dyDescent="0.35">
      <c r="A254" s="34">
        <v>2591</v>
      </c>
      <c r="B254" s="32" t="s">
        <v>2233</v>
      </c>
    </row>
    <row r="255" spans="1:2" x14ac:dyDescent="0.35">
      <c r="A255" s="34">
        <v>2599</v>
      </c>
      <c r="B255" s="32" t="s">
        <v>2234</v>
      </c>
    </row>
    <row r="256" spans="1:2" x14ac:dyDescent="0.35">
      <c r="A256" s="34">
        <v>2611</v>
      </c>
      <c r="B256" s="32" t="s">
        <v>2235</v>
      </c>
    </row>
    <row r="257" spans="1:2" x14ac:dyDescent="0.35">
      <c r="A257" s="34">
        <v>2621</v>
      </c>
      <c r="B257" s="32" t="s">
        <v>2236</v>
      </c>
    </row>
    <row r="258" spans="1:2" x14ac:dyDescent="0.35">
      <c r="A258" s="34">
        <v>2631</v>
      </c>
      <c r="B258" s="32" t="s">
        <v>2237</v>
      </c>
    </row>
    <row r="259" spans="1:2" x14ac:dyDescent="0.35">
      <c r="A259" s="34">
        <v>2652</v>
      </c>
      <c r="B259" s="32" t="s">
        <v>2238</v>
      </c>
    </row>
    <row r="260" spans="1:2" x14ac:dyDescent="0.35">
      <c r="A260" s="34">
        <v>2653</v>
      </c>
      <c r="B260" s="32" t="s">
        <v>2239</v>
      </c>
    </row>
    <row r="261" spans="1:2" x14ac:dyDescent="0.35">
      <c r="A261" s="34">
        <v>2655</v>
      </c>
      <c r="B261" s="32" t="s">
        <v>2240</v>
      </c>
    </row>
    <row r="262" spans="1:2" x14ac:dyDescent="0.35">
      <c r="A262" s="34">
        <v>2656</v>
      </c>
      <c r="B262" s="32" t="s">
        <v>2241</v>
      </c>
    </row>
    <row r="263" spans="1:2" x14ac:dyDescent="0.35">
      <c r="A263" s="34">
        <v>2657</v>
      </c>
      <c r="B263" s="32" t="s">
        <v>2242</v>
      </c>
    </row>
    <row r="264" spans="1:2" x14ac:dyDescent="0.35">
      <c r="A264" s="34">
        <v>2671</v>
      </c>
      <c r="B264" s="32" t="s">
        <v>2243</v>
      </c>
    </row>
    <row r="265" spans="1:2" x14ac:dyDescent="0.35">
      <c r="A265" s="34">
        <v>2672</v>
      </c>
      <c r="B265" s="32" t="s">
        <v>2244</v>
      </c>
    </row>
    <row r="266" spans="1:2" x14ac:dyDescent="0.35">
      <c r="A266" s="34">
        <v>2673</v>
      </c>
      <c r="B266" s="32" t="s">
        <v>2245</v>
      </c>
    </row>
    <row r="267" spans="1:2" x14ac:dyDescent="0.35">
      <c r="A267" s="34">
        <v>2674</v>
      </c>
      <c r="B267" s="32" t="s">
        <v>2246</v>
      </c>
    </row>
    <row r="268" spans="1:2" x14ac:dyDescent="0.35">
      <c r="A268" s="34">
        <v>2675</v>
      </c>
      <c r="B268" s="32" t="s">
        <v>2247</v>
      </c>
    </row>
    <row r="269" spans="1:2" x14ac:dyDescent="0.35">
      <c r="A269" s="34">
        <v>2676</v>
      </c>
      <c r="B269" s="32" t="s">
        <v>2248</v>
      </c>
    </row>
    <row r="270" spans="1:2" x14ac:dyDescent="0.35">
      <c r="A270" s="34">
        <v>2677</v>
      </c>
      <c r="B270" s="32" t="s">
        <v>2249</v>
      </c>
    </row>
    <row r="271" spans="1:2" x14ac:dyDescent="0.35">
      <c r="A271" s="34">
        <v>2678</v>
      </c>
      <c r="B271" s="32" t="s">
        <v>2250</v>
      </c>
    </row>
    <row r="272" spans="1:2" x14ac:dyDescent="0.35">
      <c r="A272" s="34">
        <v>2679</v>
      </c>
      <c r="B272" s="32" t="s">
        <v>2251</v>
      </c>
    </row>
    <row r="273" spans="1:2" x14ac:dyDescent="0.35">
      <c r="A273" s="34">
        <v>2711</v>
      </c>
      <c r="B273" s="32" t="s">
        <v>2252</v>
      </c>
    </row>
    <row r="274" spans="1:2" x14ac:dyDescent="0.35">
      <c r="A274" s="34">
        <v>2721</v>
      </c>
      <c r="B274" s="32" t="s">
        <v>2253</v>
      </c>
    </row>
    <row r="275" spans="1:2" x14ac:dyDescent="0.35">
      <c r="A275" s="34">
        <v>2731</v>
      </c>
      <c r="B275" s="32" t="s">
        <v>2254</v>
      </c>
    </row>
    <row r="276" spans="1:2" x14ac:dyDescent="0.35">
      <c r="A276" s="34">
        <v>2732</v>
      </c>
      <c r="B276" s="32" t="s">
        <v>2255</v>
      </c>
    </row>
    <row r="277" spans="1:2" x14ac:dyDescent="0.35">
      <c r="A277" s="34">
        <v>2741</v>
      </c>
      <c r="B277" s="32" t="s">
        <v>2256</v>
      </c>
    </row>
    <row r="278" spans="1:2" x14ac:dyDescent="0.35">
      <c r="A278" s="34">
        <v>2752</v>
      </c>
      <c r="B278" s="32" t="s">
        <v>2257</v>
      </c>
    </row>
    <row r="279" spans="1:2" x14ac:dyDescent="0.35">
      <c r="A279" s="34">
        <v>2754</v>
      </c>
      <c r="B279" s="32" t="s">
        <v>2258</v>
      </c>
    </row>
    <row r="280" spans="1:2" x14ac:dyDescent="0.35">
      <c r="A280" s="34">
        <v>2759</v>
      </c>
      <c r="B280" s="32" t="s">
        <v>2259</v>
      </c>
    </row>
    <row r="281" spans="1:2" x14ac:dyDescent="0.35">
      <c r="A281" s="34">
        <v>2761</v>
      </c>
      <c r="B281" s="32" t="s">
        <v>2260</v>
      </c>
    </row>
    <row r="282" spans="1:2" x14ac:dyDescent="0.35">
      <c r="A282" s="34">
        <v>2771</v>
      </c>
      <c r="B282" s="32" t="s">
        <v>2261</v>
      </c>
    </row>
    <row r="283" spans="1:2" x14ac:dyDescent="0.35">
      <c r="A283" s="34">
        <v>2782</v>
      </c>
      <c r="B283" s="32" t="s">
        <v>2262</v>
      </c>
    </row>
    <row r="284" spans="1:2" x14ac:dyDescent="0.35">
      <c r="A284" s="34">
        <v>2789</v>
      </c>
      <c r="B284" s="32" t="s">
        <v>2263</v>
      </c>
    </row>
    <row r="285" spans="1:2" x14ac:dyDescent="0.35">
      <c r="A285" s="34">
        <v>2791</v>
      </c>
      <c r="B285" s="32" t="s">
        <v>2264</v>
      </c>
    </row>
    <row r="286" spans="1:2" x14ac:dyDescent="0.35">
      <c r="A286" s="34">
        <v>2796</v>
      </c>
      <c r="B286" s="32" t="s">
        <v>2265</v>
      </c>
    </row>
    <row r="287" spans="1:2" x14ac:dyDescent="0.35">
      <c r="A287" s="34">
        <v>2812</v>
      </c>
      <c r="B287" s="32" t="s">
        <v>2266</v>
      </c>
    </row>
    <row r="288" spans="1:2" x14ac:dyDescent="0.35">
      <c r="A288" s="34">
        <v>2813</v>
      </c>
      <c r="B288" s="32" t="s">
        <v>2267</v>
      </c>
    </row>
    <row r="289" spans="1:2" x14ac:dyDescent="0.35">
      <c r="A289" s="34">
        <v>2816</v>
      </c>
      <c r="B289" s="32" t="s">
        <v>2268</v>
      </c>
    </row>
    <row r="290" spans="1:2" x14ac:dyDescent="0.35">
      <c r="A290" s="34">
        <v>2819</v>
      </c>
      <c r="B290" s="32" t="s">
        <v>2269</v>
      </c>
    </row>
    <row r="291" spans="1:2" x14ac:dyDescent="0.35">
      <c r="A291" s="34">
        <v>2821</v>
      </c>
      <c r="B291" s="32" t="s">
        <v>2270</v>
      </c>
    </row>
    <row r="292" spans="1:2" x14ac:dyDescent="0.35">
      <c r="A292" s="34">
        <v>2822</v>
      </c>
      <c r="B292" s="32" t="s">
        <v>2271</v>
      </c>
    </row>
    <row r="293" spans="1:2" x14ac:dyDescent="0.35">
      <c r="A293" s="34">
        <v>2823</v>
      </c>
      <c r="B293" s="32" t="s">
        <v>2272</v>
      </c>
    </row>
    <row r="294" spans="1:2" x14ac:dyDescent="0.35">
      <c r="A294" s="34">
        <v>2824</v>
      </c>
      <c r="B294" s="32" t="s">
        <v>2273</v>
      </c>
    </row>
    <row r="295" spans="1:2" x14ac:dyDescent="0.35">
      <c r="A295" s="34">
        <v>2833</v>
      </c>
      <c r="B295" s="32" t="s">
        <v>2274</v>
      </c>
    </row>
    <row r="296" spans="1:2" x14ac:dyDescent="0.35">
      <c r="A296" s="34">
        <v>2834</v>
      </c>
      <c r="B296" s="32" t="s">
        <v>2275</v>
      </c>
    </row>
    <row r="297" spans="1:2" x14ac:dyDescent="0.35">
      <c r="A297" s="34">
        <v>2835</v>
      </c>
      <c r="B297" s="32" t="s">
        <v>2276</v>
      </c>
    </row>
    <row r="298" spans="1:2" x14ac:dyDescent="0.35">
      <c r="A298" s="34">
        <v>2836</v>
      </c>
      <c r="B298" s="32" t="s">
        <v>2277</v>
      </c>
    </row>
    <row r="299" spans="1:2" x14ac:dyDescent="0.35">
      <c r="A299" s="34">
        <v>2841</v>
      </c>
      <c r="B299" s="32" t="s">
        <v>2278</v>
      </c>
    </row>
    <row r="300" spans="1:2" x14ac:dyDescent="0.35">
      <c r="A300" s="34">
        <v>2842</v>
      </c>
      <c r="B300" s="32" t="s">
        <v>2279</v>
      </c>
    </row>
    <row r="301" spans="1:2" x14ac:dyDescent="0.35">
      <c r="A301" s="34">
        <v>2843</v>
      </c>
      <c r="B301" s="32" t="s">
        <v>2280</v>
      </c>
    </row>
    <row r="302" spans="1:2" x14ac:dyDescent="0.35">
      <c r="A302" s="34">
        <v>2844</v>
      </c>
      <c r="B302" s="32" t="s">
        <v>2281</v>
      </c>
    </row>
    <row r="303" spans="1:2" x14ac:dyDescent="0.35">
      <c r="A303" s="34">
        <v>2851</v>
      </c>
      <c r="B303" s="32" t="s">
        <v>2282</v>
      </c>
    </row>
    <row r="304" spans="1:2" x14ac:dyDescent="0.35">
      <c r="A304" s="34">
        <v>2861</v>
      </c>
      <c r="B304" s="32" t="s">
        <v>2283</v>
      </c>
    </row>
    <row r="305" spans="1:2" x14ac:dyDescent="0.35">
      <c r="A305" s="34">
        <v>2865</v>
      </c>
      <c r="B305" s="32" t="s">
        <v>2284</v>
      </c>
    </row>
    <row r="306" spans="1:2" x14ac:dyDescent="0.35">
      <c r="A306" s="34">
        <v>2869</v>
      </c>
      <c r="B306" s="32" t="s">
        <v>2285</v>
      </c>
    </row>
    <row r="307" spans="1:2" x14ac:dyDescent="0.35">
      <c r="A307" s="34">
        <v>2873</v>
      </c>
      <c r="B307" s="32" t="s">
        <v>2286</v>
      </c>
    </row>
    <row r="308" spans="1:2" x14ac:dyDescent="0.35">
      <c r="A308" s="34">
        <v>2874</v>
      </c>
      <c r="B308" s="32" t="s">
        <v>2287</v>
      </c>
    </row>
    <row r="309" spans="1:2" x14ac:dyDescent="0.35">
      <c r="A309" s="34">
        <v>2875</v>
      </c>
      <c r="B309" s="32" t="s">
        <v>2288</v>
      </c>
    </row>
    <row r="310" spans="1:2" x14ac:dyDescent="0.35">
      <c r="A310" s="34">
        <v>2879</v>
      </c>
      <c r="B310" s="32" t="s">
        <v>2289</v>
      </c>
    </row>
    <row r="311" spans="1:2" x14ac:dyDescent="0.35">
      <c r="A311" s="34">
        <v>2891</v>
      </c>
      <c r="B311" s="32" t="s">
        <v>2290</v>
      </c>
    </row>
    <row r="312" spans="1:2" x14ac:dyDescent="0.35">
      <c r="A312" s="34">
        <v>2892</v>
      </c>
      <c r="B312" s="32" t="s">
        <v>2291</v>
      </c>
    </row>
    <row r="313" spans="1:2" x14ac:dyDescent="0.35">
      <c r="A313" s="34">
        <v>2893</v>
      </c>
      <c r="B313" s="32" t="s">
        <v>2292</v>
      </c>
    </row>
    <row r="314" spans="1:2" x14ac:dyDescent="0.35">
      <c r="A314" s="34">
        <v>2895</v>
      </c>
      <c r="B314" s="32" t="s">
        <v>2293</v>
      </c>
    </row>
    <row r="315" spans="1:2" x14ac:dyDescent="0.35">
      <c r="A315" s="34">
        <v>2899</v>
      </c>
      <c r="B315" s="32" t="s">
        <v>2294</v>
      </c>
    </row>
    <row r="316" spans="1:2" x14ac:dyDescent="0.35">
      <c r="A316" s="34">
        <v>2911</v>
      </c>
      <c r="B316" s="32" t="s">
        <v>2295</v>
      </c>
    </row>
    <row r="317" spans="1:2" x14ac:dyDescent="0.35">
      <c r="A317" s="34">
        <v>2951</v>
      </c>
      <c r="B317" s="32" t="s">
        <v>2296</v>
      </c>
    </row>
    <row r="318" spans="1:2" x14ac:dyDescent="0.35">
      <c r="A318" s="34">
        <v>2952</v>
      </c>
      <c r="B318" s="32" t="s">
        <v>2297</v>
      </c>
    </row>
    <row r="319" spans="1:2" x14ac:dyDescent="0.35">
      <c r="A319" s="34">
        <v>2992</v>
      </c>
      <c r="B319" s="32" t="s">
        <v>2298</v>
      </c>
    </row>
    <row r="320" spans="1:2" x14ac:dyDescent="0.35">
      <c r="A320" s="34">
        <v>2999</v>
      </c>
      <c r="B320" s="32" t="s">
        <v>2299</v>
      </c>
    </row>
    <row r="321" spans="1:2" x14ac:dyDescent="0.35">
      <c r="A321" s="34">
        <v>3011</v>
      </c>
      <c r="B321" s="32" t="s">
        <v>2300</v>
      </c>
    </row>
    <row r="322" spans="1:2" x14ac:dyDescent="0.35">
      <c r="A322" s="34">
        <v>3021</v>
      </c>
      <c r="B322" s="32" t="s">
        <v>2301</v>
      </c>
    </row>
    <row r="323" spans="1:2" x14ac:dyDescent="0.35">
      <c r="A323" s="34">
        <v>3052</v>
      </c>
      <c r="B323" s="32" t="s">
        <v>2302</v>
      </c>
    </row>
    <row r="324" spans="1:2" x14ac:dyDescent="0.35">
      <c r="A324" s="34">
        <v>3053</v>
      </c>
      <c r="B324" s="32" t="s">
        <v>2303</v>
      </c>
    </row>
    <row r="325" spans="1:2" x14ac:dyDescent="0.35">
      <c r="A325" s="34">
        <v>3061</v>
      </c>
      <c r="B325" s="32" t="s">
        <v>2304</v>
      </c>
    </row>
    <row r="326" spans="1:2" x14ac:dyDescent="0.35">
      <c r="A326" s="34">
        <v>3069</v>
      </c>
      <c r="B326" s="32" t="s">
        <v>2305</v>
      </c>
    </row>
    <row r="327" spans="1:2" x14ac:dyDescent="0.35">
      <c r="A327" s="34">
        <v>3081</v>
      </c>
      <c r="B327" s="32" t="s">
        <v>2306</v>
      </c>
    </row>
    <row r="328" spans="1:2" x14ac:dyDescent="0.35">
      <c r="A328" s="34">
        <v>3082</v>
      </c>
      <c r="B328" s="32" t="s">
        <v>2307</v>
      </c>
    </row>
    <row r="329" spans="1:2" x14ac:dyDescent="0.35">
      <c r="A329" s="34">
        <v>3083</v>
      </c>
      <c r="B329" s="32" t="s">
        <v>2308</v>
      </c>
    </row>
    <row r="330" spans="1:2" x14ac:dyDescent="0.35">
      <c r="A330" s="34">
        <v>3084</v>
      </c>
      <c r="B330" s="32" t="s">
        <v>2309</v>
      </c>
    </row>
    <row r="331" spans="1:2" x14ac:dyDescent="0.35">
      <c r="A331" s="34">
        <v>3085</v>
      </c>
      <c r="B331" s="32" t="s">
        <v>2310</v>
      </c>
    </row>
    <row r="332" spans="1:2" x14ac:dyDescent="0.35">
      <c r="A332" s="34">
        <v>3086</v>
      </c>
      <c r="B332" s="32" t="s">
        <v>2311</v>
      </c>
    </row>
    <row r="333" spans="1:2" x14ac:dyDescent="0.35">
      <c r="A333" s="34">
        <v>3087</v>
      </c>
      <c r="B333" s="32" t="s">
        <v>2312</v>
      </c>
    </row>
    <row r="334" spans="1:2" x14ac:dyDescent="0.35">
      <c r="A334" s="34">
        <v>3088</v>
      </c>
      <c r="B334" s="32" t="s">
        <v>2313</v>
      </c>
    </row>
    <row r="335" spans="1:2" x14ac:dyDescent="0.35">
      <c r="A335" s="34">
        <v>3089</v>
      </c>
      <c r="B335" s="32" t="s">
        <v>2314</v>
      </c>
    </row>
    <row r="336" spans="1:2" x14ac:dyDescent="0.35">
      <c r="A336" s="34">
        <v>3111</v>
      </c>
      <c r="B336" s="32" t="s">
        <v>2315</v>
      </c>
    </row>
    <row r="337" spans="1:2" x14ac:dyDescent="0.35">
      <c r="A337" s="34">
        <v>3131</v>
      </c>
      <c r="B337" s="32" t="s">
        <v>2316</v>
      </c>
    </row>
    <row r="338" spans="1:2" x14ac:dyDescent="0.35">
      <c r="A338" s="34">
        <v>3142</v>
      </c>
      <c r="B338" s="32" t="s">
        <v>2317</v>
      </c>
    </row>
    <row r="339" spans="1:2" x14ac:dyDescent="0.35">
      <c r="A339" s="34">
        <v>3143</v>
      </c>
      <c r="B339" s="32" t="s">
        <v>2318</v>
      </c>
    </row>
    <row r="340" spans="1:2" x14ac:dyDescent="0.35">
      <c r="A340" s="34">
        <v>3144</v>
      </c>
      <c r="B340" s="32" t="s">
        <v>2319</v>
      </c>
    </row>
    <row r="341" spans="1:2" x14ac:dyDescent="0.35">
      <c r="A341" s="34">
        <v>3149</v>
      </c>
      <c r="B341" s="32" t="s">
        <v>2320</v>
      </c>
    </row>
    <row r="342" spans="1:2" x14ac:dyDescent="0.35">
      <c r="A342" s="34">
        <v>3151</v>
      </c>
      <c r="B342" s="32" t="s">
        <v>2321</v>
      </c>
    </row>
    <row r="343" spans="1:2" x14ac:dyDescent="0.35">
      <c r="A343" s="34">
        <v>3161</v>
      </c>
      <c r="B343" s="32" t="s">
        <v>2322</v>
      </c>
    </row>
    <row r="344" spans="1:2" x14ac:dyDescent="0.35">
      <c r="A344" s="34">
        <v>3171</v>
      </c>
      <c r="B344" s="32" t="s">
        <v>2323</v>
      </c>
    </row>
    <row r="345" spans="1:2" x14ac:dyDescent="0.35">
      <c r="A345" s="34">
        <v>3172</v>
      </c>
      <c r="B345" s="32" t="s">
        <v>2324</v>
      </c>
    </row>
    <row r="346" spans="1:2" x14ac:dyDescent="0.35">
      <c r="A346" s="34">
        <v>3199</v>
      </c>
      <c r="B346" s="32" t="s">
        <v>2325</v>
      </c>
    </row>
    <row r="347" spans="1:2" x14ac:dyDescent="0.35">
      <c r="A347" s="34">
        <v>3211</v>
      </c>
      <c r="B347" s="32" t="s">
        <v>2326</v>
      </c>
    </row>
    <row r="348" spans="1:2" x14ac:dyDescent="0.35">
      <c r="A348" s="34">
        <v>3221</v>
      </c>
      <c r="B348" s="32" t="s">
        <v>2327</v>
      </c>
    </row>
    <row r="349" spans="1:2" x14ac:dyDescent="0.35">
      <c r="A349" s="34">
        <v>3229</v>
      </c>
      <c r="B349" s="32" t="s">
        <v>2328</v>
      </c>
    </row>
    <row r="350" spans="1:2" x14ac:dyDescent="0.35">
      <c r="A350" s="34">
        <v>3231</v>
      </c>
      <c r="B350" s="32" t="s">
        <v>2329</v>
      </c>
    </row>
    <row r="351" spans="1:2" x14ac:dyDescent="0.35">
      <c r="A351" s="34">
        <v>3241</v>
      </c>
      <c r="B351" s="32" t="s">
        <v>2330</v>
      </c>
    </row>
    <row r="352" spans="1:2" x14ac:dyDescent="0.35">
      <c r="A352" s="34">
        <v>3251</v>
      </c>
      <c r="B352" s="32" t="s">
        <v>2331</v>
      </c>
    </row>
    <row r="353" spans="1:2" x14ac:dyDescent="0.35">
      <c r="A353" s="34">
        <v>3253</v>
      </c>
      <c r="B353" s="32" t="s">
        <v>2332</v>
      </c>
    </row>
    <row r="354" spans="1:2" x14ac:dyDescent="0.35">
      <c r="A354" s="34">
        <v>3255</v>
      </c>
      <c r="B354" s="32" t="s">
        <v>2333</v>
      </c>
    </row>
    <row r="355" spans="1:2" x14ac:dyDescent="0.35">
      <c r="A355" s="34">
        <v>3259</v>
      </c>
      <c r="B355" s="32" t="s">
        <v>2334</v>
      </c>
    </row>
    <row r="356" spans="1:2" x14ac:dyDescent="0.35">
      <c r="A356" s="34">
        <v>3261</v>
      </c>
      <c r="B356" s="32" t="s">
        <v>2335</v>
      </c>
    </row>
    <row r="357" spans="1:2" x14ac:dyDescent="0.35">
      <c r="A357" s="34">
        <v>3262</v>
      </c>
      <c r="B357" s="32" t="s">
        <v>2336</v>
      </c>
    </row>
    <row r="358" spans="1:2" x14ac:dyDescent="0.35">
      <c r="A358" s="34">
        <v>3263</v>
      </c>
      <c r="B358" s="32" t="s">
        <v>2337</v>
      </c>
    </row>
    <row r="359" spans="1:2" x14ac:dyDescent="0.35">
      <c r="A359" s="34">
        <v>3264</v>
      </c>
      <c r="B359" s="32" t="s">
        <v>2338</v>
      </c>
    </row>
    <row r="360" spans="1:2" x14ac:dyDescent="0.35">
      <c r="A360" s="34">
        <v>3269</v>
      </c>
      <c r="B360" s="32" t="s">
        <v>2339</v>
      </c>
    </row>
    <row r="361" spans="1:2" x14ac:dyDescent="0.35">
      <c r="A361" s="34">
        <v>3271</v>
      </c>
      <c r="B361" s="32" t="s">
        <v>2340</v>
      </c>
    </row>
    <row r="362" spans="1:2" x14ac:dyDescent="0.35">
      <c r="A362" s="34">
        <v>3272</v>
      </c>
      <c r="B362" s="32" t="s">
        <v>2341</v>
      </c>
    </row>
    <row r="363" spans="1:2" x14ac:dyDescent="0.35">
      <c r="A363" s="34">
        <v>3273</v>
      </c>
      <c r="B363" s="32" t="s">
        <v>2342</v>
      </c>
    </row>
    <row r="364" spans="1:2" x14ac:dyDescent="0.35">
      <c r="A364" s="34">
        <v>3274</v>
      </c>
      <c r="B364" s="32" t="s">
        <v>2343</v>
      </c>
    </row>
    <row r="365" spans="1:2" x14ac:dyDescent="0.35">
      <c r="A365" s="34">
        <v>3275</v>
      </c>
      <c r="B365" s="32" t="s">
        <v>2344</v>
      </c>
    </row>
    <row r="366" spans="1:2" x14ac:dyDescent="0.35">
      <c r="A366" s="34">
        <v>3281</v>
      </c>
      <c r="B366" s="32" t="s">
        <v>2345</v>
      </c>
    </row>
    <row r="367" spans="1:2" x14ac:dyDescent="0.35">
      <c r="A367" s="34">
        <v>3291</v>
      </c>
      <c r="B367" s="32" t="s">
        <v>2346</v>
      </c>
    </row>
    <row r="368" spans="1:2" x14ac:dyDescent="0.35">
      <c r="A368" s="34">
        <v>3292</v>
      </c>
      <c r="B368" s="32" t="s">
        <v>2347</v>
      </c>
    </row>
    <row r="369" spans="1:2" x14ac:dyDescent="0.35">
      <c r="A369" s="34">
        <v>3295</v>
      </c>
      <c r="B369" s="32" t="s">
        <v>2348</v>
      </c>
    </row>
    <row r="370" spans="1:2" x14ac:dyDescent="0.35">
      <c r="A370" s="34">
        <v>3296</v>
      </c>
      <c r="B370" s="32" t="s">
        <v>2349</v>
      </c>
    </row>
    <row r="371" spans="1:2" x14ac:dyDescent="0.35">
      <c r="A371" s="34">
        <v>3297</v>
      </c>
      <c r="B371" s="32" t="s">
        <v>2350</v>
      </c>
    </row>
    <row r="372" spans="1:2" x14ac:dyDescent="0.35">
      <c r="A372" s="34">
        <v>3299</v>
      </c>
      <c r="B372" s="32" t="s">
        <v>2351</v>
      </c>
    </row>
    <row r="373" spans="1:2" x14ac:dyDescent="0.35">
      <c r="A373" s="34">
        <v>3312</v>
      </c>
      <c r="B373" s="32" t="s">
        <v>2352</v>
      </c>
    </row>
    <row r="374" spans="1:2" x14ac:dyDescent="0.35">
      <c r="A374" s="34">
        <v>3313</v>
      </c>
      <c r="B374" s="32" t="s">
        <v>2353</v>
      </c>
    </row>
    <row r="375" spans="1:2" x14ac:dyDescent="0.35">
      <c r="A375" s="34">
        <v>3315</v>
      </c>
      <c r="B375" s="32" t="s">
        <v>2354</v>
      </c>
    </row>
    <row r="376" spans="1:2" x14ac:dyDescent="0.35">
      <c r="A376" s="34">
        <v>3316</v>
      </c>
      <c r="B376" s="32" t="s">
        <v>2355</v>
      </c>
    </row>
    <row r="377" spans="1:2" x14ac:dyDescent="0.35">
      <c r="A377" s="34">
        <v>3317</v>
      </c>
      <c r="B377" s="32" t="s">
        <v>2356</v>
      </c>
    </row>
    <row r="378" spans="1:2" x14ac:dyDescent="0.35">
      <c r="A378" s="34">
        <v>3321</v>
      </c>
      <c r="B378" s="32" t="s">
        <v>2357</v>
      </c>
    </row>
    <row r="379" spans="1:2" x14ac:dyDescent="0.35">
      <c r="A379" s="34">
        <v>3322</v>
      </c>
      <c r="B379" s="32" t="s">
        <v>2358</v>
      </c>
    </row>
    <row r="380" spans="1:2" x14ac:dyDescent="0.35">
      <c r="A380" s="34">
        <v>3324</v>
      </c>
      <c r="B380" s="32" t="s">
        <v>2359</v>
      </c>
    </row>
    <row r="381" spans="1:2" x14ac:dyDescent="0.35">
      <c r="A381" s="34">
        <v>3325</v>
      </c>
      <c r="B381" s="32" t="s">
        <v>2360</v>
      </c>
    </row>
    <row r="382" spans="1:2" x14ac:dyDescent="0.35">
      <c r="A382" s="34">
        <v>3331</v>
      </c>
      <c r="B382" s="32" t="s">
        <v>2361</v>
      </c>
    </row>
    <row r="383" spans="1:2" x14ac:dyDescent="0.35">
      <c r="A383" s="34">
        <v>3334</v>
      </c>
      <c r="B383" s="32" t="s">
        <v>2362</v>
      </c>
    </row>
    <row r="384" spans="1:2" x14ac:dyDescent="0.35">
      <c r="A384" s="34">
        <v>3339</v>
      </c>
      <c r="B384" s="32" t="s">
        <v>2363</v>
      </c>
    </row>
    <row r="385" spans="1:2" x14ac:dyDescent="0.35">
      <c r="A385" s="34">
        <v>3341</v>
      </c>
      <c r="B385" s="32" t="s">
        <v>2364</v>
      </c>
    </row>
    <row r="386" spans="1:2" x14ac:dyDescent="0.35">
      <c r="A386" s="34">
        <v>3351</v>
      </c>
      <c r="B386" s="32" t="s">
        <v>2365</v>
      </c>
    </row>
    <row r="387" spans="1:2" x14ac:dyDescent="0.35">
      <c r="A387" s="34">
        <v>3353</v>
      </c>
      <c r="B387" s="32" t="s">
        <v>2366</v>
      </c>
    </row>
    <row r="388" spans="1:2" x14ac:dyDescent="0.35">
      <c r="A388" s="34">
        <v>3354</v>
      </c>
      <c r="B388" s="32" t="s">
        <v>2367</v>
      </c>
    </row>
    <row r="389" spans="1:2" x14ac:dyDescent="0.35">
      <c r="A389" s="34">
        <v>3355</v>
      </c>
      <c r="B389" s="32" t="s">
        <v>2368</v>
      </c>
    </row>
    <row r="390" spans="1:2" x14ac:dyDescent="0.35">
      <c r="A390" s="34">
        <v>3356</v>
      </c>
      <c r="B390" s="32" t="s">
        <v>2369</v>
      </c>
    </row>
    <row r="391" spans="1:2" x14ac:dyDescent="0.35">
      <c r="A391" s="34">
        <v>3357</v>
      </c>
      <c r="B391" s="32" t="s">
        <v>2370</v>
      </c>
    </row>
    <row r="392" spans="1:2" x14ac:dyDescent="0.35">
      <c r="A392" s="34">
        <v>3363</v>
      </c>
      <c r="B392" s="32" t="s">
        <v>2371</v>
      </c>
    </row>
    <row r="393" spans="1:2" x14ac:dyDescent="0.35">
      <c r="A393" s="34">
        <v>3364</v>
      </c>
      <c r="B393" s="32" t="s">
        <v>2372</v>
      </c>
    </row>
    <row r="394" spans="1:2" x14ac:dyDescent="0.35">
      <c r="A394" s="34">
        <v>3365</v>
      </c>
      <c r="B394" s="32" t="s">
        <v>2373</v>
      </c>
    </row>
    <row r="395" spans="1:2" x14ac:dyDescent="0.35">
      <c r="A395" s="34">
        <v>3366</v>
      </c>
      <c r="B395" s="32" t="s">
        <v>2374</v>
      </c>
    </row>
    <row r="396" spans="1:2" x14ac:dyDescent="0.35">
      <c r="A396" s="34">
        <v>3369</v>
      </c>
      <c r="B396" s="32" t="s">
        <v>2375</v>
      </c>
    </row>
    <row r="397" spans="1:2" x14ac:dyDescent="0.35">
      <c r="A397" s="34">
        <v>3398</v>
      </c>
      <c r="B397" s="32" t="s">
        <v>2376</v>
      </c>
    </row>
    <row r="398" spans="1:2" x14ac:dyDescent="0.35">
      <c r="A398" s="34">
        <v>3399</v>
      </c>
      <c r="B398" s="32" t="s">
        <v>2377</v>
      </c>
    </row>
    <row r="399" spans="1:2" x14ac:dyDescent="0.35">
      <c r="A399" s="34">
        <v>3411</v>
      </c>
      <c r="B399" s="32" t="s">
        <v>2378</v>
      </c>
    </row>
    <row r="400" spans="1:2" x14ac:dyDescent="0.35">
      <c r="A400" s="34">
        <v>3412</v>
      </c>
      <c r="B400" s="32" t="s">
        <v>2379</v>
      </c>
    </row>
    <row r="401" spans="1:2" x14ac:dyDescent="0.35">
      <c r="A401" s="34">
        <v>3421</v>
      </c>
      <c r="B401" s="32" t="s">
        <v>2380</v>
      </c>
    </row>
    <row r="402" spans="1:2" x14ac:dyDescent="0.35">
      <c r="A402" s="34">
        <v>3423</v>
      </c>
      <c r="B402" s="32" t="s">
        <v>2381</v>
      </c>
    </row>
    <row r="403" spans="1:2" x14ac:dyDescent="0.35">
      <c r="A403" s="34">
        <v>3425</v>
      </c>
      <c r="B403" s="32" t="s">
        <v>2382</v>
      </c>
    </row>
    <row r="404" spans="1:2" x14ac:dyDescent="0.35">
      <c r="A404" s="34">
        <v>3429</v>
      </c>
      <c r="B404" s="32" t="s">
        <v>2383</v>
      </c>
    </row>
    <row r="405" spans="1:2" x14ac:dyDescent="0.35">
      <c r="A405" s="34">
        <v>3431</v>
      </c>
      <c r="B405" s="32" t="s">
        <v>2384</v>
      </c>
    </row>
    <row r="406" spans="1:2" x14ac:dyDescent="0.35">
      <c r="A406" s="34">
        <v>3432</v>
      </c>
      <c r="B406" s="32" t="s">
        <v>2385</v>
      </c>
    </row>
    <row r="407" spans="1:2" x14ac:dyDescent="0.35">
      <c r="A407" s="34">
        <v>3433</v>
      </c>
      <c r="B407" s="32" t="s">
        <v>2386</v>
      </c>
    </row>
    <row r="408" spans="1:2" x14ac:dyDescent="0.35">
      <c r="A408" s="34">
        <v>3441</v>
      </c>
      <c r="B408" s="32" t="s">
        <v>2387</v>
      </c>
    </row>
    <row r="409" spans="1:2" x14ac:dyDescent="0.35">
      <c r="A409" s="34">
        <v>3442</v>
      </c>
      <c r="B409" s="32" t="s">
        <v>2388</v>
      </c>
    </row>
    <row r="410" spans="1:2" x14ac:dyDescent="0.35">
      <c r="A410" s="34">
        <v>3443</v>
      </c>
      <c r="B410" s="32" t="s">
        <v>2389</v>
      </c>
    </row>
    <row r="411" spans="1:2" x14ac:dyDescent="0.35">
      <c r="A411" s="34">
        <v>3444</v>
      </c>
      <c r="B411" s="32" t="s">
        <v>2390</v>
      </c>
    </row>
    <row r="412" spans="1:2" x14ac:dyDescent="0.35">
      <c r="A412" s="34">
        <v>3446</v>
      </c>
      <c r="B412" s="32" t="s">
        <v>2391</v>
      </c>
    </row>
    <row r="413" spans="1:2" x14ac:dyDescent="0.35">
      <c r="A413" s="34">
        <v>3448</v>
      </c>
      <c r="B413" s="32" t="s">
        <v>2392</v>
      </c>
    </row>
    <row r="414" spans="1:2" x14ac:dyDescent="0.35">
      <c r="A414" s="34">
        <v>3449</v>
      </c>
      <c r="B414" s="32" t="s">
        <v>2393</v>
      </c>
    </row>
    <row r="415" spans="1:2" x14ac:dyDescent="0.35">
      <c r="A415" s="34">
        <v>3451</v>
      </c>
      <c r="B415" s="32" t="s">
        <v>2394</v>
      </c>
    </row>
    <row r="416" spans="1:2" x14ac:dyDescent="0.35">
      <c r="A416" s="34">
        <v>3452</v>
      </c>
      <c r="B416" s="32" t="s">
        <v>2395</v>
      </c>
    </row>
    <row r="417" spans="1:2" x14ac:dyDescent="0.35">
      <c r="A417" s="34">
        <v>3462</v>
      </c>
      <c r="B417" s="32" t="s">
        <v>2396</v>
      </c>
    </row>
    <row r="418" spans="1:2" x14ac:dyDescent="0.35">
      <c r="A418" s="34">
        <v>3463</v>
      </c>
      <c r="B418" s="32" t="s">
        <v>2397</v>
      </c>
    </row>
    <row r="419" spans="1:2" x14ac:dyDescent="0.35">
      <c r="A419" s="34">
        <v>3465</v>
      </c>
      <c r="B419" s="32" t="s">
        <v>2398</v>
      </c>
    </row>
    <row r="420" spans="1:2" x14ac:dyDescent="0.35">
      <c r="A420" s="34">
        <v>3466</v>
      </c>
      <c r="B420" s="32" t="s">
        <v>2399</v>
      </c>
    </row>
    <row r="421" spans="1:2" x14ac:dyDescent="0.35">
      <c r="A421" s="34">
        <v>3469</v>
      </c>
      <c r="B421" s="32" t="s">
        <v>2400</v>
      </c>
    </row>
    <row r="422" spans="1:2" x14ac:dyDescent="0.35">
      <c r="A422" s="34">
        <v>3471</v>
      </c>
      <c r="B422" s="32" t="s">
        <v>2401</v>
      </c>
    </row>
    <row r="423" spans="1:2" x14ac:dyDescent="0.35">
      <c r="A423" s="34">
        <v>3479</v>
      </c>
      <c r="B423" s="32" t="s">
        <v>2402</v>
      </c>
    </row>
    <row r="424" spans="1:2" x14ac:dyDescent="0.35">
      <c r="A424" s="34">
        <v>3482</v>
      </c>
      <c r="B424" s="32" t="s">
        <v>2403</v>
      </c>
    </row>
    <row r="425" spans="1:2" x14ac:dyDescent="0.35">
      <c r="A425" s="34">
        <v>3483</v>
      </c>
      <c r="B425" s="32" t="s">
        <v>2404</v>
      </c>
    </row>
    <row r="426" spans="1:2" x14ac:dyDescent="0.35">
      <c r="A426" s="34">
        <v>3484</v>
      </c>
      <c r="B426" s="32" t="s">
        <v>2405</v>
      </c>
    </row>
    <row r="427" spans="1:2" x14ac:dyDescent="0.35">
      <c r="A427" s="34">
        <v>3489</v>
      </c>
      <c r="B427" s="32" t="s">
        <v>2406</v>
      </c>
    </row>
    <row r="428" spans="1:2" x14ac:dyDescent="0.35">
      <c r="A428" s="34">
        <v>3491</v>
      </c>
      <c r="B428" s="32" t="s">
        <v>2407</v>
      </c>
    </row>
    <row r="429" spans="1:2" x14ac:dyDescent="0.35">
      <c r="A429" s="34">
        <v>3492</v>
      </c>
      <c r="B429" s="32" t="s">
        <v>2408</v>
      </c>
    </row>
    <row r="430" spans="1:2" x14ac:dyDescent="0.35">
      <c r="A430" s="34">
        <v>3493</v>
      </c>
      <c r="B430" s="32" t="s">
        <v>2409</v>
      </c>
    </row>
    <row r="431" spans="1:2" x14ac:dyDescent="0.35">
      <c r="A431" s="34">
        <v>3494</v>
      </c>
      <c r="B431" s="32" t="s">
        <v>2410</v>
      </c>
    </row>
    <row r="432" spans="1:2" x14ac:dyDescent="0.35">
      <c r="A432" s="34">
        <v>3495</v>
      </c>
      <c r="B432" s="32" t="s">
        <v>2411</v>
      </c>
    </row>
    <row r="433" spans="1:2" x14ac:dyDescent="0.35">
      <c r="A433" s="34">
        <v>3496</v>
      </c>
      <c r="B433" s="32" t="s">
        <v>2412</v>
      </c>
    </row>
    <row r="434" spans="1:2" x14ac:dyDescent="0.35">
      <c r="A434" s="34">
        <v>3497</v>
      </c>
      <c r="B434" s="32" t="s">
        <v>2413</v>
      </c>
    </row>
    <row r="435" spans="1:2" x14ac:dyDescent="0.35">
      <c r="A435" s="34">
        <v>3498</v>
      </c>
      <c r="B435" s="32" t="s">
        <v>2414</v>
      </c>
    </row>
    <row r="436" spans="1:2" x14ac:dyDescent="0.35">
      <c r="A436" s="34">
        <v>3499</v>
      </c>
      <c r="B436" s="32" t="s">
        <v>2415</v>
      </c>
    </row>
    <row r="437" spans="1:2" x14ac:dyDescent="0.35">
      <c r="A437" s="34">
        <v>3511</v>
      </c>
      <c r="B437" s="32" t="s">
        <v>2416</v>
      </c>
    </row>
    <row r="438" spans="1:2" x14ac:dyDescent="0.35">
      <c r="A438" s="34">
        <v>3519</v>
      </c>
      <c r="B438" s="32" t="s">
        <v>2417</v>
      </c>
    </row>
    <row r="439" spans="1:2" x14ac:dyDescent="0.35">
      <c r="A439" s="34">
        <v>3523</v>
      </c>
      <c r="B439" s="32" t="s">
        <v>2418</v>
      </c>
    </row>
    <row r="440" spans="1:2" x14ac:dyDescent="0.35">
      <c r="A440" s="34">
        <v>3524</v>
      </c>
      <c r="B440" s="32" t="s">
        <v>2419</v>
      </c>
    </row>
    <row r="441" spans="1:2" x14ac:dyDescent="0.35">
      <c r="A441" s="34">
        <v>3531</v>
      </c>
      <c r="B441" s="32" t="s">
        <v>2420</v>
      </c>
    </row>
    <row r="442" spans="1:2" x14ac:dyDescent="0.35">
      <c r="A442" s="34">
        <v>3532</v>
      </c>
      <c r="B442" s="32" t="s">
        <v>2421</v>
      </c>
    </row>
    <row r="443" spans="1:2" x14ac:dyDescent="0.35">
      <c r="A443" s="34">
        <v>3533</v>
      </c>
      <c r="B443" s="32" t="s">
        <v>2422</v>
      </c>
    </row>
    <row r="444" spans="1:2" x14ac:dyDescent="0.35">
      <c r="A444" s="34">
        <v>3534</v>
      </c>
      <c r="B444" s="32" t="s">
        <v>2423</v>
      </c>
    </row>
    <row r="445" spans="1:2" x14ac:dyDescent="0.35">
      <c r="A445" s="34">
        <v>3535</v>
      </c>
      <c r="B445" s="32" t="s">
        <v>2424</v>
      </c>
    </row>
    <row r="446" spans="1:2" x14ac:dyDescent="0.35">
      <c r="A446" s="34">
        <v>3536</v>
      </c>
      <c r="B446" s="32" t="s">
        <v>2425</v>
      </c>
    </row>
    <row r="447" spans="1:2" x14ac:dyDescent="0.35">
      <c r="A447" s="34">
        <v>3537</v>
      </c>
      <c r="B447" s="32" t="s">
        <v>2426</v>
      </c>
    </row>
    <row r="448" spans="1:2" x14ac:dyDescent="0.35">
      <c r="A448" s="34">
        <v>3541</v>
      </c>
      <c r="B448" s="32" t="s">
        <v>2427</v>
      </c>
    </row>
    <row r="449" spans="1:2" x14ac:dyDescent="0.35">
      <c r="A449" s="34">
        <v>3542</v>
      </c>
      <c r="B449" s="32" t="s">
        <v>2428</v>
      </c>
    </row>
    <row r="450" spans="1:2" x14ac:dyDescent="0.35">
      <c r="A450" s="34">
        <v>3543</v>
      </c>
      <c r="B450" s="32" t="s">
        <v>2429</v>
      </c>
    </row>
    <row r="451" spans="1:2" x14ac:dyDescent="0.35">
      <c r="A451" s="34">
        <v>3544</v>
      </c>
      <c r="B451" s="32" t="s">
        <v>2430</v>
      </c>
    </row>
    <row r="452" spans="1:2" x14ac:dyDescent="0.35">
      <c r="A452" s="34">
        <v>3545</v>
      </c>
      <c r="B452" s="32" t="s">
        <v>2431</v>
      </c>
    </row>
    <row r="453" spans="1:2" x14ac:dyDescent="0.35">
      <c r="A453" s="34">
        <v>3546</v>
      </c>
      <c r="B453" s="32" t="s">
        <v>2432</v>
      </c>
    </row>
    <row r="454" spans="1:2" x14ac:dyDescent="0.35">
      <c r="A454" s="34">
        <v>3547</v>
      </c>
      <c r="B454" s="32" t="s">
        <v>2433</v>
      </c>
    </row>
    <row r="455" spans="1:2" x14ac:dyDescent="0.35">
      <c r="A455" s="34">
        <v>3548</v>
      </c>
      <c r="B455" s="32" t="s">
        <v>2434</v>
      </c>
    </row>
    <row r="456" spans="1:2" x14ac:dyDescent="0.35">
      <c r="A456" s="34">
        <v>3549</v>
      </c>
      <c r="B456" s="32" t="s">
        <v>2435</v>
      </c>
    </row>
    <row r="457" spans="1:2" x14ac:dyDescent="0.35">
      <c r="A457" s="34">
        <v>3552</v>
      </c>
      <c r="B457" s="32" t="s">
        <v>2436</v>
      </c>
    </row>
    <row r="458" spans="1:2" x14ac:dyDescent="0.35">
      <c r="A458" s="34">
        <v>3553</v>
      </c>
      <c r="B458" s="32" t="s">
        <v>2437</v>
      </c>
    </row>
    <row r="459" spans="1:2" x14ac:dyDescent="0.35">
      <c r="A459" s="34">
        <v>3554</v>
      </c>
      <c r="B459" s="32" t="s">
        <v>2438</v>
      </c>
    </row>
    <row r="460" spans="1:2" x14ac:dyDescent="0.35">
      <c r="A460" s="34">
        <v>3555</v>
      </c>
      <c r="B460" s="32" t="s">
        <v>2439</v>
      </c>
    </row>
    <row r="461" spans="1:2" x14ac:dyDescent="0.35">
      <c r="A461" s="34">
        <v>3556</v>
      </c>
      <c r="B461" s="32" t="s">
        <v>2440</v>
      </c>
    </row>
    <row r="462" spans="1:2" x14ac:dyDescent="0.35">
      <c r="A462" s="34">
        <v>3559</v>
      </c>
      <c r="B462" s="32" t="s">
        <v>2441</v>
      </c>
    </row>
    <row r="463" spans="1:2" x14ac:dyDescent="0.35">
      <c r="A463" s="34">
        <v>3561</v>
      </c>
      <c r="B463" s="32" t="s">
        <v>2442</v>
      </c>
    </row>
    <row r="464" spans="1:2" x14ac:dyDescent="0.35">
      <c r="A464" s="34">
        <v>3562</v>
      </c>
      <c r="B464" s="32" t="s">
        <v>2443</v>
      </c>
    </row>
    <row r="465" spans="1:2" x14ac:dyDescent="0.35">
      <c r="A465" s="34">
        <v>3563</v>
      </c>
      <c r="B465" s="32" t="s">
        <v>2444</v>
      </c>
    </row>
    <row r="466" spans="1:2" x14ac:dyDescent="0.35">
      <c r="A466" s="34">
        <v>3564</v>
      </c>
      <c r="B466" s="32" t="s">
        <v>2445</v>
      </c>
    </row>
    <row r="467" spans="1:2" x14ac:dyDescent="0.35">
      <c r="A467" s="34">
        <v>3565</v>
      </c>
      <c r="B467" s="32" t="s">
        <v>2446</v>
      </c>
    </row>
    <row r="468" spans="1:2" x14ac:dyDescent="0.35">
      <c r="A468" s="34">
        <v>3566</v>
      </c>
      <c r="B468" s="32" t="s">
        <v>2447</v>
      </c>
    </row>
    <row r="469" spans="1:2" x14ac:dyDescent="0.35">
      <c r="A469" s="34">
        <v>3567</v>
      </c>
      <c r="B469" s="32" t="s">
        <v>2448</v>
      </c>
    </row>
    <row r="470" spans="1:2" x14ac:dyDescent="0.35">
      <c r="A470" s="34">
        <v>3568</v>
      </c>
      <c r="B470" s="32" t="s">
        <v>2449</v>
      </c>
    </row>
    <row r="471" spans="1:2" x14ac:dyDescent="0.35">
      <c r="A471" s="34">
        <v>3569</v>
      </c>
      <c r="B471" s="32" t="s">
        <v>2450</v>
      </c>
    </row>
    <row r="472" spans="1:2" x14ac:dyDescent="0.35">
      <c r="A472" s="34">
        <v>3571</v>
      </c>
      <c r="B472" s="32" t="s">
        <v>2451</v>
      </c>
    </row>
    <row r="473" spans="1:2" x14ac:dyDescent="0.35">
      <c r="A473" s="34">
        <v>3572</v>
      </c>
      <c r="B473" s="32" t="s">
        <v>2452</v>
      </c>
    </row>
    <row r="474" spans="1:2" x14ac:dyDescent="0.35">
      <c r="A474" s="34">
        <v>3575</v>
      </c>
      <c r="B474" s="32" t="s">
        <v>2453</v>
      </c>
    </row>
    <row r="475" spans="1:2" x14ac:dyDescent="0.35">
      <c r="A475" s="34">
        <v>3577</v>
      </c>
      <c r="B475" s="32" t="s">
        <v>2454</v>
      </c>
    </row>
    <row r="476" spans="1:2" x14ac:dyDescent="0.35">
      <c r="A476" s="34">
        <v>3578</v>
      </c>
      <c r="B476" s="32" t="s">
        <v>2455</v>
      </c>
    </row>
    <row r="477" spans="1:2" x14ac:dyDescent="0.35">
      <c r="A477" s="34">
        <v>3579</v>
      </c>
      <c r="B477" s="32" t="s">
        <v>2456</v>
      </c>
    </row>
    <row r="478" spans="1:2" x14ac:dyDescent="0.35">
      <c r="A478" s="34">
        <v>3581</v>
      </c>
      <c r="B478" s="32" t="s">
        <v>2457</v>
      </c>
    </row>
    <row r="479" spans="1:2" x14ac:dyDescent="0.35">
      <c r="A479" s="34">
        <v>3582</v>
      </c>
      <c r="B479" s="32" t="s">
        <v>2458</v>
      </c>
    </row>
    <row r="480" spans="1:2" x14ac:dyDescent="0.35">
      <c r="A480" s="34">
        <v>3585</v>
      </c>
      <c r="B480" s="32" t="s">
        <v>2459</v>
      </c>
    </row>
    <row r="481" spans="1:2" x14ac:dyDescent="0.35">
      <c r="A481" s="34">
        <v>3586</v>
      </c>
      <c r="B481" s="32" t="s">
        <v>2460</v>
      </c>
    </row>
    <row r="482" spans="1:2" x14ac:dyDescent="0.35">
      <c r="A482" s="34">
        <v>3589</v>
      </c>
      <c r="B482" s="32" t="s">
        <v>2461</v>
      </c>
    </row>
    <row r="483" spans="1:2" x14ac:dyDescent="0.35">
      <c r="A483" s="34">
        <v>3592</v>
      </c>
      <c r="B483" s="32" t="s">
        <v>2462</v>
      </c>
    </row>
    <row r="484" spans="1:2" x14ac:dyDescent="0.35">
      <c r="A484" s="34">
        <v>3593</v>
      </c>
      <c r="B484" s="32" t="s">
        <v>2463</v>
      </c>
    </row>
    <row r="485" spans="1:2" x14ac:dyDescent="0.35">
      <c r="A485" s="34">
        <v>3594</v>
      </c>
      <c r="B485" s="32" t="s">
        <v>2464</v>
      </c>
    </row>
    <row r="486" spans="1:2" x14ac:dyDescent="0.35">
      <c r="A486" s="34">
        <v>3596</v>
      </c>
      <c r="B486" s="32" t="s">
        <v>2465</v>
      </c>
    </row>
    <row r="487" spans="1:2" x14ac:dyDescent="0.35">
      <c r="A487" s="34">
        <v>3599</v>
      </c>
      <c r="B487" s="32" t="s">
        <v>2466</v>
      </c>
    </row>
    <row r="488" spans="1:2" x14ac:dyDescent="0.35">
      <c r="A488" s="34">
        <v>3612</v>
      </c>
      <c r="B488" s="32" t="s">
        <v>2467</v>
      </c>
    </row>
    <row r="489" spans="1:2" x14ac:dyDescent="0.35">
      <c r="A489" s="34">
        <v>3613</v>
      </c>
      <c r="B489" s="32" t="s">
        <v>2468</v>
      </c>
    </row>
    <row r="490" spans="1:2" x14ac:dyDescent="0.35">
      <c r="A490" s="34">
        <v>3621</v>
      </c>
      <c r="B490" s="32" t="s">
        <v>2469</v>
      </c>
    </row>
    <row r="491" spans="1:2" x14ac:dyDescent="0.35">
      <c r="A491" s="34">
        <v>3624</v>
      </c>
      <c r="B491" s="32" t="s">
        <v>2470</v>
      </c>
    </row>
    <row r="492" spans="1:2" x14ac:dyDescent="0.35">
      <c r="A492" s="34">
        <v>3625</v>
      </c>
      <c r="B492" s="32" t="s">
        <v>2471</v>
      </c>
    </row>
    <row r="493" spans="1:2" x14ac:dyDescent="0.35">
      <c r="A493" s="34">
        <v>3629</v>
      </c>
      <c r="B493" s="32" t="s">
        <v>2472</v>
      </c>
    </row>
    <row r="494" spans="1:2" x14ac:dyDescent="0.35">
      <c r="A494" s="34">
        <v>3631</v>
      </c>
      <c r="B494" s="32" t="s">
        <v>2473</v>
      </c>
    </row>
    <row r="495" spans="1:2" x14ac:dyDescent="0.35">
      <c r="A495" s="34">
        <v>3632</v>
      </c>
      <c r="B495" s="32" t="s">
        <v>2474</v>
      </c>
    </row>
    <row r="496" spans="1:2" x14ac:dyDescent="0.35">
      <c r="A496" s="34">
        <v>3633</v>
      </c>
      <c r="B496" s="32" t="s">
        <v>2475</v>
      </c>
    </row>
    <row r="497" spans="1:2" x14ac:dyDescent="0.35">
      <c r="A497" s="34">
        <v>3634</v>
      </c>
      <c r="B497" s="32" t="s">
        <v>2476</v>
      </c>
    </row>
    <row r="498" spans="1:2" x14ac:dyDescent="0.35">
      <c r="A498" s="34">
        <v>3635</v>
      </c>
      <c r="B498" s="32" t="s">
        <v>2477</v>
      </c>
    </row>
    <row r="499" spans="1:2" x14ac:dyDescent="0.35">
      <c r="A499" s="34">
        <v>3639</v>
      </c>
      <c r="B499" s="32" t="s">
        <v>2478</v>
      </c>
    </row>
    <row r="500" spans="1:2" x14ac:dyDescent="0.35">
      <c r="A500" s="34">
        <v>3641</v>
      </c>
      <c r="B500" s="32" t="s">
        <v>2479</v>
      </c>
    </row>
    <row r="501" spans="1:2" x14ac:dyDescent="0.35">
      <c r="A501" s="34">
        <v>3643</v>
      </c>
      <c r="B501" s="32" t="s">
        <v>2480</v>
      </c>
    </row>
    <row r="502" spans="1:2" x14ac:dyDescent="0.35">
      <c r="A502" s="34">
        <v>3644</v>
      </c>
      <c r="B502" s="32" t="s">
        <v>2481</v>
      </c>
    </row>
    <row r="503" spans="1:2" x14ac:dyDescent="0.35">
      <c r="A503" s="34">
        <v>3645</v>
      </c>
      <c r="B503" s="32" t="s">
        <v>2482</v>
      </c>
    </row>
    <row r="504" spans="1:2" x14ac:dyDescent="0.35">
      <c r="A504" s="34">
        <v>3646</v>
      </c>
      <c r="B504" s="32" t="s">
        <v>2483</v>
      </c>
    </row>
    <row r="505" spans="1:2" x14ac:dyDescent="0.35">
      <c r="A505" s="34">
        <v>3647</v>
      </c>
      <c r="B505" s="32" t="s">
        <v>2484</v>
      </c>
    </row>
    <row r="506" spans="1:2" x14ac:dyDescent="0.35">
      <c r="A506" s="34">
        <v>3648</v>
      </c>
      <c r="B506" s="32" t="s">
        <v>2485</v>
      </c>
    </row>
    <row r="507" spans="1:2" x14ac:dyDescent="0.35">
      <c r="A507" s="34">
        <v>3651</v>
      </c>
      <c r="B507" s="32" t="s">
        <v>2486</v>
      </c>
    </row>
    <row r="508" spans="1:2" x14ac:dyDescent="0.35">
      <c r="A508" s="34">
        <v>3652</v>
      </c>
      <c r="B508" s="32" t="s">
        <v>2487</v>
      </c>
    </row>
    <row r="509" spans="1:2" x14ac:dyDescent="0.35">
      <c r="A509" s="34">
        <v>3661</v>
      </c>
      <c r="B509" s="32" t="s">
        <v>2488</v>
      </c>
    </row>
    <row r="510" spans="1:2" x14ac:dyDescent="0.35">
      <c r="A510" s="34">
        <v>3663</v>
      </c>
      <c r="B510" s="32" t="s">
        <v>2489</v>
      </c>
    </row>
    <row r="511" spans="1:2" x14ac:dyDescent="0.35">
      <c r="A511" s="34">
        <v>3669</v>
      </c>
      <c r="B511" s="32" t="s">
        <v>2490</v>
      </c>
    </row>
    <row r="512" spans="1:2" x14ac:dyDescent="0.35">
      <c r="A512" s="34">
        <v>3671</v>
      </c>
      <c r="B512" s="32" t="s">
        <v>2491</v>
      </c>
    </row>
    <row r="513" spans="1:2" x14ac:dyDescent="0.35">
      <c r="A513" s="34">
        <v>3672</v>
      </c>
      <c r="B513" s="32" t="s">
        <v>2492</v>
      </c>
    </row>
    <row r="514" spans="1:2" x14ac:dyDescent="0.35">
      <c r="A514" s="34">
        <v>3674</v>
      </c>
      <c r="B514" s="32" t="s">
        <v>2493</v>
      </c>
    </row>
    <row r="515" spans="1:2" x14ac:dyDescent="0.35">
      <c r="A515" s="34">
        <v>3675</v>
      </c>
      <c r="B515" s="32" t="s">
        <v>2494</v>
      </c>
    </row>
    <row r="516" spans="1:2" x14ac:dyDescent="0.35">
      <c r="A516" s="34">
        <v>3676</v>
      </c>
      <c r="B516" s="32" t="s">
        <v>2495</v>
      </c>
    </row>
    <row r="517" spans="1:2" x14ac:dyDescent="0.35">
      <c r="A517" s="34">
        <v>3677</v>
      </c>
      <c r="B517" s="32" t="s">
        <v>2496</v>
      </c>
    </row>
    <row r="518" spans="1:2" x14ac:dyDescent="0.35">
      <c r="A518" s="34">
        <v>3678</v>
      </c>
      <c r="B518" s="32" t="s">
        <v>2497</v>
      </c>
    </row>
    <row r="519" spans="1:2" x14ac:dyDescent="0.35">
      <c r="A519" s="34">
        <v>3679</v>
      </c>
      <c r="B519" s="32" t="s">
        <v>2498</v>
      </c>
    </row>
    <row r="520" spans="1:2" x14ac:dyDescent="0.35">
      <c r="A520" s="34">
        <v>3691</v>
      </c>
      <c r="B520" s="32" t="s">
        <v>2499</v>
      </c>
    </row>
    <row r="521" spans="1:2" x14ac:dyDescent="0.35">
      <c r="A521" s="34">
        <v>3692</v>
      </c>
      <c r="B521" s="32" t="s">
        <v>2500</v>
      </c>
    </row>
    <row r="522" spans="1:2" x14ac:dyDescent="0.35">
      <c r="A522" s="34">
        <v>3694</v>
      </c>
      <c r="B522" s="32" t="s">
        <v>2501</v>
      </c>
    </row>
    <row r="523" spans="1:2" x14ac:dyDescent="0.35">
      <c r="A523" s="34">
        <v>3695</v>
      </c>
      <c r="B523" s="32" t="s">
        <v>2502</v>
      </c>
    </row>
    <row r="524" spans="1:2" x14ac:dyDescent="0.35">
      <c r="A524" s="34">
        <v>3699</v>
      </c>
      <c r="B524" s="32" t="s">
        <v>2503</v>
      </c>
    </row>
    <row r="525" spans="1:2" x14ac:dyDescent="0.35">
      <c r="A525" s="34">
        <v>3711</v>
      </c>
      <c r="B525" s="32" t="s">
        <v>2504</v>
      </c>
    </row>
    <row r="526" spans="1:2" x14ac:dyDescent="0.35">
      <c r="A526" s="34">
        <v>3713</v>
      </c>
      <c r="B526" s="32" t="s">
        <v>2505</v>
      </c>
    </row>
    <row r="527" spans="1:2" x14ac:dyDescent="0.35">
      <c r="A527" s="34">
        <v>3714</v>
      </c>
      <c r="B527" s="32" t="s">
        <v>2506</v>
      </c>
    </row>
    <row r="528" spans="1:2" x14ac:dyDescent="0.35">
      <c r="A528" s="34">
        <v>3715</v>
      </c>
      <c r="B528" s="32" t="s">
        <v>2507</v>
      </c>
    </row>
    <row r="529" spans="1:2" x14ac:dyDescent="0.35">
      <c r="A529" s="34">
        <v>3716</v>
      </c>
      <c r="B529" s="32" t="s">
        <v>2508</v>
      </c>
    </row>
    <row r="530" spans="1:2" x14ac:dyDescent="0.35">
      <c r="A530" s="34">
        <v>3721</v>
      </c>
      <c r="B530" s="32" t="s">
        <v>2509</v>
      </c>
    </row>
    <row r="531" spans="1:2" x14ac:dyDescent="0.35">
      <c r="A531" s="34">
        <v>3724</v>
      </c>
      <c r="B531" s="32" t="s">
        <v>2510</v>
      </c>
    </row>
    <row r="532" spans="1:2" x14ac:dyDescent="0.35">
      <c r="A532" s="34">
        <v>3728</v>
      </c>
      <c r="B532" s="32" t="s">
        <v>2511</v>
      </c>
    </row>
    <row r="533" spans="1:2" x14ac:dyDescent="0.35">
      <c r="A533" s="34">
        <v>3731</v>
      </c>
      <c r="B533" s="32" t="s">
        <v>2512</v>
      </c>
    </row>
    <row r="534" spans="1:2" x14ac:dyDescent="0.35">
      <c r="A534" s="34">
        <v>3732</v>
      </c>
      <c r="B534" s="32" t="s">
        <v>2513</v>
      </c>
    </row>
    <row r="535" spans="1:2" x14ac:dyDescent="0.35">
      <c r="A535" s="34">
        <v>3743</v>
      </c>
      <c r="B535" s="32" t="s">
        <v>2514</v>
      </c>
    </row>
    <row r="536" spans="1:2" x14ac:dyDescent="0.35">
      <c r="A536" s="34">
        <v>3751</v>
      </c>
      <c r="B536" s="32" t="s">
        <v>2515</v>
      </c>
    </row>
    <row r="537" spans="1:2" x14ac:dyDescent="0.35">
      <c r="A537" s="34">
        <v>3761</v>
      </c>
      <c r="B537" s="32" t="s">
        <v>2516</v>
      </c>
    </row>
    <row r="538" spans="1:2" x14ac:dyDescent="0.35">
      <c r="A538" s="34">
        <v>3764</v>
      </c>
      <c r="B538" s="32" t="s">
        <v>2517</v>
      </c>
    </row>
    <row r="539" spans="1:2" x14ac:dyDescent="0.35">
      <c r="A539" s="34">
        <v>3769</v>
      </c>
      <c r="B539" s="32" t="s">
        <v>2518</v>
      </c>
    </row>
    <row r="540" spans="1:2" x14ac:dyDescent="0.35">
      <c r="A540" s="34">
        <v>3792</v>
      </c>
      <c r="B540" s="32" t="s">
        <v>2519</v>
      </c>
    </row>
    <row r="541" spans="1:2" x14ac:dyDescent="0.35">
      <c r="A541" s="34">
        <v>3795</v>
      </c>
      <c r="B541" s="32" t="s">
        <v>2520</v>
      </c>
    </row>
    <row r="542" spans="1:2" x14ac:dyDescent="0.35">
      <c r="A542" s="34">
        <v>3799</v>
      </c>
      <c r="B542" s="32" t="s">
        <v>2521</v>
      </c>
    </row>
    <row r="543" spans="1:2" x14ac:dyDescent="0.35">
      <c r="A543" s="34">
        <v>3812</v>
      </c>
      <c r="B543" s="32" t="s">
        <v>2522</v>
      </c>
    </row>
    <row r="544" spans="1:2" x14ac:dyDescent="0.35">
      <c r="A544" s="34">
        <v>3821</v>
      </c>
      <c r="B544" s="32" t="s">
        <v>2523</v>
      </c>
    </row>
    <row r="545" spans="1:2" x14ac:dyDescent="0.35">
      <c r="A545" s="34">
        <v>3822</v>
      </c>
      <c r="B545" s="32" t="s">
        <v>2524</v>
      </c>
    </row>
    <row r="546" spans="1:2" x14ac:dyDescent="0.35">
      <c r="A546" s="34">
        <v>3823</v>
      </c>
      <c r="B546" s="32" t="s">
        <v>2525</v>
      </c>
    </row>
    <row r="547" spans="1:2" x14ac:dyDescent="0.35">
      <c r="A547" s="34">
        <v>3824</v>
      </c>
      <c r="B547" s="32" t="s">
        <v>2526</v>
      </c>
    </row>
    <row r="548" spans="1:2" x14ac:dyDescent="0.35">
      <c r="A548" s="34">
        <v>3825</v>
      </c>
      <c r="B548" s="32" t="s">
        <v>2527</v>
      </c>
    </row>
    <row r="549" spans="1:2" x14ac:dyDescent="0.35">
      <c r="A549" s="34">
        <v>3826</v>
      </c>
      <c r="B549" s="32" t="s">
        <v>2528</v>
      </c>
    </row>
    <row r="550" spans="1:2" x14ac:dyDescent="0.35">
      <c r="A550" s="34">
        <v>3827</v>
      </c>
      <c r="B550" s="32" t="s">
        <v>2529</v>
      </c>
    </row>
    <row r="551" spans="1:2" x14ac:dyDescent="0.35">
      <c r="A551" s="34">
        <v>3829</v>
      </c>
      <c r="B551" s="32" t="s">
        <v>2530</v>
      </c>
    </row>
    <row r="552" spans="1:2" x14ac:dyDescent="0.35">
      <c r="A552" s="34">
        <v>3841</v>
      </c>
      <c r="B552" s="32" t="s">
        <v>2531</v>
      </c>
    </row>
    <row r="553" spans="1:2" x14ac:dyDescent="0.35">
      <c r="A553" s="34">
        <v>3842</v>
      </c>
      <c r="B553" s="32" t="s">
        <v>2532</v>
      </c>
    </row>
    <row r="554" spans="1:2" x14ac:dyDescent="0.35">
      <c r="A554" s="34">
        <v>3843</v>
      </c>
      <c r="B554" s="32" t="s">
        <v>2533</v>
      </c>
    </row>
    <row r="555" spans="1:2" x14ac:dyDescent="0.35">
      <c r="A555" s="34">
        <v>3844</v>
      </c>
      <c r="B555" s="32" t="s">
        <v>2534</v>
      </c>
    </row>
    <row r="556" spans="1:2" x14ac:dyDescent="0.35">
      <c r="A556" s="34">
        <v>3845</v>
      </c>
      <c r="B556" s="32" t="s">
        <v>2535</v>
      </c>
    </row>
    <row r="557" spans="1:2" x14ac:dyDescent="0.35">
      <c r="A557" s="34">
        <v>3851</v>
      </c>
      <c r="B557" s="32" t="s">
        <v>2536</v>
      </c>
    </row>
    <row r="558" spans="1:2" x14ac:dyDescent="0.35">
      <c r="A558" s="34">
        <v>3861</v>
      </c>
      <c r="B558" s="32" t="s">
        <v>2537</v>
      </c>
    </row>
    <row r="559" spans="1:2" x14ac:dyDescent="0.35">
      <c r="A559" s="34">
        <v>3873</v>
      </c>
      <c r="B559" s="32" t="s">
        <v>2538</v>
      </c>
    </row>
    <row r="560" spans="1:2" x14ac:dyDescent="0.35">
      <c r="A560" s="34">
        <v>3911</v>
      </c>
      <c r="B560" s="32" t="s">
        <v>2539</v>
      </c>
    </row>
    <row r="561" spans="1:2" x14ac:dyDescent="0.35">
      <c r="A561" s="34">
        <v>3914</v>
      </c>
      <c r="B561" s="32" t="s">
        <v>2540</v>
      </c>
    </row>
    <row r="562" spans="1:2" x14ac:dyDescent="0.35">
      <c r="A562" s="34">
        <v>3915</v>
      </c>
      <c r="B562" s="32" t="s">
        <v>2541</v>
      </c>
    </row>
    <row r="563" spans="1:2" x14ac:dyDescent="0.35">
      <c r="A563" s="34">
        <v>3931</v>
      </c>
      <c r="B563" s="32" t="s">
        <v>2542</v>
      </c>
    </row>
    <row r="564" spans="1:2" x14ac:dyDescent="0.35">
      <c r="A564" s="34">
        <v>3942</v>
      </c>
      <c r="B564" s="32" t="s">
        <v>2543</v>
      </c>
    </row>
    <row r="565" spans="1:2" x14ac:dyDescent="0.35">
      <c r="A565" s="34">
        <v>3944</v>
      </c>
      <c r="B565" s="32" t="s">
        <v>2544</v>
      </c>
    </row>
    <row r="566" spans="1:2" x14ac:dyDescent="0.35">
      <c r="A566" s="34">
        <v>3949</v>
      </c>
      <c r="B566" s="32" t="s">
        <v>2545</v>
      </c>
    </row>
    <row r="567" spans="1:2" x14ac:dyDescent="0.35">
      <c r="A567" s="34">
        <v>3951</v>
      </c>
      <c r="B567" s="32" t="s">
        <v>2546</v>
      </c>
    </row>
    <row r="568" spans="1:2" x14ac:dyDescent="0.35">
      <c r="A568" s="34">
        <v>3952</v>
      </c>
      <c r="B568" s="32" t="s">
        <v>2547</v>
      </c>
    </row>
    <row r="569" spans="1:2" x14ac:dyDescent="0.35">
      <c r="A569" s="34">
        <v>3953</v>
      </c>
      <c r="B569" s="32" t="s">
        <v>2548</v>
      </c>
    </row>
    <row r="570" spans="1:2" x14ac:dyDescent="0.35">
      <c r="A570" s="34">
        <v>3955</v>
      </c>
      <c r="B570" s="32" t="s">
        <v>2549</v>
      </c>
    </row>
    <row r="571" spans="1:2" x14ac:dyDescent="0.35">
      <c r="A571" s="34">
        <v>3961</v>
      </c>
      <c r="B571" s="32" t="s">
        <v>2550</v>
      </c>
    </row>
    <row r="572" spans="1:2" x14ac:dyDescent="0.35">
      <c r="A572" s="34">
        <v>3965</v>
      </c>
      <c r="B572" s="32" t="s">
        <v>2551</v>
      </c>
    </row>
    <row r="573" spans="1:2" x14ac:dyDescent="0.35">
      <c r="A573" s="34">
        <v>3991</v>
      </c>
      <c r="B573" s="32" t="s">
        <v>2552</v>
      </c>
    </row>
    <row r="574" spans="1:2" x14ac:dyDescent="0.35">
      <c r="A574" s="34">
        <v>3993</v>
      </c>
      <c r="B574" s="32" t="s">
        <v>2553</v>
      </c>
    </row>
    <row r="575" spans="1:2" x14ac:dyDescent="0.35">
      <c r="A575" s="34">
        <v>3995</v>
      </c>
      <c r="B575" s="32" t="s">
        <v>2554</v>
      </c>
    </row>
    <row r="576" spans="1:2" x14ac:dyDescent="0.35">
      <c r="A576" s="34">
        <v>3996</v>
      </c>
      <c r="B576" s="32" t="s">
        <v>2555</v>
      </c>
    </row>
    <row r="577" spans="1:2" x14ac:dyDescent="0.35">
      <c r="A577" s="34">
        <v>3999</v>
      </c>
      <c r="B577" s="32" t="s">
        <v>2556</v>
      </c>
    </row>
    <row r="578" spans="1:2" x14ac:dyDescent="0.35">
      <c r="A578" s="34">
        <v>4011</v>
      </c>
      <c r="B578" s="32" t="s">
        <v>2557</v>
      </c>
    </row>
    <row r="579" spans="1:2" x14ac:dyDescent="0.35">
      <c r="A579" s="34">
        <v>4013</v>
      </c>
      <c r="B579" s="32" t="s">
        <v>2558</v>
      </c>
    </row>
    <row r="580" spans="1:2" x14ac:dyDescent="0.35">
      <c r="A580" s="34">
        <v>4111</v>
      </c>
      <c r="B580" s="32" t="s">
        <v>2559</v>
      </c>
    </row>
    <row r="581" spans="1:2" x14ac:dyDescent="0.35">
      <c r="A581" s="34">
        <v>4119</v>
      </c>
      <c r="B581" s="32" t="s">
        <v>2560</v>
      </c>
    </row>
    <row r="582" spans="1:2" x14ac:dyDescent="0.35">
      <c r="A582" s="34">
        <v>4121</v>
      </c>
      <c r="B582" s="32" t="s">
        <v>2561</v>
      </c>
    </row>
    <row r="583" spans="1:2" x14ac:dyDescent="0.35">
      <c r="A583" s="34">
        <v>4131</v>
      </c>
      <c r="B583" s="32" t="s">
        <v>2562</v>
      </c>
    </row>
    <row r="584" spans="1:2" x14ac:dyDescent="0.35">
      <c r="A584" s="34">
        <v>4141</v>
      </c>
      <c r="B584" s="32" t="s">
        <v>2563</v>
      </c>
    </row>
    <row r="585" spans="1:2" x14ac:dyDescent="0.35">
      <c r="A585" s="34">
        <v>4142</v>
      </c>
      <c r="B585" s="32" t="s">
        <v>2564</v>
      </c>
    </row>
    <row r="586" spans="1:2" x14ac:dyDescent="0.35">
      <c r="A586" s="34">
        <v>4151</v>
      </c>
      <c r="B586" s="32" t="s">
        <v>2565</v>
      </c>
    </row>
    <row r="587" spans="1:2" x14ac:dyDescent="0.35">
      <c r="A587" s="34">
        <v>4173</v>
      </c>
      <c r="B587" s="32" t="s">
        <v>2566</v>
      </c>
    </row>
    <row r="588" spans="1:2" x14ac:dyDescent="0.35">
      <c r="A588" s="34">
        <v>4212</v>
      </c>
      <c r="B588" s="32" t="s">
        <v>2567</v>
      </c>
    </row>
    <row r="589" spans="1:2" x14ac:dyDescent="0.35">
      <c r="A589" s="34">
        <v>4213</v>
      </c>
      <c r="B589" s="32" t="s">
        <v>2568</v>
      </c>
    </row>
    <row r="590" spans="1:2" x14ac:dyDescent="0.35">
      <c r="A590" s="34">
        <v>4214</v>
      </c>
      <c r="B590" s="32" t="s">
        <v>2569</v>
      </c>
    </row>
    <row r="591" spans="1:2" x14ac:dyDescent="0.35">
      <c r="A591" s="34">
        <v>4215</v>
      </c>
      <c r="B591" s="32" t="s">
        <v>2570</v>
      </c>
    </row>
    <row r="592" spans="1:2" x14ac:dyDescent="0.35">
      <c r="A592" s="34">
        <v>4221</v>
      </c>
      <c r="B592" s="32" t="s">
        <v>2571</v>
      </c>
    </row>
    <row r="593" spans="1:2" x14ac:dyDescent="0.35">
      <c r="A593" s="34">
        <v>4222</v>
      </c>
      <c r="B593" s="32" t="s">
        <v>2572</v>
      </c>
    </row>
    <row r="594" spans="1:2" x14ac:dyDescent="0.35">
      <c r="A594" s="34">
        <v>4225</v>
      </c>
      <c r="B594" s="32" t="s">
        <v>2573</v>
      </c>
    </row>
    <row r="595" spans="1:2" x14ac:dyDescent="0.35">
      <c r="A595" s="34">
        <v>4226</v>
      </c>
      <c r="B595" s="32" t="s">
        <v>2574</v>
      </c>
    </row>
    <row r="596" spans="1:2" x14ac:dyDescent="0.35">
      <c r="A596" s="34">
        <v>4231</v>
      </c>
      <c r="B596" s="32" t="s">
        <v>2575</v>
      </c>
    </row>
    <row r="597" spans="1:2" x14ac:dyDescent="0.35">
      <c r="A597" s="34">
        <v>4311</v>
      </c>
      <c r="B597" s="32" t="s">
        <v>2576</v>
      </c>
    </row>
    <row r="598" spans="1:2" x14ac:dyDescent="0.35">
      <c r="A598" s="34">
        <v>4412</v>
      </c>
      <c r="B598" s="32" t="s">
        <v>2577</v>
      </c>
    </row>
    <row r="599" spans="1:2" x14ac:dyDescent="0.35">
      <c r="A599" s="34">
        <v>4424</v>
      </c>
      <c r="B599" s="32" t="s">
        <v>2578</v>
      </c>
    </row>
    <row r="600" spans="1:2" x14ac:dyDescent="0.35">
      <c r="A600" s="34">
        <v>4432</v>
      </c>
      <c r="B600" s="32" t="s">
        <v>2579</v>
      </c>
    </row>
    <row r="601" spans="1:2" x14ac:dyDescent="0.35">
      <c r="A601" s="34">
        <v>4449</v>
      </c>
      <c r="B601" s="32" t="s">
        <v>2580</v>
      </c>
    </row>
    <row r="602" spans="1:2" x14ac:dyDescent="0.35">
      <c r="A602" s="34">
        <v>4481</v>
      </c>
      <c r="B602" s="32" t="s">
        <v>2581</v>
      </c>
    </row>
    <row r="603" spans="1:2" x14ac:dyDescent="0.35">
      <c r="A603" s="34">
        <v>4482</v>
      </c>
      <c r="B603" s="32" t="s">
        <v>2582</v>
      </c>
    </row>
    <row r="604" spans="1:2" x14ac:dyDescent="0.35">
      <c r="A604" s="34">
        <v>4489</v>
      </c>
      <c r="B604" s="32" t="s">
        <v>2583</v>
      </c>
    </row>
    <row r="605" spans="1:2" x14ac:dyDescent="0.35">
      <c r="A605" s="34">
        <v>4491</v>
      </c>
      <c r="B605" s="32" t="s">
        <v>2584</v>
      </c>
    </row>
    <row r="606" spans="1:2" x14ac:dyDescent="0.35">
      <c r="A606" s="34">
        <v>4492</v>
      </c>
      <c r="B606" s="32" t="s">
        <v>2585</v>
      </c>
    </row>
    <row r="607" spans="1:2" x14ac:dyDescent="0.35">
      <c r="A607" s="34">
        <v>4493</v>
      </c>
      <c r="B607" s="32" t="s">
        <v>1958</v>
      </c>
    </row>
    <row r="608" spans="1:2" x14ac:dyDescent="0.35">
      <c r="A608" s="34">
        <v>4499</v>
      </c>
      <c r="B608" s="32" t="s">
        <v>2586</v>
      </c>
    </row>
    <row r="609" spans="1:2" x14ac:dyDescent="0.35">
      <c r="A609" s="34">
        <v>4512</v>
      </c>
      <c r="B609" s="32" t="s">
        <v>2587</v>
      </c>
    </row>
    <row r="610" spans="1:2" x14ac:dyDescent="0.35">
      <c r="A610" s="34">
        <v>4513</v>
      </c>
      <c r="B610" s="32" t="s">
        <v>2588</v>
      </c>
    </row>
    <row r="611" spans="1:2" x14ac:dyDescent="0.35">
      <c r="A611" s="34">
        <v>4522</v>
      </c>
      <c r="B611" s="32" t="s">
        <v>2589</v>
      </c>
    </row>
    <row r="612" spans="1:2" x14ac:dyDescent="0.35">
      <c r="A612" s="34">
        <v>4581</v>
      </c>
      <c r="B612" s="32" t="s">
        <v>2590</v>
      </c>
    </row>
    <row r="613" spans="1:2" x14ac:dyDescent="0.35">
      <c r="A613" s="34">
        <v>4612</v>
      </c>
      <c r="B613" s="32" t="s">
        <v>2591</v>
      </c>
    </row>
    <row r="614" spans="1:2" x14ac:dyDescent="0.35">
      <c r="A614" s="34">
        <v>4613</v>
      </c>
      <c r="B614" s="32" t="s">
        <v>2592</v>
      </c>
    </row>
    <row r="615" spans="1:2" x14ac:dyDescent="0.35">
      <c r="A615" s="34">
        <v>4619</v>
      </c>
      <c r="B615" s="32" t="s">
        <v>2593</v>
      </c>
    </row>
    <row r="616" spans="1:2" x14ac:dyDescent="0.35">
      <c r="A616" s="34">
        <v>4724</v>
      </c>
      <c r="B616" s="32" t="s">
        <v>2594</v>
      </c>
    </row>
    <row r="617" spans="1:2" x14ac:dyDescent="0.35">
      <c r="A617" s="34">
        <v>4725</v>
      </c>
      <c r="B617" s="32" t="s">
        <v>2595</v>
      </c>
    </row>
    <row r="618" spans="1:2" x14ac:dyDescent="0.35">
      <c r="A618" s="34">
        <v>4729</v>
      </c>
      <c r="B618" s="32" t="s">
        <v>2596</v>
      </c>
    </row>
    <row r="619" spans="1:2" x14ac:dyDescent="0.35">
      <c r="A619" s="34">
        <v>4731</v>
      </c>
      <c r="B619" s="32" t="s">
        <v>2597</v>
      </c>
    </row>
    <row r="620" spans="1:2" x14ac:dyDescent="0.35">
      <c r="A620" s="34">
        <v>4741</v>
      </c>
      <c r="B620" s="32" t="s">
        <v>2598</v>
      </c>
    </row>
    <row r="621" spans="1:2" x14ac:dyDescent="0.35">
      <c r="A621" s="34">
        <v>4783</v>
      </c>
      <c r="B621" s="32" t="s">
        <v>2599</v>
      </c>
    </row>
    <row r="622" spans="1:2" x14ac:dyDescent="0.35">
      <c r="A622" s="34">
        <v>4785</v>
      </c>
      <c r="B622" s="32" t="s">
        <v>2600</v>
      </c>
    </row>
    <row r="623" spans="1:2" x14ac:dyDescent="0.35">
      <c r="A623" s="34">
        <v>4789</v>
      </c>
      <c r="B623" s="32" t="s">
        <v>2601</v>
      </c>
    </row>
    <row r="624" spans="1:2" x14ac:dyDescent="0.35">
      <c r="A624" s="34">
        <v>4812</v>
      </c>
      <c r="B624" s="32" t="s">
        <v>2602</v>
      </c>
    </row>
    <row r="625" spans="1:2" x14ac:dyDescent="0.35">
      <c r="A625" s="34">
        <v>4813</v>
      </c>
      <c r="B625" s="32" t="s">
        <v>2603</v>
      </c>
    </row>
    <row r="626" spans="1:2" x14ac:dyDescent="0.35">
      <c r="A626" s="34">
        <v>4822</v>
      </c>
      <c r="B626" s="32" t="s">
        <v>2604</v>
      </c>
    </row>
    <row r="627" spans="1:2" x14ac:dyDescent="0.35">
      <c r="A627" s="34">
        <v>4832</v>
      </c>
      <c r="B627" s="32" t="s">
        <v>2605</v>
      </c>
    </row>
    <row r="628" spans="1:2" x14ac:dyDescent="0.35">
      <c r="A628" s="34">
        <v>4833</v>
      </c>
      <c r="B628" s="32" t="s">
        <v>2606</v>
      </c>
    </row>
    <row r="629" spans="1:2" x14ac:dyDescent="0.35">
      <c r="A629" s="34">
        <v>4841</v>
      </c>
      <c r="B629" s="32" t="s">
        <v>2607</v>
      </c>
    </row>
    <row r="630" spans="1:2" x14ac:dyDescent="0.35">
      <c r="A630" s="34">
        <v>4899</v>
      </c>
      <c r="B630" s="32" t="s">
        <v>2608</v>
      </c>
    </row>
    <row r="631" spans="1:2" x14ac:dyDescent="0.35">
      <c r="A631" s="34">
        <v>4911</v>
      </c>
      <c r="B631" s="32" t="s">
        <v>2609</v>
      </c>
    </row>
    <row r="632" spans="1:2" x14ac:dyDescent="0.35">
      <c r="A632" s="34">
        <v>4922</v>
      </c>
      <c r="B632" s="32" t="s">
        <v>2610</v>
      </c>
    </row>
    <row r="633" spans="1:2" x14ac:dyDescent="0.35">
      <c r="A633" s="34">
        <v>4923</v>
      </c>
      <c r="B633" s="32" t="s">
        <v>2611</v>
      </c>
    </row>
    <row r="634" spans="1:2" x14ac:dyDescent="0.35">
      <c r="A634" s="34">
        <v>4924</v>
      </c>
      <c r="B634" s="32" t="s">
        <v>2612</v>
      </c>
    </row>
    <row r="635" spans="1:2" x14ac:dyDescent="0.35">
      <c r="A635" s="34">
        <v>4925</v>
      </c>
      <c r="B635" s="32" t="s">
        <v>2613</v>
      </c>
    </row>
    <row r="636" spans="1:2" x14ac:dyDescent="0.35">
      <c r="A636" s="34">
        <v>4931</v>
      </c>
      <c r="B636" s="32" t="s">
        <v>2614</v>
      </c>
    </row>
    <row r="637" spans="1:2" x14ac:dyDescent="0.35">
      <c r="A637" s="34">
        <v>4932</v>
      </c>
      <c r="B637" s="32" t="s">
        <v>2615</v>
      </c>
    </row>
    <row r="638" spans="1:2" x14ac:dyDescent="0.35">
      <c r="A638" s="34">
        <v>4939</v>
      </c>
      <c r="B638" s="32" t="s">
        <v>2616</v>
      </c>
    </row>
    <row r="639" spans="1:2" x14ac:dyDescent="0.35">
      <c r="A639" s="34">
        <v>4941</v>
      </c>
      <c r="B639" s="32" t="s">
        <v>2617</v>
      </c>
    </row>
    <row r="640" spans="1:2" x14ac:dyDescent="0.35">
      <c r="A640" s="34">
        <v>4952</v>
      </c>
      <c r="B640" s="32" t="s">
        <v>2618</v>
      </c>
    </row>
    <row r="641" spans="1:2" x14ac:dyDescent="0.35">
      <c r="A641" s="34">
        <v>4953</v>
      </c>
      <c r="B641" s="32" t="s">
        <v>2619</v>
      </c>
    </row>
    <row r="642" spans="1:2" x14ac:dyDescent="0.35">
      <c r="A642" s="34">
        <v>4959</v>
      </c>
      <c r="B642" s="32" t="s">
        <v>2620</v>
      </c>
    </row>
    <row r="643" spans="1:2" x14ac:dyDescent="0.35">
      <c r="A643" s="34">
        <v>4961</v>
      </c>
      <c r="B643" s="32" t="s">
        <v>2621</v>
      </c>
    </row>
    <row r="644" spans="1:2" x14ac:dyDescent="0.35">
      <c r="A644" s="34">
        <v>4971</v>
      </c>
      <c r="B644" s="32" t="s">
        <v>2622</v>
      </c>
    </row>
    <row r="645" spans="1:2" x14ac:dyDescent="0.35">
      <c r="A645" s="34">
        <v>5012</v>
      </c>
      <c r="B645" s="32" t="s">
        <v>2623</v>
      </c>
    </row>
    <row r="646" spans="1:2" x14ac:dyDescent="0.35">
      <c r="A646" s="34">
        <v>5013</v>
      </c>
      <c r="B646" s="32" t="s">
        <v>2624</v>
      </c>
    </row>
    <row r="647" spans="1:2" x14ac:dyDescent="0.35">
      <c r="A647" s="34">
        <v>5014</v>
      </c>
      <c r="B647" s="32" t="s">
        <v>2625</v>
      </c>
    </row>
    <row r="648" spans="1:2" x14ac:dyDescent="0.35">
      <c r="A648" s="34">
        <v>5015</v>
      </c>
      <c r="B648" s="32" t="s">
        <v>2626</v>
      </c>
    </row>
    <row r="649" spans="1:2" x14ac:dyDescent="0.35">
      <c r="A649" s="34">
        <v>5021</v>
      </c>
      <c r="B649" s="32" t="s">
        <v>2627</v>
      </c>
    </row>
    <row r="650" spans="1:2" x14ac:dyDescent="0.35">
      <c r="A650" s="34">
        <v>5023</v>
      </c>
      <c r="B650" s="32" t="s">
        <v>2628</v>
      </c>
    </row>
    <row r="651" spans="1:2" x14ac:dyDescent="0.35">
      <c r="A651" s="34">
        <v>5031</v>
      </c>
      <c r="B651" s="32" t="s">
        <v>2629</v>
      </c>
    </row>
    <row r="652" spans="1:2" x14ac:dyDescent="0.35">
      <c r="A652" s="34">
        <v>5032</v>
      </c>
      <c r="B652" s="32" t="s">
        <v>2630</v>
      </c>
    </row>
    <row r="653" spans="1:2" x14ac:dyDescent="0.35">
      <c r="A653" s="34">
        <v>5033</v>
      </c>
      <c r="B653" s="32" t="s">
        <v>2631</v>
      </c>
    </row>
    <row r="654" spans="1:2" x14ac:dyDescent="0.35">
      <c r="A654" s="34">
        <v>5039</v>
      </c>
      <c r="B654" s="32" t="s">
        <v>2632</v>
      </c>
    </row>
    <row r="655" spans="1:2" x14ac:dyDescent="0.35">
      <c r="A655" s="34">
        <v>5043</v>
      </c>
      <c r="B655" s="32" t="s">
        <v>2537</v>
      </c>
    </row>
    <row r="656" spans="1:2" x14ac:dyDescent="0.35">
      <c r="A656" s="34">
        <v>5044</v>
      </c>
      <c r="B656" s="32" t="s">
        <v>2633</v>
      </c>
    </row>
    <row r="657" spans="1:2" x14ac:dyDescent="0.35">
      <c r="A657" s="34">
        <v>5045</v>
      </c>
      <c r="B657" s="32" t="s">
        <v>2634</v>
      </c>
    </row>
    <row r="658" spans="1:2" x14ac:dyDescent="0.35">
      <c r="A658" s="34">
        <v>5046</v>
      </c>
      <c r="B658" s="32" t="s">
        <v>2635</v>
      </c>
    </row>
    <row r="659" spans="1:2" x14ac:dyDescent="0.35">
      <c r="A659" s="34">
        <v>5047</v>
      </c>
      <c r="B659" s="32" t="s">
        <v>2636</v>
      </c>
    </row>
    <row r="660" spans="1:2" x14ac:dyDescent="0.35">
      <c r="A660" s="34">
        <v>5048</v>
      </c>
      <c r="B660" s="32" t="s">
        <v>2536</v>
      </c>
    </row>
    <row r="661" spans="1:2" x14ac:dyDescent="0.35">
      <c r="A661" s="34">
        <v>5049</v>
      </c>
      <c r="B661" s="32" t="s">
        <v>2637</v>
      </c>
    </row>
    <row r="662" spans="1:2" x14ac:dyDescent="0.35">
      <c r="A662" s="34">
        <v>5051</v>
      </c>
      <c r="B662" s="32" t="s">
        <v>2638</v>
      </c>
    </row>
    <row r="663" spans="1:2" x14ac:dyDescent="0.35">
      <c r="A663" s="34">
        <v>5052</v>
      </c>
      <c r="B663" s="32" t="s">
        <v>2639</v>
      </c>
    </row>
    <row r="664" spans="1:2" x14ac:dyDescent="0.35">
      <c r="A664" s="34">
        <v>5063</v>
      </c>
      <c r="B664" s="32" t="s">
        <v>2640</v>
      </c>
    </row>
    <row r="665" spans="1:2" x14ac:dyDescent="0.35">
      <c r="A665" s="34">
        <v>5064</v>
      </c>
      <c r="B665" s="32" t="s">
        <v>2641</v>
      </c>
    </row>
    <row r="666" spans="1:2" x14ac:dyDescent="0.35">
      <c r="A666" s="34">
        <v>5065</v>
      </c>
      <c r="B666" s="32" t="s">
        <v>2642</v>
      </c>
    </row>
    <row r="667" spans="1:2" x14ac:dyDescent="0.35">
      <c r="A667" s="34">
        <v>5072</v>
      </c>
      <c r="B667" s="32" t="s">
        <v>2643</v>
      </c>
    </row>
    <row r="668" spans="1:2" x14ac:dyDescent="0.35">
      <c r="A668" s="34">
        <v>5074</v>
      </c>
      <c r="B668" s="32" t="s">
        <v>2644</v>
      </c>
    </row>
    <row r="669" spans="1:2" x14ac:dyDescent="0.35">
      <c r="A669" s="34">
        <v>5075</v>
      </c>
      <c r="B669" s="32" t="s">
        <v>2645</v>
      </c>
    </row>
    <row r="670" spans="1:2" x14ac:dyDescent="0.35">
      <c r="A670" s="34">
        <v>5078</v>
      </c>
      <c r="B670" s="32" t="s">
        <v>2646</v>
      </c>
    </row>
    <row r="671" spans="1:2" x14ac:dyDescent="0.35">
      <c r="A671" s="34">
        <v>5082</v>
      </c>
      <c r="B671" s="32" t="s">
        <v>2647</v>
      </c>
    </row>
    <row r="672" spans="1:2" x14ac:dyDescent="0.35">
      <c r="A672" s="34">
        <v>5083</v>
      </c>
      <c r="B672" s="32" t="s">
        <v>2648</v>
      </c>
    </row>
    <row r="673" spans="1:2" x14ac:dyDescent="0.35">
      <c r="A673" s="34">
        <v>5084</v>
      </c>
      <c r="B673" s="32" t="s">
        <v>2649</v>
      </c>
    </row>
    <row r="674" spans="1:2" x14ac:dyDescent="0.35">
      <c r="A674" s="34">
        <v>5085</v>
      </c>
      <c r="B674" s="32" t="s">
        <v>2650</v>
      </c>
    </row>
    <row r="675" spans="1:2" x14ac:dyDescent="0.35">
      <c r="A675" s="34">
        <v>5087</v>
      </c>
      <c r="B675" s="32" t="s">
        <v>2651</v>
      </c>
    </row>
    <row r="676" spans="1:2" x14ac:dyDescent="0.35">
      <c r="A676" s="34">
        <v>5088</v>
      </c>
      <c r="B676" s="32" t="s">
        <v>2652</v>
      </c>
    </row>
    <row r="677" spans="1:2" x14ac:dyDescent="0.35">
      <c r="A677" s="34">
        <v>5091</v>
      </c>
      <c r="B677" s="32" t="s">
        <v>2653</v>
      </c>
    </row>
    <row r="678" spans="1:2" x14ac:dyDescent="0.35">
      <c r="A678" s="34">
        <v>5092</v>
      </c>
      <c r="B678" s="32" t="s">
        <v>2654</v>
      </c>
    </row>
    <row r="679" spans="1:2" x14ac:dyDescent="0.35">
      <c r="A679" s="34">
        <v>5093</v>
      </c>
      <c r="B679" s="32" t="s">
        <v>2655</v>
      </c>
    </row>
    <row r="680" spans="1:2" x14ac:dyDescent="0.35">
      <c r="A680" s="34">
        <v>5094</v>
      </c>
      <c r="B680" s="32" t="s">
        <v>2656</v>
      </c>
    </row>
    <row r="681" spans="1:2" x14ac:dyDescent="0.35">
      <c r="A681" s="34">
        <v>5099</v>
      </c>
      <c r="B681" s="32" t="s">
        <v>2657</v>
      </c>
    </row>
    <row r="682" spans="1:2" x14ac:dyDescent="0.35">
      <c r="A682" s="34">
        <v>5111</v>
      </c>
      <c r="B682" s="32" t="s">
        <v>2658</v>
      </c>
    </row>
    <row r="683" spans="1:2" x14ac:dyDescent="0.35">
      <c r="A683" s="34">
        <v>5112</v>
      </c>
      <c r="B683" s="32" t="s">
        <v>2659</v>
      </c>
    </row>
    <row r="684" spans="1:2" x14ac:dyDescent="0.35">
      <c r="A684" s="34">
        <v>5113</v>
      </c>
      <c r="B684" s="32" t="s">
        <v>2660</v>
      </c>
    </row>
    <row r="685" spans="1:2" x14ac:dyDescent="0.35">
      <c r="A685" s="34">
        <v>5122</v>
      </c>
      <c r="B685" s="32" t="s">
        <v>2661</v>
      </c>
    </row>
    <row r="686" spans="1:2" x14ac:dyDescent="0.35">
      <c r="A686" s="34">
        <v>5131</v>
      </c>
      <c r="B686" s="32" t="s">
        <v>2662</v>
      </c>
    </row>
    <row r="687" spans="1:2" x14ac:dyDescent="0.35">
      <c r="A687" s="34">
        <v>5136</v>
      </c>
      <c r="B687" s="32" t="s">
        <v>2663</v>
      </c>
    </row>
    <row r="688" spans="1:2" x14ac:dyDescent="0.35">
      <c r="A688" s="34">
        <v>5137</v>
      </c>
      <c r="B688" s="32" t="s">
        <v>2664</v>
      </c>
    </row>
    <row r="689" spans="1:2" x14ac:dyDescent="0.35">
      <c r="A689" s="34">
        <v>5139</v>
      </c>
      <c r="B689" s="32" t="s">
        <v>2665</v>
      </c>
    </row>
    <row r="690" spans="1:2" x14ac:dyDescent="0.35">
      <c r="A690" s="34">
        <v>5141</v>
      </c>
      <c r="B690" s="32" t="s">
        <v>2666</v>
      </c>
    </row>
    <row r="691" spans="1:2" x14ac:dyDescent="0.35">
      <c r="A691" s="34">
        <v>5142</v>
      </c>
      <c r="B691" s="32" t="s">
        <v>2667</v>
      </c>
    </row>
    <row r="692" spans="1:2" x14ac:dyDescent="0.35">
      <c r="A692" s="34">
        <v>5143</v>
      </c>
      <c r="B692" s="32" t="s">
        <v>2668</v>
      </c>
    </row>
    <row r="693" spans="1:2" x14ac:dyDescent="0.35">
      <c r="A693" s="34">
        <v>5144</v>
      </c>
      <c r="B693" s="32" t="s">
        <v>2669</v>
      </c>
    </row>
    <row r="694" spans="1:2" x14ac:dyDescent="0.35">
      <c r="A694" s="34">
        <v>5145</v>
      </c>
      <c r="B694" s="32" t="s">
        <v>2670</v>
      </c>
    </row>
    <row r="695" spans="1:2" x14ac:dyDescent="0.35">
      <c r="A695" s="34">
        <v>5146</v>
      </c>
      <c r="B695" s="32" t="s">
        <v>2671</v>
      </c>
    </row>
    <row r="696" spans="1:2" x14ac:dyDescent="0.35">
      <c r="A696" s="34">
        <v>5147</v>
      </c>
      <c r="B696" s="32" t="s">
        <v>2672</v>
      </c>
    </row>
    <row r="697" spans="1:2" x14ac:dyDescent="0.35">
      <c r="A697" s="34">
        <v>5148</v>
      </c>
      <c r="B697" s="32" t="s">
        <v>2673</v>
      </c>
    </row>
    <row r="698" spans="1:2" x14ac:dyDescent="0.35">
      <c r="A698" s="34">
        <v>5149</v>
      </c>
      <c r="B698" s="32" t="s">
        <v>2674</v>
      </c>
    </row>
    <row r="699" spans="1:2" x14ac:dyDescent="0.35">
      <c r="A699" s="34">
        <v>5153</v>
      </c>
      <c r="B699" s="32" t="s">
        <v>2675</v>
      </c>
    </row>
    <row r="700" spans="1:2" x14ac:dyDescent="0.35">
      <c r="A700" s="34">
        <v>5154</v>
      </c>
      <c r="B700" s="32" t="s">
        <v>2676</v>
      </c>
    </row>
    <row r="701" spans="1:2" x14ac:dyDescent="0.35">
      <c r="A701" s="34">
        <v>5159</v>
      </c>
      <c r="B701" s="32" t="s">
        <v>2677</v>
      </c>
    </row>
    <row r="702" spans="1:2" x14ac:dyDescent="0.35">
      <c r="A702" s="34">
        <v>5162</v>
      </c>
      <c r="B702" s="32" t="s">
        <v>2678</v>
      </c>
    </row>
    <row r="703" spans="1:2" x14ac:dyDescent="0.35">
      <c r="A703" s="34">
        <v>5169</v>
      </c>
      <c r="B703" s="32" t="s">
        <v>2679</v>
      </c>
    </row>
    <row r="704" spans="1:2" x14ac:dyDescent="0.35">
      <c r="A704" s="34">
        <v>5171</v>
      </c>
      <c r="B704" s="32" t="s">
        <v>2680</v>
      </c>
    </row>
    <row r="705" spans="1:2" x14ac:dyDescent="0.35">
      <c r="A705" s="34">
        <v>5172</v>
      </c>
      <c r="B705" s="32" t="s">
        <v>2681</v>
      </c>
    </row>
    <row r="706" spans="1:2" x14ac:dyDescent="0.35">
      <c r="A706" s="34">
        <v>5181</v>
      </c>
      <c r="B706" s="32" t="s">
        <v>2682</v>
      </c>
    </row>
    <row r="707" spans="1:2" x14ac:dyDescent="0.35">
      <c r="A707" s="34">
        <v>5182</v>
      </c>
      <c r="B707" s="32" t="s">
        <v>2683</v>
      </c>
    </row>
    <row r="708" spans="1:2" x14ac:dyDescent="0.35">
      <c r="A708" s="34">
        <v>5191</v>
      </c>
      <c r="B708" s="32" t="s">
        <v>2684</v>
      </c>
    </row>
    <row r="709" spans="1:2" x14ac:dyDescent="0.35">
      <c r="A709" s="34">
        <v>5192</v>
      </c>
      <c r="B709" s="32" t="s">
        <v>2685</v>
      </c>
    </row>
    <row r="710" spans="1:2" x14ac:dyDescent="0.35">
      <c r="A710" s="34">
        <v>5193</v>
      </c>
      <c r="B710" s="32" t="s">
        <v>2686</v>
      </c>
    </row>
    <row r="711" spans="1:2" x14ac:dyDescent="0.35">
      <c r="A711" s="34">
        <v>5194</v>
      </c>
      <c r="B711" s="32" t="s">
        <v>2687</v>
      </c>
    </row>
    <row r="712" spans="1:2" x14ac:dyDescent="0.35">
      <c r="A712" s="34">
        <v>5198</v>
      </c>
      <c r="B712" s="32" t="s">
        <v>2688</v>
      </c>
    </row>
    <row r="713" spans="1:2" x14ac:dyDescent="0.35">
      <c r="A713" s="34">
        <v>5199</v>
      </c>
      <c r="B713" s="32" t="s">
        <v>2689</v>
      </c>
    </row>
    <row r="714" spans="1:2" x14ac:dyDescent="0.35">
      <c r="A714" s="34">
        <v>5211</v>
      </c>
      <c r="B714" s="32" t="s">
        <v>2690</v>
      </c>
    </row>
    <row r="715" spans="1:2" x14ac:dyDescent="0.35">
      <c r="A715" s="34">
        <v>5231</v>
      </c>
      <c r="B715" s="32" t="s">
        <v>2691</v>
      </c>
    </row>
    <row r="716" spans="1:2" x14ac:dyDescent="0.35">
      <c r="A716" s="34">
        <v>5251</v>
      </c>
      <c r="B716" s="32" t="s">
        <v>2692</v>
      </c>
    </row>
    <row r="717" spans="1:2" x14ac:dyDescent="0.35">
      <c r="A717" s="34">
        <v>5261</v>
      </c>
      <c r="B717" s="32" t="s">
        <v>2693</v>
      </c>
    </row>
    <row r="718" spans="1:2" x14ac:dyDescent="0.35">
      <c r="A718" s="34">
        <v>5271</v>
      </c>
      <c r="B718" s="32" t="s">
        <v>2694</v>
      </c>
    </row>
    <row r="719" spans="1:2" x14ac:dyDescent="0.35">
      <c r="A719" s="34">
        <v>5311</v>
      </c>
      <c r="B719" s="32" t="s">
        <v>2695</v>
      </c>
    </row>
    <row r="720" spans="1:2" x14ac:dyDescent="0.35">
      <c r="A720" s="34">
        <v>5331</v>
      </c>
      <c r="B720" s="32" t="s">
        <v>2696</v>
      </c>
    </row>
    <row r="721" spans="1:2" x14ac:dyDescent="0.35">
      <c r="A721" s="34">
        <v>5399</v>
      </c>
      <c r="B721" s="32" t="s">
        <v>2697</v>
      </c>
    </row>
    <row r="722" spans="1:2" x14ac:dyDescent="0.35">
      <c r="A722" s="34">
        <v>5411</v>
      </c>
      <c r="B722" s="32" t="s">
        <v>2698</v>
      </c>
    </row>
    <row r="723" spans="1:2" x14ac:dyDescent="0.35">
      <c r="A723" s="34">
        <v>5421</v>
      </c>
      <c r="B723" s="32" t="s">
        <v>2699</v>
      </c>
    </row>
    <row r="724" spans="1:2" x14ac:dyDescent="0.35">
      <c r="A724" s="34">
        <v>5431</v>
      </c>
      <c r="B724" s="32" t="s">
        <v>2700</v>
      </c>
    </row>
    <row r="725" spans="1:2" x14ac:dyDescent="0.35">
      <c r="A725" s="34">
        <v>5441</v>
      </c>
      <c r="B725" s="32" t="s">
        <v>2701</v>
      </c>
    </row>
    <row r="726" spans="1:2" x14ac:dyDescent="0.35">
      <c r="A726" s="34">
        <v>5451</v>
      </c>
      <c r="B726" s="32" t="s">
        <v>2702</v>
      </c>
    </row>
    <row r="727" spans="1:2" x14ac:dyDescent="0.35">
      <c r="A727" s="34">
        <v>5461</v>
      </c>
      <c r="B727" s="32" t="s">
        <v>2703</v>
      </c>
    </row>
    <row r="728" spans="1:2" x14ac:dyDescent="0.35">
      <c r="A728" s="34">
        <v>5499</v>
      </c>
      <c r="B728" s="32" t="s">
        <v>2704</v>
      </c>
    </row>
    <row r="729" spans="1:2" x14ac:dyDescent="0.35">
      <c r="A729" s="34">
        <v>5511</v>
      </c>
      <c r="B729" s="32" t="s">
        <v>2705</v>
      </c>
    </row>
    <row r="730" spans="1:2" x14ac:dyDescent="0.35">
      <c r="A730" s="34">
        <v>5521</v>
      </c>
      <c r="B730" s="32" t="s">
        <v>2706</v>
      </c>
    </row>
    <row r="731" spans="1:2" x14ac:dyDescent="0.35">
      <c r="A731" s="34">
        <v>5531</v>
      </c>
      <c r="B731" s="32" t="s">
        <v>2707</v>
      </c>
    </row>
    <row r="732" spans="1:2" x14ac:dyDescent="0.35">
      <c r="A732" s="34">
        <v>5541</v>
      </c>
      <c r="B732" s="32" t="s">
        <v>2708</v>
      </c>
    </row>
    <row r="733" spans="1:2" x14ac:dyDescent="0.35">
      <c r="A733" s="34">
        <v>5551</v>
      </c>
      <c r="B733" s="32" t="s">
        <v>2709</v>
      </c>
    </row>
    <row r="734" spans="1:2" x14ac:dyDescent="0.35">
      <c r="A734" s="34">
        <v>5561</v>
      </c>
      <c r="B734" s="32" t="s">
        <v>2710</v>
      </c>
    </row>
    <row r="735" spans="1:2" x14ac:dyDescent="0.35">
      <c r="A735" s="34">
        <v>5571</v>
      </c>
      <c r="B735" s="32" t="s">
        <v>2711</v>
      </c>
    </row>
    <row r="736" spans="1:2" x14ac:dyDescent="0.35">
      <c r="A736" s="34">
        <v>5599</v>
      </c>
      <c r="B736" s="32" t="s">
        <v>2712</v>
      </c>
    </row>
    <row r="737" spans="1:2" x14ac:dyDescent="0.35">
      <c r="A737" s="34">
        <v>5611</v>
      </c>
      <c r="B737" s="32" t="s">
        <v>2713</v>
      </c>
    </row>
    <row r="738" spans="1:2" x14ac:dyDescent="0.35">
      <c r="A738" s="34">
        <v>5621</v>
      </c>
      <c r="B738" s="32" t="s">
        <v>2714</v>
      </c>
    </row>
    <row r="739" spans="1:2" x14ac:dyDescent="0.35">
      <c r="A739" s="34">
        <v>5632</v>
      </c>
      <c r="B739" s="32" t="s">
        <v>2715</v>
      </c>
    </row>
    <row r="740" spans="1:2" x14ac:dyDescent="0.35">
      <c r="A740" s="34">
        <v>5641</v>
      </c>
      <c r="B740" s="32" t="s">
        <v>2716</v>
      </c>
    </row>
    <row r="741" spans="1:2" x14ac:dyDescent="0.35">
      <c r="A741" s="34">
        <v>5651</v>
      </c>
      <c r="B741" s="32" t="s">
        <v>2717</v>
      </c>
    </row>
    <row r="742" spans="1:2" x14ac:dyDescent="0.35">
      <c r="A742" s="34">
        <v>5661</v>
      </c>
      <c r="B742" s="32" t="s">
        <v>2718</v>
      </c>
    </row>
    <row r="743" spans="1:2" x14ac:dyDescent="0.35">
      <c r="A743" s="34">
        <v>5699</v>
      </c>
      <c r="B743" s="32" t="s">
        <v>2719</v>
      </c>
    </row>
    <row r="744" spans="1:2" x14ac:dyDescent="0.35">
      <c r="A744" s="34">
        <v>5712</v>
      </c>
      <c r="B744" s="32" t="s">
        <v>2720</v>
      </c>
    </row>
    <row r="745" spans="1:2" x14ac:dyDescent="0.35">
      <c r="A745" s="34">
        <v>5713</v>
      </c>
      <c r="B745" s="32" t="s">
        <v>2721</v>
      </c>
    </row>
    <row r="746" spans="1:2" x14ac:dyDescent="0.35">
      <c r="A746" s="34">
        <v>5714</v>
      </c>
      <c r="B746" s="32" t="s">
        <v>2722</v>
      </c>
    </row>
    <row r="747" spans="1:2" x14ac:dyDescent="0.35">
      <c r="A747" s="34">
        <v>5719</v>
      </c>
      <c r="B747" s="32" t="s">
        <v>2723</v>
      </c>
    </row>
    <row r="748" spans="1:2" x14ac:dyDescent="0.35">
      <c r="A748" s="34">
        <v>5722</v>
      </c>
      <c r="B748" s="32" t="s">
        <v>2724</v>
      </c>
    </row>
    <row r="749" spans="1:2" x14ac:dyDescent="0.35">
      <c r="A749" s="34">
        <v>5731</v>
      </c>
      <c r="B749" s="32" t="s">
        <v>2725</v>
      </c>
    </row>
    <row r="750" spans="1:2" x14ac:dyDescent="0.35">
      <c r="A750" s="34">
        <v>5734</v>
      </c>
      <c r="B750" s="32" t="s">
        <v>2726</v>
      </c>
    </row>
    <row r="751" spans="1:2" x14ac:dyDescent="0.35">
      <c r="A751" s="34">
        <v>5735</v>
      </c>
      <c r="B751" s="32" t="s">
        <v>2727</v>
      </c>
    </row>
    <row r="752" spans="1:2" x14ac:dyDescent="0.35">
      <c r="A752" s="34">
        <v>5736</v>
      </c>
      <c r="B752" s="32" t="s">
        <v>2728</v>
      </c>
    </row>
    <row r="753" spans="1:2" x14ac:dyDescent="0.35">
      <c r="A753" s="34">
        <v>5812</v>
      </c>
      <c r="B753" s="32" t="s">
        <v>2729</v>
      </c>
    </row>
    <row r="754" spans="1:2" x14ac:dyDescent="0.35">
      <c r="A754" s="34">
        <v>5813</v>
      </c>
      <c r="B754" s="32" t="s">
        <v>2730</v>
      </c>
    </row>
    <row r="755" spans="1:2" x14ac:dyDescent="0.35">
      <c r="A755" s="34">
        <v>5912</v>
      </c>
      <c r="B755" s="32" t="s">
        <v>2731</v>
      </c>
    </row>
    <row r="756" spans="1:2" x14ac:dyDescent="0.35">
      <c r="A756" s="34">
        <v>5921</v>
      </c>
      <c r="B756" s="32" t="s">
        <v>2732</v>
      </c>
    </row>
    <row r="757" spans="1:2" x14ac:dyDescent="0.35">
      <c r="A757" s="34">
        <v>5932</v>
      </c>
      <c r="B757" s="32" t="s">
        <v>2733</v>
      </c>
    </row>
    <row r="758" spans="1:2" x14ac:dyDescent="0.35">
      <c r="A758" s="34">
        <v>5941</v>
      </c>
      <c r="B758" s="32" t="s">
        <v>2734</v>
      </c>
    </row>
    <row r="759" spans="1:2" x14ac:dyDescent="0.35">
      <c r="A759" s="34">
        <v>5942</v>
      </c>
      <c r="B759" s="32" t="s">
        <v>2735</v>
      </c>
    </row>
    <row r="760" spans="1:2" x14ac:dyDescent="0.35">
      <c r="A760" s="34">
        <v>5943</v>
      </c>
      <c r="B760" s="32" t="s">
        <v>2736</v>
      </c>
    </row>
    <row r="761" spans="1:2" x14ac:dyDescent="0.35">
      <c r="A761" s="34">
        <v>5944</v>
      </c>
      <c r="B761" s="32" t="s">
        <v>2737</v>
      </c>
    </row>
    <row r="762" spans="1:2" x14ac:dyDescent="0.35">
      <c r="A762" s="34">
        <v>5945</v>
      </c>
      <c r="B762" s="32" t="s">
        <v>2738</v>
      </c>
    </row>
    <row r="763" spans="1:2" x14ac:dyDescent="0.35">
      <c r="A763" s="34">
        <v>5946</v>
      </c>
      <c r="B763" s="32" t="s">
        <v>2739</v>
      </c>
    </row>
    <row r="764" spans="1:2" x14ac:dyDescent="0.35">
      <c r="A764" s="34">
        <v>5947</v>
      </c>
      <c r="B764" s="32" t="s">
        <v>2740</v>
      </c>
    </row>
    <row r="765" spans="1:2" x14ac:dyDescent="0.35">
      <c r="A765" s="34">
        <v>5948</v>
      </c>
      <c r="B765" s="32" t="s">
        <v>2741</v>
      </c>
    </row>
    <row r="766" spans="1:2" x14ac:dyDescent="0.35">
      <c r="A766" s="34">
        <v>5949</v>
      </c>
      <c r="B766" s="32" t="s">
        <v>2742</v>
      </c>
    </row>
    <row r="767" spans="1:2" x14ac:dyDescent="0.35">
      <c r="A767" s="34">
        <v>5961</v>
      </c>
      <c r="B767" s="32" t="s">
        <v>2743</v>
      </c>
    </row>
    <row r="768" spans="1:2" x14ac:dyDescent="0.35">
      <c r="A768" s="34">
        <v>5962</v>
      </c>
      <c r="B768" s="32" t="s">
        <v>2744</v>
      </c>
    </row>
    <row r="769" spans="1:2" x14ac:dyDescent="0.35">
      <c r="A769" s="34">
        <v>5963</v>
      </c>
      <c r="B769" s="32" t="s">
        <v>2745</v>
      </c>
    </row>
    <row r="770" spans="1:2" x14ac:dyDescent="0.35">
      <c r="A770" s="34">
        <v>5983</v>
      </c>
      <c r="B770" s="32" t="s">
        <v>2746</v>
      </c>
    </row>
    <row r="771" spans="1:2" x14ac:dyDescent="0.35">
      <c r="A771" s="34">
        <v>5984</v>
      </c>
      <c r="B771" s="32" t="s">
        <v>2747</v>
      </c>
    </row>
    <row r="772" spans="1:2" x14ac:dyDescent="0.35">
      <c r="A772" s="34">
        <v>5989</v>
      </c>
      <c r="B772" s="32" t="s">
        <v>2748</v>
      </c>
    </row>
    <row r="773" spans="1:2" x14ac:dyDescent="0.35">
      <c r="A773" s="34">
        <v>5992</v>
      </c>
      <c r="B773" s="32" t="s">
        <v>2749</v>
      </c>
    </row>
    <row r="774" spans="1:2" x14ac:dyDescent="0.35">
      <c r="A774" s="34">
        <v>5993</v>
      </c>
      <c r="B774" s="32" t="s">
        <v>2750</v>
      </c>
    </row>
    <row r="775" spans="1:2" x14ac:dyDescent="0.35">
      <c r="A775" s="34">
        <v>5994</v>
      </c>
      <c r="B775" s="32" t="s">
        <v>2751</v>
      </c>
    </row>
    <row r="776" spans="1:2" x14ac:dyDescent="0.35">
      <c r="A776" s="34">
        <v>5995</v>
      </c>
      <c r="B776" s="32" t="s">
        <v>2752</v>
      </c>
    </row>
    <row r="777" spans="1:2" x14ac:dyDescent="0.35">
      <c r="A777" s="34">
        <v>5999</v>
      </c>
      <c r="B777" s="32" t="s">
        <v>2753</v>
      </c>
    </row>
    <row r="778" spans="1:2" x14ac:dyDescent="0.35">
      <c r="A778" s="34">
        <v>6011</v>
      </c>
      <c r="B778" s="32" t="s">
        <v>2754</v>
      </c>
    </row>
    <row r="779" spans="1:2" x14ac:dyDescent="0.35">
      <c r="A779" s="34">
        <v>6019</v>
      </c>
      <c r="B779" s="32" t="s">
        <v>2755</v>
      </c>
    </row>
    <row r="780" spans="1:2" x14ac:dyDescent="0.35">
      <c r="A780" s="34">
        <v>6021</v>
      </c>
      <c r="B780" s="32" t="s">
        <v>2756</v>
      </c>
    </row>
    <row r="781" spans="1:2" x14ac:dyDescent="0.35">
      <c r="A781" s="34">
        <v>6022</v>
      </c>
      <c r="B781" s="32" t="s">
        <v>2757</v>
      </c>
    </row>
    <row r="782" spans="1:2" x14ac:dyDescent="0.35">
      <c r="A782" s="34">
        <v>6029</v>
      </c>
      <c r="B782" s="32" t="s">
        <v>2758</v>
      </c>
    </row>
    <row r="783" spans="1:2" x14ac:dyDescent="0.35">
      <c r="A783" s="34">
        <v>6035</v>
      </c>
      <c r="B783" s="32" t="s">
        <v>2759</v>
      </c>
    </row>
    <row r="784" spans="1:2" x14ac:dyDescent="0.35">
      <c r="A784" s="34">
        <v>6036</v>
      </c>
      <c r="B784" s="32" t="s">
        <v>2760</v>
      </c>
    </row>
    <row r="785" spans="1:2" x14ac:dyDescent="0.35">
      <c r="A785" s="34">
        <v>6061</v>
      </c>
      <c r="B785" s="32" t="s">
        <v>2761</v>
      </c>
    </row>
    <row r="786" spans="1:2" x14ac:dyDescent="0.35">
      <c r="A786" s="34">
        <v>6062</v>
      </c>
      <c r="B786" s="32" t="s">
        <v>2762</v>
      </c>
    </row>
    <row r="787" spans="1:2" x14ac:dyDescent="0.35">
      <c r="A787" s="34">
        <v>6081</v>
      </c>
      <c r="B787" s="32" t="s">
        <v>2763</v>
      </c>
    </row>
    <row r="788" spans="1:2" x14ac:dyDescent="0.35">
      <c r="A788" s="34">
        <v>6082</v>
      </c>
      <c r="B788" s="32" t="s">
        <v>2764</v>
      </c>
    </row>
    <row r="789" spans="1:2" x14ac:dyDescent="0.35">
      <c r="A789" s="34">
        <v>6091</v>
      </c>
      <c r="B789" s="32" t="s">
        <v>2765</v>
      </c>
    </row>
    <row r="790" spans="1:2" x14ac:dyDescent="0.35">
      <c r="A790" s="34">
        <v>6099</v>
      </c>
      <c r="B790" s="32" t="s">
        <v>2766</v>
      </c>
    </row>
    <row r="791" spans="1:2" x14ac:dyDescent="0.35">
      <c r="A791" s="34">
        <v>6111</v>
      </c>
      <c r="B791" s="32" t="s">
        <v>2767</v>
      </c>
    </row>
    <row r="792" spans="1:2" x14ac:dyDescent="0.35">
      <c r="A792" s="34">
        <v>6141</v>
      </c>
      <c r="B792" s="32" t="s">
        <v>2768</v>
      </c>
    </row>
    <row r="793" spans="1:2" x14ac:dyDescent="0.35">
      <c r="A793" s="34">
        <v>6153</v>
      </c>
      <c r="B793" s="32" t="s">
        <v>2769</v>
      </c>
    </row>
    <row r="794" spans="1:2" x14ac:dyDescent="0.35">
      <c r="A794" s="34">
        <v>6159</v>
      </c>
      <c r="B794" s="32" t="s">
        <v>2770</v>
      </c>
    </row>
    <row r="795" spans="1:2" x14ac:dyDescent="0.35">
      <c r="A795" s="34">
        <v>6162</v>
      </c>
      <c r="B795" s="32" t="s">
        <v>2771</v>
      </c>
    </row>
    <row r="796" spans="1:2" x14ac:dyDescent="0.35">
      <c r="A796" s="34">
        <v>6163</v>
      </c>
      <c r="B796" s="32" t="s">
        <v>2772</v>
      </c>
    </row>
    <row r="797" spans="1:2" x14ac:dyDescent="0.35">
      <c r="A797" s="34">
        <v>6211</v>
      </c>
      <c r="B797" s="32" t="s">
        <v>2773</v>
      </c>
    </row>
    <row r="798" spans="1:2" x14ac:dyDescent="0.35">
      <c r="A798" s="34">
        <v>6221</v>
      </c>
      <c r="B798" s="32" t="s">
        <v>2774</v>
      </c>
    </row>
    <row r="799" spans="1:2" x14ac:dyDescent="0.35">
      <c r="A799" s="34">
        <v>6231</v>
      </c>
      <c r="B799" s="32" t="s">
        <v>2775</v>
      </c>
    </row>
    <row r="800" spans="1:2" x14ac:dyDescent="0.35">
      <c r="A800" s="34">
        <v>6282</v>
      </c>
      <c r="B800" s="32" t="s">
        <v>2776</v>
      </c>
    </row>
    <row r="801" spans="1:2" x14ac:dyDescent="0.35">
      <c r="A801" s="34">
        <v>6289</v>
      </c>
      <c r="B801" s="32" t="s">
        <v>2777</v>
      </c>
    </row>
    <row r="802" spans="1:2" x14ac:dyDescent="0.35">
      <c r="A802" s="34">
        <v>6311</v>
      </c>
      <c r="B802" s="32" t="s">
        <v>2778</v>
      </c>
    </row>
    <row r="803" spans="1:2" x14ac:dyDescent="0.35">
      <c r="A803" s="34">
        <v>6321</v>
      </c>
      <c r="B803" s="32" t="s">
        <v>2779</v>
      </c>
    </row>
    <row r="804" spans="1:2" x14ac:dyDescent="0.35">
      <c r="A804" s="34">
        <v>6324</v>
      </c>
      <c r="B804" s="32" t="s">
        <v>2780</v>
      </c>
    </row>
    <row r="805" spans="1:2" x14ac:dyDescent="0.35">
      <c r="A805" s="34">
        <v>6331</v>
      </c>
      <c r="B805" s="32" t="s">
        <v>2781</v>
      </c>
    </row>
    <row r="806" spans="1:2" x14ac:dyDescent="0.35">
      <c r="A806" s="34">
        <v>6351</v>
      </c>
      <c r="B806" s="32" t="s">
        <v>2782</v>
      </c>
    </row>
    <row r="807" spans="1:2" x14ac:dyDescent="0.35">
      <c r="A807" s="34">
        <v>6361</v>
      </c>
      <c r="B807" s="32" t="s">
        <v>2783</v>
      </c>
    </row>
    <row r="808" spans="1:2" x14ac:dyDescent="0.35">
      <c r="A808" s="34">
        <v>6371</v>
      </c>
      <c r="B808" s="32" t="s">
        <v>2784</v>
      </c>
    </row>
    <row r="809" spans="1:2" x14ac:dyDescent="0.35">
      <c r="A809" s="34">
        <v>6399</v>
      </c>
      <c r="B809" s="32" t="s">
        <v>2785</v>
      </c>
    </row>
    <row r="810" spans="1:2" x14ac:dyDescent="0.35">
      <c r="A810" s="34">
        <v>6411</v>
      </c>
      <c r="B810" s="32" t="s">
        <v>2786</v>
      </c>
    </row>
    <row r="811" spans="1:2" x14ac:dyDescent="0.35">
      <c r="A811" s="34">
        <v>6512</v>
      </c>
      <c r="B811" s="32" t="s">
        <v>2787</v>
      </c>
    </row>
    <row r="812" spans="1:2" x14ac:dyDescent="0.35">
      <c r="A812" s="34">
        <v>6513</v>
      </c>
      <c r="B812" s="32" t="s">
        <v>2788</v>
      </c>
    </row>
    <row r="813" spans="1:2" x14ac:dyDescent="0.35">
      <c r="A813" s="34">
        <v>6514</v>
      </c>
      <c r="B813" s="32" t="s">
        <v>2789</v>
      </c>
    </row>
    <row r="814" spans="1:2" x14ac:dyDescent="0.35">
      <c r="A814" s="34">
        <v>6515</v>
      </c>
      <c r="B814" s="32" t="s">
        <v>2790</v>
      </c>
    </row>
    <row r="815" spans="1:2" x14ac:dyDescent="0.35">
      <c r="A815" s="34">
        <v>6517</v>
      </c>
      <c r="B815" s="32" t="s">
        <v>2791</v>
      </c>
    </row>
    <row r="816" spans="1:2" x14ac:dyDescent="0.35">
      <c r="A816" s="34">
        <v>6519</v>
      </c>
      <c r="B816" s="32" t="s">
        <v>2792</v>
      </c>
    </row>
    <row r="817" spans="1:2" x14ac:dyDescent="0.35">
      <c r="A817" s="34">
        <v>6531</v>
      </c>
      <c r="B817" s="32" t="s">
        <v>2793</v>
      </c>
    </row>
    <row r="818" spans="1:2" x14ac:dyDescent="0.35">
      <c r="A818" s="34">
        <v>6541</v>
      </c>
      <c r="B818" s="32" t="s">
        <v>2794</v>
      </c>
    </row>
    <row r="819" spans="1:2" x14ac:dyDescent="0.35">
      <c r="A819" s="34">
        <v>6552</v>
      </c>
      <c r="B819" s="32" t="s">
        <v>2795</v>
      </c>
    </row>
    <row r="820" spans="1:2" x14ac:dyDescent="0.35">
      <c r="A820" s="34">
        <v>6553</v>
      </c>
      <c r="B820" s="32" t="s">
        <v>2796</v>
      </c>
    </row>
    <row r="821" spans="1:2" x14ac:dyDescent="0.35">
      <c r="A821" s="34">
        <v>6712</v>
      </c>
      <c r="B821" s="32" t="s">
        <v>2797</v>
      </c>
    </row>
    <row r="822" spans="1:2" x14ac:dyDescent="0.35">
      <c r="A822" s="34">
        <v>6719</v>
      </c>
      <c r="B822" s="32" t="s">
        <v>2798</v>
      </c>
    </row>
    <row r="823" spans="1:2" x14ac:dyDescent="0.35">
      <c r="A823" s="34">
        <v>6722</v>
      </c>
      <c r="B823" s="32" t="s">
        <v>2799</v>
      </c>
    </row>
    <row r="824" spans="1:2" x14ac:dyDescent="0.35">
      <c r="A824" s="34">
        <v>6726</v>
      </c>
      <c r="B824" s="32" t="s">
        <v>2800</v>
      </c>
    </row>
    <row r="825" spans="1:2" x14ac:dyDescent="0.35">
      <c r="A825" s="34">
        <v>6732</v>
      </c>
      <c r="B825" s="32" t="s">
        <v>2801</v>
      </c>
    </row>
    <row r="826" spans="1:2" x14ac:dyDescent="0.35">
      <c r="A826" s="34">
        <v>6733</v>
      </c>
      <c r="B826" s="32" t="s">
        <v>2802</v>
      </c>
    </row>
    <row r="827" spans="1:2" x14ac:dyDescent="0.35">
      <c r="A827" s="34">
        <v>6792</v>
      </c>
      <c r="B827" s="32" t="s">
        <v>2803</v>
      </c>
    </row>
    <row r="828" spans="1:2" x14ac:dyDescent="0.35">
      <c r="A828" s="34">
        <v>6794</v>
      </c>
      <c r="B828" s="32" t="s">
        <v>2804</v>
      </c>
    </row>
    <row r="829" spans="1:2" x14ac:dyDescent="0.35">
      <c r="A829" s="34">
        <v>6798</v>
      </c>
      <c r="B829" s="32" t="s">
        <v>2805</v>
      </c>
    </row>
    <row r="830" spans="1:2" x14ac:dyDescent="0.35">
      <c r="A830" s="34">
        <v>6799</v>
      </c>
      <c r="B830" s="32" t="s">
        <v>2806</v>
      </c>
    </row>
    <row r="831" spans="1:2" x14ac:dyDescent="0.35">
      <c r="A831" s="34">
        <v>7011</v>
      </c>
      <c r="B831" s="32" t="s">
        <v>2807</v>
      </c>
    </row>
    <row r="832" spans="1:2" x14ac:dyDescent="0.35">
      <c r="A832" s="34">
        <v>7021</v>
      </c>
      <c r="B832" s="32" t="s">
        <v>2808</v>
      </c>
    </row>
    <row r="833" spans="1:2" x14ac:dyDescent="0.35">
      <c r="A833" s="34">
        <v>7032</v>
      </c>
      <c r="B833" s="32" t="s">
        <v>2809</v>
      </c>
    </row>
    <row r="834" spans="1:2" x14ac:dyDescent="0.35">
      <c r="A834" s="34">
        <v>7033</v>
      </c>
      <c r="B834" s="32" t="s">
        <v>2810</v>
      </c>
    </row>
    <row r="835" spans="1:2" x14ac:dyDescent="0.35">
      <c r="A835" s="34">
        <v>7041</v>
      </c>
      <c r="B835" s="32" t="s">
        <v>2811</v>
      </c>
    </row>
    <row r="836" spans="1:2" x14ac:dyDescent="0.35">
      <c r="A836" s="34">
        <v>7211</v>
      </c>
      <c r="B836" s="32" t="s">
        <v>2812</v>
      </c>
    </row>
    <row r="837" spans="1:2" x14ac:dyDescent="0.35">
      <c r="A837" s="34">
        <v>7212</v>
      </c>
      <c r="B837" s="32" t="s">
        <v>2813</v>
      </c>
    </row>
    <row r="838" spans="1:2" x14ac:dyDescent="0.35">
      <c r="A838" s="34">
        <v>7213</v>
      </c>
      <c r="B838" s="32" t="s">
        <v>2814</v>
      </c>
    </row>
    <row r="839" spans="1:2" x14ac:dyDescent="0.35">
      <c r="A839" s="34">
        <v>7215</v>
      </c>
      <c r="B839" s="32" t="s">
        <v>2815</v>
      </c>
    </row>
    <row r="840" spans="1:2" x14ac:dyDescent="0.35">
      <c r="A840" s="34">
        <v>7216</v>
      </c>
      <c r="B840" s="32" t="s">
        <v>2816</v>
      </c>
    </row>
    <row r="841" spans="1:2" x14ac:dyDescent="0.35">
      <c r="A841" s="34">
        <v>7217</v>
      </c>
      <c r="B841" s="32" t="s">
        <v>2817</v>
      </c>
    </row>
    <row r="842" spans="1:2" x14ac:dyDescent="0.35">
      <c r="A842" s="34">
        <v>7218</v>
      </c>
      <c r="B842" s="32" t="s">
        <v>2818</v>
      </c>
    </row>
    <row r="843" spans="1:2" x14ac:dyDescent="0.35">
      <c r="A843" s="34">
        <v>7219</v>
      </c>
      <c r="B843" s="32" t="s">
        <v>2819</v>
      </c>
    </row>
    <row r="844" spans="1:2" x14ac:dyDescent="0.35">
      <c r="A844" s="34">
        <v>7221</v>
      </c>
      <c r="B844" s="32" t="s">
        <v>2820</v>
      </c>
    </row>
    <row r="845" spans="1:2" x14ac:dyDescent="0.35">
      <c r="A845" s="34">
        <v>7231</v>
      </c>
      <c r="B845" s="32" t="s">
        <v>2821</v>
      </c>
    </row>
    <row r="846" spans="1:2" x14ac:dyDescent="0.35">
      <c r="A846" s="34">
        <v>7241</v>
      </c>
      <c r="B846" s="32" t="s">
        <v>2822</v>
      </c>
    </row>
    <row r="847" spans="1:2" x14ac:dyDescent="0.35">
      <c r="A847" s="34">
        <v>7251</v>
      </c>
      <c r="B847" s="32" t="s">
        <v>2823</v>
      </c>
    </row>
    <row r="848" spans="1:2" x14ac:dyDescent="0.35">
      <c r="A848" s="34">
        <v>7261</v>
      </c>
      <c r="B848" s="32" t="s">
        <v>2824</v>
      </c>
    </row>
    <row r="849" spans="1:2" x14ac:dyDescent="0.35">
      <c r="A849" s="34">
        <v>7291</v>
      </c>
      <c r="B849" s="32" t="s">
        <v>2825</v>
      </c>
    </row>
    <row r="850" spans="1:2" x14ac:dyDescent="0.35">
      <c r="A850" s="34">
        <v>7299</v>
      </c>
      <c r="B850" s="32" t="s">
        <v>2826</v>
      </c>
    </row>
    <row r="851" spans="1:2" x14ac:dyDescent="0.35">
      <c r="A851" s="34">
        <v>7311</v>
      </c>
      <c r="B851" s="32" t="s">
        <v>2827</v>
      </c>
    </row>
    <row r="852" spans="1:2" x14ac:dyDescent="0.35">
      <c r="A852" s="34">
        <v>7312</v>
      </c>
      <c r="B852" s="32" t="s">
        <v>2828</v>
      </c>
    </row>
    <row r="853" spans="1:2" x14ac:dyDescent="0.35">
      <c r="A853" s="34">
        <v>7313</v>
      </c>
      <c r="B853" s="32" t="s">
        <v>2829</v>
      </c>
    </row>
    <row r="854" spans="1:2" x14ac:dyDescent="0.35">
      <c r="A854" s="34">
        <v>7319</v>
      </c>
      <c r="B854" s="32" t="s">
        <v>2830</v>
      </c>
    </row>
    <row r="855" spans="1:2" x14ac:dyDescent="0.35">
      <c r="A855" s="34">
        <v>7322</v>
      </c>
      <c r="B855" s="32" t="s">
        <v>2831</v>
      </c>
    </row>
    <row r="856" spans="1:2" x14ac:dyDescent="0.35">
      <c r="A856" s="34">
        <v>7323</v>
      </c>
      <c r="B856" s="32" t="s">
        <v>2832</v>
      </c>
    </row>
    <row r="857" spans="1:2" x14ac:dyDescent="0.35">
      <c r="A857" s="34">
        <v>7331</v>
      </c>
      <c r="B857" s="32" t="s">
        <v>2833</v>
      </c>
    </row>
    <row r="858" spans="1:2" x14ac:dyDescent="0.35">
      <c r="A858" s="34">
        <v>7334</v>
      </c>
      <c r="B858" s="32" t="s">
        <v>2834</v>
      </c>
    </row>
    <row r="859" spans="1:2" x14ac:dyDescent="0.35">
      <c r="A859" s="34">
        <v>7335</v>
      </c>
      <c r="B859" s="32" t="s">
        <v>2835</v>
      </c>
    </row>
    <row r="860" spans="1:2" x14ac:dyDescent="0.35">
      <c r="A860" s="34">
        <v>7336</v>
      </c>
      <c r="B860" s="32" t="s">
        <v>2836</v>
      </c>
    </row>
    <row r="861" spans="1:2" x14ac:dyDescent="0.35">
      <c r="A861" s="34">
        <v>7338</v>
      </c>
      <c r="B861" s="32" t="s">
        <v>2837</v>
      </c>
    </row>
    <row r="862" spans="1:2" x14ac:dyDescent="0.35">
      <c r="A862" s="34">
        <v>7342</v>
      </c>
      <c r="B862" s="32" t="s">
        <v>2838</v>
      </c>
    </row>
    <row r="863" spans="1:2" x14ac:dyDescent="0.35">
      <c r="A863" s="34">
        <v>7349</v>
      </c>
      <c r="B863" s="32" t="s">
        <v>2839</v>
      </c>
    </row>
    <row r="864" spans="1:2" x14ac:dyDescent="0.35">
      <c r="A864" s="34">
        <v>7352</v>
      </c>
      <c r="B864" s="32" t="s">
        <v>2840</v>
      </c>
    </row>
    <row r="865" spans="1:2" x14ac:dyDescent="0.35">
      <c r="A865" s="34">
        <v>7353</v>
      </c>
      <c r="B865" s="32" t="s">
        <v>2841</v>
      </c>
    </row>
    <row r="866" spans="1:2" x14ac:dyDescent="0.35">
      <c r="A866" s="34">
        <v>7359</v>
      </c>
      <c r="B866" s="32" t="s">
        <v>2842</v>
      </c>
    </row>
    <row r="867" spans="1:2" x14ac:dyDescent="0.35">
      <c r="A867" s="34">
        <v>7361</v>
      </c>
      <c r="B867" s="32" t="s">
        <v>2843</v>
      </c>
    </row>
    <row r="868" spans="1:2" x14ac:dyDescent="0.35">
      <c r="A868" s="34">
        <v>7363</v>
      </c>
      <c r="B868" s="32" t="s">
        <v>2844</v>
      </c>
    </row>
    <row r="869" spans="1:2" x14ac:dyDescent="0.35">
      <c r="A869" s="34">
        <v>7371</v>
      </c>
      <c r="B869" s="32" t="s">
        <v>2845</v>
      </c>
    </row>
    <row r="870" spans="1:2" x14ac:dyDescent="0.35">
      <c r="A870" s="34">
        <v>7372</v>
      </c>
      <c r="B870" s="32" t="s">
        <v>2846</v>
      </c>
    </row>
    <row r="871" spans="1:2" x14ac:dyDescent="0.35">
      <c r="A871" s="34">
        <v>7373</v>
      </c>
      <c r="B871" s="32" t="s">
        <v>2847</v>
      </c>
    </row>
    <row r="872" spans="1:2" x14ac:dyDescent="0.35">
      <c r="A872" s="34">
        <v>7374</v>
      </c>
      <c r="B872" s="32" t="s">
        <v>2848</v>
      </c>
    </row>
    <row r="873" spans="1:2" x14ac:dyDescent="0.35">
      <c r="A873" s="34">
        <v>7375</v>
      </c>
      <c r="B873" s="32" t="s">
        <v>2849</v>
      </c>
    </row>
    <row r="874" spans="1:2" x14ac:dyDescent="0.35">
      <c r="A874" s="34">
        <v>7376</v>
      </c>
      <c r="B874" s="32" t="s">
        <v>2850</v>
      </c>
    </row>
    <row r="875" spans="1:2" x14ac:dyDescent="0.35">
      <c r="A875" s="34">
        <v>7377</v>
      </c>
      <c r="B875" s="32" t="s">
        <v>2851</v>
      </c>
    </row>
    <row r="876" spans="1:2" x14ac:dyDescent="0.35">
      <c r="A876" s="34">
        <v>7378</v>
      </c>
      <c r="B876" s="32" t="s">
        <v>2852</v>
      </c>
    </row>
    <row r="877" spans="1:2" x14ac:dyDescent="0.35">
      <c r="A877" s="34">
        <v>7379</v>
      </c>
      <c r="B877" s="32" t="s">
        <v>2853</v>
      </c>
    </row>
    <row r="878" spans="1:2" x14ac:dyDescent="0.35">
      <c r="A878" s="34">
        <v>7381</v>
      </c>
      <c r="B878" s="32" t="s">
        <v>2854</v>
      </c>
    </row>
    <row r="879" spans="1:2" x14ac:dyDescent="0.35">
      <c r="A879" s="34">
        <v>7382</v>
      </c>
      <c r="B879" s="32" t="s">
        <v>2855</v>
      </c>
    </row>
    <row r="880" spans="1:2" x14ac:dyDescent="0.35">
      <c r="A880" s="34">
        <v>7383</v>
      </c>
      <c r="B880" s="32" t="s">
        <v>2856</v>
      </c>
    </row>
    <row r="881" spans="1:2" x14ac:dyDescent="0.35">
      <c r="A881" s="34">
        <v>7384</v>
      </c>
      <c r="B881" s="32" t="s">
        <v>2857</v>
      </c>
    </row>
    <row r="882" spans="1:2" x14ac:dyDescent="0.35">
      <c r="A882" s="34">
        <v>7389</v>
      </c>
      <c r="B882" s="32" t="s">
        <v>2858</v>
      </c>
    </row>
    <row r="883" spans="1:2" x14ac:dyDescent="0.35">
      <c r="A883" s="34">
        <v>7513</v>
      </c>
      <c r="B883" s="32" t="s">
        <v>2859</v>
      </c>
    </row>
    <row r="884" spans="1:2" x14ac:dyDescent="0.35">
      <c r="A884" s="34">
        <v>7514</v>
      </c>
      <c r="B884" s="32" t="s">
        <v>2860</v>
      </c>
    </row>
    <row r="885" spans="1:2" x14ac:dyDescent="0.35">
      <c r="A885" s="34">
        <v>7515</v>
      </c>
      <c r="B885" s="32" t="s">
        <v>2861</v>
      </c>
    </row>
    <row r="886" spans="1:2" x14ac:dyDescent="0.35">
      <c r="A886" s="34">
        <v>7519</v>
      </c>
      <c r="B886" s="32" t="s">
        <v>2862</v>
      </c>
    </row>
    <row r="887" spans="1:2" x14ac:dyDescent="0.35">
      <c r="A887" s="34">
        <v>7521</v>
      </c>
      <c r="B887" s="32" t="s">
        <v>2863</v>
      </c>
    </row>
    <row r="888" spans="1:2" x14ac:dyDescent="0.35">
      <c r="A888" s="34">
        <v>7532</v>
      </c>
      <c r="B888" s="32" t="s">
        <v>2864</v>
      </c>
    </row>
    <row r="889" spans="1:2" x14ac:dyDescent="0.35">
      <c r="A889" s="34">
        <v>7533</v>
      </c>
      <c r="B889" s="32" t="s">
        <v>2865</v>
      </c>
    </row>
    <row r="890" spans="1:2" x14ac:dyDescent="0.35">
      <c r="A890" s="34">
        <v>7534</v>
      </c>
      <c r="B890" s="32" t="s">
        <v>2866</v>
      </c>
    </row>
    <row r="891" spans="1:2" x14ac:dyDescent="0.35">
      <c r="A891" s="34">
        <v>7536</v>
      </c>
      <c r="B891" s="32" t="s">
        <v>2867</v>
      </c>
    </row>
    <row r="892" spans="1:2" x14ac:dyDescent="0.35">
      <c r="A892" s="34">
        <v>7537</v>
      </c>
      <c r="B892" s="32" t="s">
        <v>2868</v>
      </c>
    </row>
    <row r="893" spans="1:2" x14ac:dyDescent="0.35">
      <c r="A893" s="34">
        <v>7538</v>
      </c>
      <c r="B893" s="32" t="s">
        <v>2869</v>
      </c>
    </row>
    <row r="894" spans="1:2" x14ac:dyDescent="0.35">
      <c r="A894" s="34">
        <v>7539</v>
      </c>
      <c r="B894" s="32" t="s">
        <v>2870</v>
      </c>
    </row>
    <row r="895" spans="1:2" x14ac:dyDescent="0.35">
      <c r="A895" s="34">
        <v>7542</v>
      </c>
      <c r="B895" s="32" t="s">
        <v>2871</v>
      </c>
    </row>
    <row r="896" spans="1:2" x14ac:dyDescent="0.35">
      <c r="A896" s="34">
        <v>7549</v>
      </c>
      <c r="B896" s="32" t="s">
        <v>2872</v>
      </c>
    </row>
    <row r="897" spans="1:2" x14ac:dyDescent="0.35">
      <c r="A897" s="34">
        <v>7622</v>
      </c>
      <c r="B897" s="32" t="s">
        <v>2873</v>
      </c>
    </row>
    <row r="898" spans="1:2" x14ac:dyDescent="0.35">
      <c r="A898" s="34">
        <v>7623</v>
      </c>
      <c r="B898" s="32" t="s">
        <v>2874</v>
      </c>
    </row>
    <row r="899" spans="1:2" x14ac:dyDescent="0.35">
      <c r="A899" s="34">
        <v>7629</v>
      </c>
      <c r="B899" s="32" t="s">
        <v>2875</v>
      </c>
    </row>
    <row r="900" spans="1:2" x14ac:dyDescent="0.35">
      <c r="A900" s="34">
        <v>7631</v>
      </c>
      <c r="B900" s="32" t="s">
        <v>2876</v>
      </c>
    </row>
    <row r="901" spans="1:2" x14ac:dyDescent="0.35">
      <c r="A901" s="34">
        <v>7641</v>
      </c>
      <c r="B901" s="32" t="s">
        <v>2877</v>
      </c>
    </row>
    <row r="902" spans="1:2" x14ac:dyDescent="0.35">
      <c r="A902" s="34">
        <v>7692</v>
      </c>
      <c r="B902" s="32" t="s">
        <v>2878</v>
      </c>
    </row>
    <row r="903" spans="1:2" x14ac:dyDescent="0.35">
      <c r="A903" s="34">
        <v>7694</v>
      </c>
      <c r="B903" s="32" t="s">
        <v>2879</v>
      </c>
    </row>
    <row r="904" spans="1:2" x14ac:dyDescent="0.35">
      <c r="A904" s="34">
        <v>7699</v>
      </c>
      <c r="B904" s="32" t="s">
        <v>2880</v>
      </c>
    </row>
    <row r="905" spans="1:2" x14ac:dyDescent="0.35">
      <c r="A905" s="34">
        <v>7812</v>
      </c>
      <c r="B905" s="32" t="s">
        <v>2881</v>
      </c>
    </row>
    <row r="906" spans="1:2" x14ac:dyDescent="0.35">
      <c r="A906" s="34">
        <v>7819</v>
      </c>
      <c r="B906" s="32" t="s">
        <v>2882</v>
      </c>
    </row>
    <row r="907" spans="1:2" x14ac:dyDescent="0.35">
      <c r="A907" s="34">
        <v>7822</v>
      </c>
      <c r="B907" s="32" t="s">
        <v>2883</v>
      </c>
    </row>
    <row r="908" spans="1:2" x14ac:dyDescent="0.35">
      <c r="A908" s="34">
        <v>7829</v>
      </c>
      <c r="B908" s="32" t="s">
        <v>2884</v>
      </c>
    </row>
    <row r="909" spans="1:2" x14ac:dyDescent="0.35">
      <c r="A909" s="34">
        <v>7832</v>
      </c>
      <c r="B909" s="32" t="s">
        <v>2885</v>
      </c>
    </row>
    <row r="910" spans="1:2" x14ac:dyDescent="0.35">
      <c r="A910" s="34">
        <v>7833</v>
      </c>
      <c r="B910" s="32" t="s">
        <v>2886</v>
      </c>
    </row>
    <row r="911" spans="1:2" x14ac:dyDescent="0.35">
      <c r="A911" s="34">
        <v>7841</v>
      </c>
      <c r="B911" s="32" t="s">
        <v>2887</v>
      </c>
    </row>
    <row r="912" spans="1:2" x14ac:dyDescent="0.35">
      <c r="A912" s="34">
        <v>7911</v>
      </c>
      <c r="B912" s="32" t="s">
        <v>2888</v>
      </c>
    </row>
    <row r="913" spans="1:2" x14ac:dyDescent="0.35">
      <c r="A913" s="34">
        <v>7922</v>
      </c>
      <c r="B913" s="32" t="s">
        <v>2889</v>
      </c>
    </row>
    <row r="914" spans="1:2" x14ac:dyDescent="0.35">
      <c r="A914" s="34">
        <v>7929</v>
      </c>
      <c r="B914" s="32" t="s">
        <v>2890</v>
      </c>
    </row>
    <row r="915" spans="1:2" x14ac:dyDescent="0.35">
      <c r="A915" s="34">
        <v>7933</v>
      </c>
      <c r="B915" s="32" t="s">
        <v>2891</v>
      </c>
    </row>
    <row r="916" spans="1:2" x14ac:dyDescent="0.35">
      <c r="A916" s="34">
        <v>7941</v>
      </c>
      <c r="B916" s="32" t="s">
        <v>2892</v>
      </c>
    </row>
    <row r="917" spans="1:2" x14ac:dyDescent="0.35">
      <c r="A917" s="34">
        <v>7948</v>
      </c>
      <c r="B917" s="32" t="s">
        <v>2893</v>
      </c>
    </row>
    <row r="918" spans="1:2" x14ac:dyDescent="0.35">
      <c r="A918" s="34">
        <v>7991</v>
      </c>
      <c r="B918" s="32" t="s">
        <v>2894</v>
      </c>
    </row>
    <row r="919" spans="1:2" x14ac:dyDescent="0.35">
      <c r="A919" s="34">
        <v>7992</v>
      </c>
      <c r="B919" s="32" t="s">
        <v>2895</v>
      </c>
    </row>
    <row r="920" spans="1:2" x14ac:dyDescent="0.35">
      <c r="A920" s="34">
        <v>7993</v>
      </c>
      <c r="B920" s="32" t="s">
        <v>2896</v>
      </c>
    </row>
    <row r="921" spans="1:2" x14ac:dyDescent="0.35">
      <c r="A921" s="34">
        <v>7996</v>
      </c>
      <c r="B921" s="32" t="s">
        <v>2897</v>
      </c>
    </row>
    <row r="922" spans="1:2" x14ac:dyDescent="0.35">
      <c r="A922" s="34">
        <v>7997</v>
      </c>
      <c r="B922" s="32" t="s">
        <v>2898</v>
      </c>
    </row>
    <row r="923" spans="1:2" x14ac:dyDescent="0.35">
      <c r="A923" s="34">
        <v>7999</v>
      </c>
      <c r="B923" s="32" t="s">
        <v>2899</v>
      </c>
    </row>
    <row r="924" spans="1:2" x14ac:dyDescent="0.35">
      <c r="A924" s="34">
        <v>8011</v>
      </c>
      <c r="B924" s="32" t="s">
        <v>2900</v>
      </c>
    </row>
    <row r="925" spans="1:2" x14ac:dyDescent="0.35">
      <c r="A925" s="34">
        <v>8021</v>
      </c>
      <c r="B925" s="32" t="s">
        <v>2901</v>
      </c>
    </row>
    <row r="926" spans="1:2" x14ac:dyDescent="0.35">
      <c r="A926" s="34">
        <v>8031</v>
      </c>
      <c r="B926" s="32" t="s">
        <v>2902</v>
      </c>
    </row>
    <row r="927" spans="1:2" x14ac:dyDescent="0.35">
      <c r="A927" s="34">
        <v>8041</v>
      </c>
      <c r="B927" s="32" t="s">
        <v>2903</v>
      </c>
    </row>
    <row r="928" spans="1:2" x14ac:dyDescent="0.35">
      <c r="A928" s="34">
        <v>8042</v>
      </c>
      <c r="B928" s="32" t="s">
        <v>2904</v>
      </c>
    </row>
    <row r="929" spans="1:2" x14ac:dyDescent="0.35">
      <c r="A929" s="34">
        <v>8043</v>
      </c>
      <c r="B929" s="32" t="s">
        <v>2905</v>
      </c>
    </row>
    <row r="930" spans="1:2" x14ac:dyDescent="0.35">
      <c r="A930" s="34">
        <v>8049</v>
      </c>
      <c r="B930" s="32" t="s">
        <v>2906</v>
      </c>
    </row>
    <row r="931" spans="1:2" x14ac:dyDescent="0.35">
      <c r="A931" s="34">
        <v>8051</v>
      </c>
      <c r="B931" s="32" t="s">
        <v>2907</v>
      </c>
    </row>
    <row r="932" spans="1:2" x14ac:dyDescent="0.35">
      <c r="A932" s="34">
        <v>8052</v>
      </c>
      <c r="B932" s="32" t="s">
        <v>2908</v>
      </c>
    </row>
    <row r="933" spans="1:2" x14ac:dyDescent="0.35">
      <c r="A933" s="34">
        <v>8059</v>
      </c>
      <c r="B933" s="32" t="s">
        <v>2909</v>
      </c>
    </row>
    <row r="934" spans="1:2" x14ac:dyDescent="0.35">
      <c r="A934" s="34">
        <v>8062</v>
      </c>
      <c r="B934" s="32" t="s">
        <v>2910</v>
      </c>
    </row>
    <row r="935" spans="1:2" x14ac:dyDescent="0.35">
      <c r="A935" s="34">
        <v>8063</v>
      </c>
      <c r="B935" s="32" t="s">
        <v>2911</v>
      </c>
    </row>
    <row r="936" spans="1:2" x14ac:dyDescent="0.35">
      <c r="A936" s="34">
        <v>8069</v>
      </c>
      <c r="B936" s="32" t="s">
        <v>2912</v>
      </c>
    </row>
    <row r="937" spans="1:2" x14ac:dyDescent="0.35">
      <c r="A937" s="34">
        <v>8071</v>
      </c>
      <c r="B937" s="32" t="s">
        <v>2913</v>
      </c>
    </row>
    <row r="938" spans="1:2" x14ac:dyDescent="0.35">
      <c r="A938" s="34">
        <v>8072</v>
      </c>
      <c r="B938" s="32" t="s">
        <v>2914</v>
      </c>
    </row>
    <row r="939" spans="1:2" x14ac:dyDescent="0.35">
      <c r="A939" s="34">
        <v>8082</v>
      </c>
      <c r="B939" s="32" t="s">
        <v>2915</v>
      </c>
    </row>
    <row r="940" spans="1:2" x14ac:dyDescent="0.35">
      <c r="A940" s="34">
        <v>8092</v>
      </c>
      <c r="B940" s="32" t="s">
        <v>2916</v>
      </c>
    </row>
    <row r="941" spans="1:2" x14ac:dyDescent="0.35">
      <c r="A941" s="34">
        <v>8093</v>
      </c>
      <c r="B941" s="32" t="s">
        <v>2917</v>
      </c>
    </row>
    <row r="942" spans="1:2" x14ac:dyDescent="0.35">
      <c r="A942" s="34">
        <v>8099</v>
      </c>
      <c r="B942" s="32" t="s">
        <v>2918</v>
      </c>
    </row>
    <row r="943" spans="1:2" x14ac:dyDescent="0.35">
      <c r="A943" s="34">
        <v>8111</v>
      </c>
      <c r="B943" s="32" t="s">
        <v>2919</v>
      </c>
    </row>
    <row r="944" spans="1:2" x14ac:dyDescent="0.35">
      <c r="A944" s="34">
        <v>8211</v>
      </c>
      <c r="B944" s="32" t="s">
        <v>2920</v>
      </c>
    </row>
    <row r="945" spans="1:2" x14ac:dyDescent="0.35">
      <c r="A945" s="34">
        <v>8221</v>
      </c>
      <c r="B945" s="32" t="s">
        <v>2921</v>
      </c>
    </row>
    <row r="946" spans="1:2" x14ac:dyDescent="0.35">
      <c r="A946" s="34">
        <v>8222</v>
      </c>
      <c r="B946" s="32" t="s">
        <v>2922</v>
      </c>
    </row>
    <row r="947" spans="1:2" x14ac:dyDescent="0.35">
      <c r="A947" s="34">
        <v>8231</v>
      </c>
      <c r="B947" s="32" t="s">
        <v>2923</v>
      </c>
    </row>
    <row r="948" spans="1:2" x14ac:dyDescent="0.35">
      <c r="A948" s="34">
        <v>8243</v>
      </c>
      <c r="B948" s="32" t="s">
        <v>2924</v>
      </c>
    </row>
    <row r="949" spans="1:2" x14ac:dyDescent="0.35">
      <c r="A949" s="34">
        <v>8244</v>
      </c>
      <c r="B949" s="32" t="s">
        <v>2925</v>
      </c>
    </row>
    <row r="950" spans="1:2" x14ac:dyDescent="0.35">
      <c r="A950" s="34">
        <v>8249</v>
      </c>
      <c r="B950" s="32" t="s">
        <v>2926</v>
      </c>
    </row>
    <row r="951" spans="1:2" x14ac:dyDescent="0.35">
      <c r="A951" s="34">
        <v>8299</v>
      </c>
      <c r="B951" s="32" t="s">
        <v>2927</v>
      </c>
    </row>
    <row r="952" spans="1:2" x14ac:dyDescent="0.35">
      <c r="A952" s="34">
        <v>8322</v>
      </c>
      <c r="B952" s="32" t="s">
        <v>2928</v>
      </c>
    </row>
    <row r="953" spans="1:2" x14ac:dyDescent="0.35">
      <c r="A953" s="34">
        <v>8331</v>
      </c>
      <c r="B953" s="32" t="s">
        <v>2929</v>
      </c>
    </row>
    <row r="954" spans="1:2" x14ac:dyDescent="0.35">
      <c r="A954" s="34">
        <v>8351</v>
      </c>
      <c r="B954" s="32" t="s">
        <v>2930</v>
      </c>
    </row>
    <row r="955" spans="1:2" x14ac:dyDescent="0.35">
      <c r="A955" s="34">
        <v>8361</v>
      </c>
      <c r="B955" s="32" t="s">
        <v>2931</v>
      </c>
    </row>
    <row r="956" spans="1:2" x14ac:dyDescent="0.35">
      <c r="A956" s="34">
        <v>8399</v>
      </c>
      <c r="B956" s="32" t="s">
        <v>2932</v>
      </c>
    </row>
    <row r="957" spans="1:2" x14ac:dyDescent="0.35">
      <c r="A957" s="34">
        <v>8412</v>
      </c>
      <c r="B957" s="32" t="s">
        <v>2933</v>
      </c>
    </row>
    <row r="958" spans="1:2" x14ac:dyDescent="0.35">
      <c r="A958" s="34">
        <v>8422</v>
      </c>
      <c r="B958" s="32" t="s">
        <v>2934</v>
      </c>
    </row>
    <row r="959" spans="1:2" x14ac:dyDescent="0.35">
      <c r="A959" s="34">
        <v>8611</v>
      </c>
      <c r="B959" s="32" t="s">
        <v>2935</v>
      </c>
    </row>
    <row r="960" spans="1:2" x14ac:dyDescent="0.35">
      <c r="A960" s="34">
        <v>8621</v>
      </c>
      <c r="B960" s="32" t="s">
        <v>2936</v>
      </c>
    </row>
    <row r="961" spans="1:2" x14ac:dyDescent="0.35">
      <c r="A961" s="34">
        <v>8631</v>
      </c>
      <c r="B961" s="32" t="s">
        <v>2937</v>
      </c>
    </row>
    <row r="962" spans="1:2" x14ac:dyDescent="0.35">
      <c r="A962" s="34">
        <v>8641</v>
      </c>
      <c r="B962" s="32" t="s">
        <v>2938</v>
      </c>
    </row>
    <row r="963" spans="1:2" x14ac:dyDescent="0.35">
      <c r="A963" s="34">
        <v>8651</v>
      </c>
      <c r="B963" s="32" t="s">
        <v>2939</v>
      </c>
    </row>
    <row r="964" spans="1:2" x14ac:dyDescent="0.35">
      <c r="A964" s="34">
        <v>8661</v>
      </c>
      <c r="B964" s="32" t="s">
        <v>2940</v>
      </c>
    </row>
    <row r="965" spans="1:2" x14ac:dyDescent="0.35">
      <c r="A965" s="34">
        <v>8699</v>
      </c>
      <c r="B965" s="32" t="s">
        <v>2941</v>
      </c>
    </row>
    <row r="966" spans="1:2" x14ac:dyDescent="0.35">
      <c r="A966" s="34">
        <v>8711</v>
      </c>
      <c r="B966" s="32" t="s">
        <v>2942</v>
      </c>
    </row>
    <row r="967" spans="1:2" x14ac:dyDescent="0.35">
      <c r="A967" s="34">
        <v>8712</v>
      </c>
      <c r="B967" s="32" t="s">
        <v>2943</v>
      </c>
    </row>
    <row r="968" spans="1:2" x14ac:dyDescent="0.35">
      <c r="A968" s="34">
        <v>8713</v>
      </c>
      <c r="B968" s="32" t="s">
        <v>2944</v>
      </c>
    </row>
    <row r="969" spans="1:2" x14ac:dyDescent="0.35">
      <c r="A969" s="34">
        <v>8721</v>
      </c>
      <c r="B969" s="32" t="s">
        <v>2945</v>
      </c>
    </row>
    <row r="970" spans="1:2" x14ac:dyDescent="0.35">
      <c r="A970" s="34">
        <v>8731</v>
      </c>
      <c r="B970" s="32" t="s">
        <v>2946</v>
      </c>
    </row>
    <row r="971" spans="1:2" x14ac:dyDescent="0.35">
      <c r="A971" s="34">
        <v>8732</v>
      </c>
      <c r="B971" s="32" t="s">
        <v>2947</v>
      </c>
    </row>
    <row r="972" spans="1:2" x14ac:dyDescent="0.35">
      <c r="A972" s="34">
        <v>8733</v>
      </c>
      <c r="B972" s="32" t="s">
        <v>2948</v>
      </c>
    </row>
    <row r="973" spans="1:2" x14ac:dyDescent="0.35">
      <c r="A973" s="34">
        <v>8734</v>
      </c>
      <c r="B973" s="32" t="s">
        <v>2949</v>
      </c>
    </row>
    <row r="974" spans="1:2" x14ac:dyDescent="0.35">
      <c r="A974" s="34">
        <v>8741</v>
      </c>
      <c r="B974" s="32" t="s">
        <v>2950</v>
      </c>
    </row>
    <row r="975" spans="1:2" x14ac:dyDescent="0.35">
      <c r="A975" s="34">
        <v>8742</v>
      </c>
      <c r="B975" s="32" t="s">
        <v>2951</v>
      </c>
    </row>
    <row r="976" spans="1:2" x14ac:dyDescent="0.35">
      <c r="A976" s="34">
        <v>8743</v>
      </c>
      <c r="B976" s="32" t="s">
        <v>2952</v>
      </c>
    </row>
    <row r="977" spans="1:2" x14ac:dyDescent="0.35">
      <c r="A977" s="34">
        <v>8744</v>
      </c>
      <c r="B977" s="32" t="s">
        <v>2953</v>
      </c>
    </row>
    <row r="978" spans="1:2" x14ac:dyDescent="0.35">
      <c r="A978" s="34">
        <v>8748</v>
      </c>
      <c r="B978" s="32" t="s">
        <v>2954</v>
      </c>
    </row>
    <row r="979" spans="1:2" x14ac:dyDescent="0.35">
      <c r="A979" s="34">
        <v>8811</v>
      </c>
      <c r="B979" s="32" t="s">
        <v>2955</v>
      </c>
    </row>
    <row r="980" spans="1:2" x14ac:dyDescent="0.35">
      <c r="A980" s="34">
        <v>8999</v>
      </c>
      <c r="B980" s="32" t="s">
        <v>2956</v>
      </c>
    </row>
    <row r="981" spans="1:2" x14ac:dyDescent="0.35">
      <c r="A981" s="34">
        <v>9111</v>
      </c>
      <c r="B981" s="32" t="s">
        <v>2957</v>
      </c>
    </row>
    <row r="982" spans="1:2" x14ac:dyDescent="0.35">
      <c r="A982" s="34">
        <v>9121</v>
      </c>
      <c r="B982" s="32" t="s">
        <v>2958</v>
      </c>
    </row>
    <row r="983" spans="1:2" x14ac:dyDescent="0.35">
      <c r="A983" s="34">
        <v>9131</v>
      </c>
      <c r="B983" s="32" t="s">
        <v>2959</v>
      </c>
    </row>
    <row r="984" spans="1:2" x14ac:dyDescent="0.35">
      <c r="A984" s="34">
        <v>9199</v>
      </c>
      <c r="B984" s="32" t="s">
        <v>2960</v>
      </c>
    </row>
    <row r="985" spans="1:2" x14ac:dyDescent="0.35">
      <c r="A985" s="34">
        <v>9211</v>
      </c>
      <c r="B985" s="32" t="s">
        <v>2961</v>
      </c>
    </row>
    <row r="986" spans="1:2" x14ac:dyDescent="0.35">
      <c r="A986" s="34">
        <v>9221</v>
      </c>
      <c r="B986" s="32" t="s">
        <v>2962</v>
      </c>
    </row>
    <row r="987" spans="1:2" x14ac:dyDescent="0.35">
      <c r="A987" s="34">
        <v>9222</v>
      </c>
      <c r="B987" s="32" t="s">
        <v>2963</v>
      </c>
    </row>
    <row r="988" spans="1:2" x14ac:dyDescent="0.35">
      <c r="A988" s="34">
        <v>9223</v>
      </c>
      <c r="B988" s="32" t="s">
        <v>2964</v>
      </c>
    </row>
    <row r="989" spans="1:2" x14ac:dyDescent="0.35">
      <c r="A989" s="34">
        <v>9224</v>
      </c>
      <c r="B989" s="32" t="s">
        <v>2965</v>
      </c>
    </row>
    <row r="990" spans="1:2" x14ac:dyDescent="0.35">
      <c r="A990" s="34">
        <v>9229</v>
      </c>
      <c r="B990" s="32" t="s">
        <v>2966</v>
      </c>
    </row>
    <row r="991" spans="1:2" x14ac:dyDescent="0.35">
      <c r="A991" s="34">
        <v>9311</v>
      </c>
      <c r="B991" s="32" t="s">
        <v>2967</v>
      </c>
    </row>
    <row r="992" spans="1:2" x14ac:dyDescent="0.35">
      <c r="A992" s="34">
        <v>9411</v>
      </c>
      <c r="B992" s="32" t="s">
        <v>2968</v>
      </c>
    </row>
    <row r="993" spans="1:2" x14ac:dyDescent="0.35">
      <c r="A993" s="34">
        <v>9431</v>
      </c>
      <c r="B993" s="32" t="s">
        <v>2969</v>
      </c>
    </row>
    <row r="994" spans="1:2" x14ac:dyDescent="0.35">
      <c r="A994" s="34">
        <v>9441</v>
      </c>
      <c r="B994" s="32" t="s">
        <v>2970</v>
      </c>
    </row>
    <row r="995" spans="1:2" x14ac:dyDescent="0.35">
      <c r="A995" s="34">
        <v>9451</v>
      </c>
      <c r="B995" s="32" t="s">
        <v>2971</v>
      </c>
    </row>
    <row r="996" spans="1:2" x14ac:dyDescent="0.35">
      <c r="A996" s="34">
        <v>9511</v>
      </c>
      <c r="B996" s="32" t="s">
        <v>2972</v>
      </c>
    </row>
    <row r="997" spans="1:2" x14ac:dyDescent="0.35">
      <c r="A997" s="34">
        <v>9512</v>
      </c>
      <c r="B997" s="32" t="s">
        <v>2973</v>
      </c>
    </row>
    <row r="998" spans="1:2" x14ac:dyDescent="0.35">
      <c r="A998" s="34">
        <v>9531</v>
      </c>
      <c r="B998" s="32" t="s">
        <v>2974</v>
      </c>
    </row>
    <row r="999" spans="1:2" x14ac:dyDescent="0.35">
      <c r="A999" s="34">
        <v>9532</v>
      </c>
      <c r="B999" s="32" t="s">
        <v>2975</v>
      </c>
    </row>
    <row r="1000" spans="1:2" x14ac:dyDescent="0.35">
      <c r="A1000" s="34">
        <v>9611</v>
      </c>
      <c r="B1000" s="32" t="s">
        <v>2976</v>
      </c>
    </row>
    <row r="1001" spans="1:2" x14ac:dyDescent="0.35">
      <c r="A1001" s="34">
        <v>9621</v>
      </c>
      <c r="B1001" s="32" t="s">
        <v>2977</v>
      </c>
    </row>
    <row r="1002" spans="1:2" x14ac:dyDescent="0.35">
      <c r="A1002" s="34">
        <v>9631</v>
      </c>
      <c r="B1002" s="32" t="s">
        <v>2978</v>
      </c>
    </row>
    <row r="1003" spans="1:2" x14ac:dyDescent="0.35">
      <c r="A1003" s="34">
        <v>9641</v>
      </c>
      <c r="B1003" s="32" t="s">
        <v>2979</v>
      </c>
    </row>
    <row r="1004" spans="1:2" x14ac:dyDescent="0.35">
      <c r="A1004" s="34">
        <v>9651</v>
      </c>
      <c r="B1004" s="32" t="s">
        <v>2980</v>
      </c>
    </row>
    <row r="1005" spans="1:2" x14ac:dyDescent="0.35">
      <c r="A1005" s="34">
        <v>9661</v>
      </c>
      <c r="B1005" s="32" t="s">
        <v>2981</v>
      </c>
    </row>
    <row r="1006" spans="1:2" x14ac:dyDescent="0.35">
      <c r="A1006" s="34">
        <v>9711</v>
      </c>
      <c r="B1006" s="32" t="s">
        <v>2982</v>
      </c>
    </row>
    <row r="1007" spans="1:2" x14ac:dyDescent="0.35">
      <c r="A1007" s="34">
        <v>9721</v>
      </c>
      <c r="B1007" s="32" t="s">
        <v>2983</v>
      </c>
    </row>
    <row r="1008" spans="1:2" x14ac:dyDescent="0.35">
      <c r="A1008" s="34">
        <v>9999</v>
      </c>
      <c r="B1008" s="32" t="s">
        <v>2984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Summary</vt:lpstr>
      <vt:lpstr>NAICS</vt:lpstr>
      <vt:lpstr>SIC</vt:lpstr>
    </vt:vector>
  </TitlesOfParts>
  <Company>U.S. Department of Commerce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mccon309</dc:creator>
  <cp:lastModifiedBy>Steven Williams</cp:lastModifiedBy>
  <cp:lastPrinted>2011-08-17T11:11:49Z</cp:lastPrinted>
  <dcterms:created xsi:type="dcterms:W3CDTF">2010-08-30T13:45:44Z</dcterms:created>
  <dcterms:modified xsi:type="dcterms:W3CDTF">2019-07-27T02:14:02Z</dcterms:modified>
</cp:coreProperties>
</file>